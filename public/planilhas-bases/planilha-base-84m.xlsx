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istrador\Downloads\planilhas bases\"/>
    </mc:Choice>
  </mc:AlternateContent>
  <xr:revisionPtr revIDLastSave="0" documentId="13_ncr:1_{DACDE224-06FB-4D17-8400-8682F008F41C}" xr6:coauthVersionLast="47" xr6:coauthVersionMax="47" xr10:uidLastSave="{00000000-0000-0000-0000-000000000000}"/>
  <bookViews>
    <workbookView xWindow="11568" yWindow="12984" windowWidth="23256" windowHeight="12456" tabRatio="806" xr2:uid="{00000000-000D-0000-FFFF-FFFF00000000}"/>
  </bookViews>
  <sheets>
    <sheet name="Dados" sheetId="2" r:id="rId1"/>
    <sheet name="Cashflow" sheetId="42" r:id="rId2"/>
    <sheet name="Financ " sheetId="14" r:id="rId3"/>
    <sheet name="Receita" sheetId="12" state="hidden" r:id="rId4"/>
    <sheet name="Tributos" sheetId="6" r:id="rId5"/>
    <sheet name="Seguros-Rastreamento" sheetId="7" r:id="rId6"/>
    <sheet name="Manutenção" sheetId="8" r:id="rId7"/>
    <sheet name="Licenciamento" sheetId="10" r:id="rId8"/>
    <sheet name="Sheet1" sheetId="4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8" i="10" l="1"/>
  <c r="V8" i="10"/>
  <c r="S8" i="10"/>
  <c r="P8" i="10"/>
  <c r="M8" i="10"/>
  <c r="J8" i="10"/>
  <c r="G8" i="10"/>
  <c r="D8" i="10"/>
  <c r="CN42" i="42"/>
  <c r="CN18" i="42"/>
  <c r="CN16" i="42"/>
  <c r="CN15" i="42"/>
  <c r="CN14" i="42"/>
  <c r="CN13" i="42" s="1"/>
  <c r="CN11" i="42"/>
  <c r="CO42" i="42"/>
  <c r="CM42" i="42"/>
  <c r="CL42" i="42"/>
  <c r="CK42" i="42"/>
  <c r="CJ42" i="42"/>
  <c r="CI42" i="42"/>
  <c r="CO18" i="42"/>
  <c r="CM18" i="42"/>
  <c r="CL18" i="42"/>
  <c r="CK18" i="42"/>
  <c r="CJ18" i="42"/>
  <c r="CI18" i="42"/>
  <c r="CO16" i="42"/>
  <c r="CM16" i="42"/>
  <c r="CL16" i="42"/>
  <c r="CK16" i="42"/>
  <c r="CJ16" i="42"/>
  <c r="CI16" i="42"/>
  <c r="CO15" i="42"/>
  <c r="CM15" i="42"/>
  <c r="CL15" i="42"/>
  <c r="CL13" i="42" s="1"/>
  <c r="CK15" i="42"/>
  <c r="CJ15" i="42"/>
  <c r="CI15" i="42"/>
  <c r="CI13" i="42" s="1"/>
  <c r="CO11" i="42"/>
  <c r="CM11" i="42"/>
  <c r="CL11" i="42"/>
  <c r="CK11" i="42"/>
  <c r="CJ11" i="42"/>
  <c r="CI11" i="42"/>
  <c r="BP42" i="42"/>
  <c r="BP18" i="42"/>
  <c r="BP16" i="42"/>
  <c r="BP15" i="42"/>
  <c r="BQ42" i="42"/>
  <c r="BQ18" i="42"/>
  <c r="BQ16" i="42"/>
  <c r="BQ15" i="42"/>
  <c r="BR42" i="42"/>
  <c r="BR18" i="42"/>
  <c r="BR16" i="42"/>
  <c r="BR15" i="42"/>
  <c r="BS42" i="42"/>
  <c r="BS18" i="42"/>
  <c r="BS16" i="42"/>
  <c r="BS15" i="42"/>
  <c r="BT42" i="42"/>
  <c r="BT18" i="42"/>
  <c r="BT16" i="42"/>
  <c r="BT15" i="42"/>
  <c r="CH42" i="42"/>
  <c r="CG42" i="42"/>
  <c r="CF42" i="42"/>
  <c r="CE42" i="42"/>
  <c r="CD42" i="42"/>
  <c r="CC42" i="42"/>
  <c r="CB42" i="42"/>
  <c r="CA42" i="42"/>
  <c r="BZ42" i="42"/>
  <c r="BY42" i="42"/>
  <c r="BX42" i="42"/>
  <c r="BW42" i="42"/>
  <c r="CH18" i="42"/>
  <c r="CG18" i="42"/>
  <c r="CF18" i="42"/>
  <c r="CE18" i="42"/>
  <c r="CD18" i="42"/>
  <c r="CC18" i="42"/>
  <c r="CB18" i="42"/>
  <c r="CA18" i="42"/>
  <c r="BZ18" i="42"/>
  <c r="BY18" i="42"/>
  <c r="BX18" i="42"/>
  <c r="BW18" i="42"/>
  <c r="CA17" i="42"/>
  <c r="BZ17" i="42"/>
  <c r="BY17" i="42"/>
  <c r="BX17" i="42"/>
  <c r="BW17" i="42"/>
  <c r="CH16" i="42"/>
  <c r="CG16" i="42"/>
  <c r="CF16" i="42"/>
  <c r="CE16" i="42"/>
  <c r="CD16" i="42"/>
  <c r="CC16" i="42"/>
  <c r="CB16" i="42"/>
  <c r="CA16" i="42"/>
  <c r="BZ16" i="42"/>
  <c r="BY16" i="42"/>
  <c r="BX16" i="42"/>
  <c r="BW16" i="42"/>
  <c r="CH15" i="42"/>
  <c r="CG15" i="42"/>
  <c r="CF15" i="42"/>
  <c r="CE15" i="42"/>
  <c r="CD15" i="42"/>
  <c r="CC15" i="42"/>
  <c r="CB15" i="42"/>
  <c r="CA15" i="42"/>
  <c r="BZ15" i="42"/>
  <c r="BY15" i="42"/>
  <c r="BX15" i="42"/>
  <c r="BW15" i="42"/>
  <c r="CH14" i="42"/>
  <c r="CH11" i="42"/>
  <c r="CG11" i="42"/>
  <c r="CF11" i="42"/>
  <c r="CE11" i="42"/>
  <c r="CD11" i="42"/>
  <c r="CC11" i="42"/>
  <c r="CB11" i="42"/>
  <c r="CA11" i="42"/>
  <c r="BZ11" i="42"/>
  <c r="BY11" i="42"/>
  <c r="B29" i="14"/>
  <c r="I66" i="42"/>
  <c r="J66" i="42" s="1"/>
  <c r="E9" i="43"/>
  <c r="E11" i="43"/>
  <c r="K28" i="42"/>
  <c r="T28" i="42" s="1"/>
  <c r="K15" i="42"/>
  <c r="E4" i="7"/>
  <c r="K16" i="42"/>
  <c r="G12" i="7"/>
  <c r="M17" i="42"/>
  <c r="B32" i="8"/>
  <c r="D36" i="8" s="1"/>
  <c r="L15" i="42"/>
  <c r="L16" i="42"/>
  <c r="M15" i="42"/>
  <c r="M16" i="42"/>
  <c r="N15" i="42"/>
  <c r="N16" i="42"/>
  <c r="N17" i="42"/>
  <c r="H55" i="14"/>
  <c r="O15" i="42"/>
  <c r="O16" i="42"/>
  <c r="O17" i="42"/>
  <c r="I55" i="14"/>
  <c r="P15" i="42"/>
  <c r="P16" i="42"/>
  <c r="J55" i="14"/>
  <c r="Q15" i="42"/>
  <c r="Q16" i="42"/>
  <c r="K55" i="14"/>
  <c r="R15" i="42"/>
  <c r="R16" i="42"/>
  <c r="L55" i="14"/>
  <c r="S15" i="42"/>
  <c r="S16" i="42"/>
  <c r="M55" i="14"/>
  <c r="T15" i="42"/>
  <c r="T16" i="42"/>
  <c r="N55" i="14"/>
  <c r="U15" i="42"/>
  <c r="U16" i="42"/>
  <c r="O55" i="14"/>
  <c r="V15" i="42"/>
  <c r="V16" i="42"/>
  <c r="P55" i="14"/>
  <c r="W15" i="42"/>
  <c r="E5" i="7"/>
  <c r="W16" i="42"/>
  <c r="E13" i="7"/>
  <c r="G13" i="7"/>
  <c r="W17" i="42"/>
  <c r="F36" i="8"/>
  <c r="AA18" i="42" s="1"/>
  <c r="W18" i="42"/>
  <c r="Q55" i="14"/>
  <c r="X15" i="42"/>
  <c r="X16" i="42"/>
  <c r="R55" i="14"/>
  <c r="Y15" i="42"/>
  <c r="Y18" i="42"/>
  <c r="S55" i="14"/>
  <c r="Z15" i="42"/>
  <c r="Z17" i="42"/>
  <c r="Z18" i="42"/>
  <c r="T55" i="14"/>
  <c r="AA15" i="42"/>
  <c r="AA16" i="42"/>
  <c r="U55" i="14"/>
  <c r="AB15" i="42"/>
  <c r="AB16" i="42"/>
  <c r="AB18" i="42"/>
  <c r="V55" i="14"/>
  <c r="AC15" i="42"/>
  <c r="AC18" i="42"/>
  <c r="W55" i="14"/>
  <c r="AD15" i="42"/>
  <c r="AD18" i="42"/>
  <c r="X55" i="14"/>
  <c r="AE15" i="42"/>
  <c r="AE16" i="42"/>
  <c r="AE18" i="42"/>
  <c r="Y55" i="14"/>
  <c r="AF15" i="42"/>
  <c r="AF16" i="42"/>
  <c r="AF18" i="42"/>
  <c r="Z55" i="14"/>
  <c r="AG15" i="42"/>
  <c r="AG16" i="42"/>
  <c r="AG18" i="42"/>
  <c r="AA55" i="14"/>
  <c r="AH15" i="42"/>
  <c r="E14" i="7"/>
  <c r="G14" i="7"/>
  <c r="AB55" i="14"/>
  <c r="AI15" i="42"/>
  <c r="AI16" i="42"/>
  <c r="H36" i="8"/>
  <c r="AJ18" i="42" s="1"/>
  <c r="AI18" i="42"/>
  <c r="AC55" i="14"/>
  <c r="AJ15" i="42"/>
  <c r="AJ16" i="42"/>
  <c r="AD55" i="14"/>
  <c r="AK15" i="42"/>
  <c r="AK16" i="42"/>
  <c r="AE55" i="14"/>
  <c r="AL15" i="42"/>
  <c r="AL16" i="42"/>
  <c r="AF55" i="14"/>
  <c r="AM15" i="42"/>
  <c r="AM16" i="42"/>
  <c r="AM18" i="42"/>
  <c r="AG55" i="14"/>
  <c r="AN15" i="42"/>
  <c r="AN16" i="42"/>
  <c r="AN18" i="42"/>
  <c r="AH55" i="14"/>
  <c r="AO15" i="42"/>
  <c r="AO16" i="42"/>
  <c r="AI55" i="14"/>
  <c r="AP15" i="42"/>
  <c r="AP16" i="42"/>
  <c r="AJ55" i="14"/>
  <c r="AQ15" i="42"/>
  <c r="AQ16" i="42"/>
  <c r="AQ18" i="42"/>
  <c r="AK55" i="14"/>
  <c r="AR15" i="42"/>
  <c r="AR16" i="42"/>
  <c r="AL55" i="14"/>
  <c r="AS15" i="42"/>
  <c r="AS16" i="42"/>
  <c r="AM55" i="14"/>
  <c r="AT15" i="42"/>
  <c r="AT16" i="42"/>
  <c r="AT18" i="42"/>
  <c r="AN55" i="14"/>
  <c r="AU15" i="42"/>
  <c r="AU16" i="42"/>
  <c r="AU18" i="42"/>
  <c r="AO55" i="14"/>
  <c r="AV15" i="42"/>
  <c r="AV16" i="42"/>
  <c r="AV18" i="42"/>
  <c r="AR55" i="14"/>
  <c r="AS55" i="14"/>
  <c r="AT55" i="14"/>
  <c r="AU55" i="14"/>
  <c r="AV55" i="14"/>
  <c r="AW55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L88" i="14" s="1"/>
  <c r="L51" i="14"/>
  <c r="AP55" i="14" s="1"/>
  <c r="AW15" i="42"/>
  <c r="AW16" i="42"/>
  <c r="AQ55" i="14"/>
  <c r="AX15" i="42"/>
  <c r="AX16" i="42"/>
  <c r="AX18" i="42"/>
  <c r="AY15" i="42"/>
  <c r="AY16" i="42"/>
  <c r="AY18" i="42"/>
  <c r="AZ15" i="42"/>
  <c r="AZ16" i="42"/>
  <c r="AZ18" i="42"/>
  <c r="BA15" i="42"/>
  <c r="BA16" i="42"/>
  <c r="BB15" i="42"/>
  <c r="BB16" i="42"/>
  <c r="BC15" i="42"/>
  <c r="BC16" i="42"/>
  <c r="BC18" i="42"/>
  <c r="BD15" i="42"/>
  <c r="BD16" i="42"/>
  <c r="BE15" i="42"/>
  <c r="BE16" i="42"/>
  <c r="BE18" i="42"/>
  <c r="BF15" i="42"/>
  <c r="BF16" i="42"/>
  <c r="BF18" i="42"/>
  <c r="BG15" i="42"/>
  <c r="BG16" i="42"/>
  <c r="BG18" i="42"/>
  <c r="BH15" i="42"/>
  <c r="BH16" i="42"/>
  <c r="BI15" i="42"/>
  <c r="BI16" i="42"/>
  <c r="BI18" i="42"/>
  <c r="BJ15" i="42"/>
  <c r="BJ16" i="42"/>
  <c r="BK15" i="42"/>
  <c r="BK16" i="42"/>
  <c r="BK18" i="42"/>
  <c r="BL15" i="42"/>
  <c r="BL16" i="42"/>
  <c r="BM15" i="42"/>
  <c r="BM16" i="42"/>
  <c r="BM18" i="42"/>
  <c r="BN15" i="42"/>
  <c r="BN16" i="42"/>
  <c r="BO15" i="42"/>
  <c r="BO16" i="42"/>
  <c r="BU15" i="42"/>
  <c r="BU16" i="42"/>
  <c r="BV15" i="42"/>
  <c r="BV16" i="42"/>
  <c r="BK88" i="14"/>
  <c r="CP15" i="42"/>
  <c r="CP16" i="42"/>
  <c r="J36" i="8"/>
  <c r="CP18" i="42"/>
  <c r="C39" i="2"/>
  <c r="CR15" i="42"/>
  <c r="CR13" i="42" s="1"/>
  <c r="CR11" i="42"/>
  <c r="CR50" i="42"/>
  <c r="CR51" i="42"/>
  <c r="H13" i="42"/>
  <c r="B78" i="14"/>
  <c r="H50" i="42"/>
  <c r="H51" i="42"/>
  <c r="H54" i="42"/>
  <c r="I50" i="42"/>
  <c r="I51" i="42"/>
  <c r="I54" i="42"/>
  <c r="J15" i="42"/>
  <c r="J17" i="42"/>
  <c r="J50" i="42"/>
  <c r="J51" i="42"/>
  <c r="J54" i="42"/>
  <c r="CQ15" i="42"/>
  <c r="CQ13" i="42" s="1"/>
  <c r="BM55" i="14"/>
  <c r="BM88" i="14"/>
  <c r="CQ11" i="42" s="1"/>
  <c r="CQ50" i="42"/>
  <c r="CQ51" i="42"/>
  <c r="CQ54" i="42"/>
  <c r="H70" i="42"/>
  <c r="G8" i="2"/>
  <c r="I13" i="43"/>
  <c r="I17" i="43"/>
  <c r="I18" i="43"/>
  <c r="I19" i="43"/>
  <c r="H20" i="43"/>
  <c r="I78" i="42"/>
  <c r="J78" i="42" s="1"/>
  <c r="J79" i="42" s="1"/>
  <c r="J80" i="42" s="1"/>
  <c r="H79" i="42"/>
  <c r="J71" i="42"/>
  <c r="J69" i="42"/>
  <c r="B39" i="14"/>
  <c r="C39" i="14" s="1"/>
  <c r="D39" i="14" s="1"/>
  <c r="E39" i="14" s="1"/>
  <c r="F39" i="14" s="1"/>
  <c r="G39" i="14" s="1"/>
  <c r="H39" i="14" s="1"/>
  <c r="I39" i="14" s="1"/>
  <c r="J39" i="14" s="1"/>
  <c r="K39" i="14" s="1"/>
  <c r="L39" i="14" s="1"/>
  <c r="M39" i="14" s="1"/>
  <c r="N39" i="14" s="1"/>
  <c r="O39" i="14" s="1"/>
  <c r="P39" i="14" s="1"/>
  <c r="Q39" i="14" s="1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AO39" i="14" s="1"/>
  <c r="AP39" i="14" s="1"/>
  <c r="AQ39" i="14" s="1"/>
  <c r="AR39" i="14" s="1"/>
  <c r="AS39" i="14" s="1"/>
  <c r="AT39" i="14" s="1"/>
  <c r="AU39" i="14" s="1"/>
  <c r="AV39" i="14" s="1"/>
  <c r="AW39" i="14" s="1"/>
  <c r="AX39" i="14" s="1"/>
  <c r="AY39" i="14" s="1"/>
  <c r="AZ39" i="14" s="1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B40" i="14"/>
  <c r="C40" i="14" s="1"/>
  <c r="D40" i="14" s="1"/>
  <c r="E40" i="14" s="1"/>
  <c r="F40" i="14" s="1"/>
  <c r="G40" i="14" s="1"/>
  <c r="H40" i="14" s="1"/>
  <c r="I40" i="14" s="1"/>
  <c r="J40" i="14" s="1"/>
  <c r="K40" i="14" s="1"/>
  <c r="L40" i="14" s="1"/>
  <c r="M40" i="14" s="1"/>
  <c r="N40" i="14" s="1"/>
  <c r="O40" i="14" s="1"/>
  <c r="P40" i="14" s="1"/>
  <c r="Q40" i="14" s="1"/>
  <c r="R40" i="14" s="1"/>
  <c r="S40" i="14" s="1"/>
  <c r="T40" i="14" s="1"/>
  <c r="U40" i="14" s="1"/>
  <c r="V40" i="14" s="1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AK40" i="14" s="1"/>
  <c r="AL40" i="14" s="1"/>
  <c r="AM40" i="14" s="1"/>
  <c r="AN40" i="14" s="1"/>
  <c r="AO40" i="14" s="1"/>
  <c r="AP40" i="14" s="1"/>
  <c r="AQ40" i="14" s="1"/>
  <c r="AR40" i="14" s="1"/>
  <c r="AS40" i="14" s="1"/>
  <c r="AT40" i="14" s="1"/>
  <c r="AU40" i="14" s="1"/>
  <c r="AV40" i="14" s="1"/>
  <c r="AW40" i="14" s="1"/>
  <c r="AX40" i="14" s="1"/>
  <c r="AY40" i="14" s="1"/>
  <c r="AZ40" i="14" s="1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I7" i="42"/>
  <c r="J7" i="42" s="1"/>
  <c r="K7" i="42" s="1"/>
  <c r="L7" i="42" s="1"/>
  <c r="M7" i="42" s="1"/>
  <c r="N7" i="42" s="1"/>
  <c r="O7" i="42" s="1"/>
  <c r="P7" i="42" s="1"/>
  <c r="Q7" i="42" s="1"/>
  <c r="R7" i="42" s="1"/>
  <c r="S7" i="42" s="1"/>
  <c r="T7" i="42" s="1"/>
  <c r="U7" i="42" s="1"/>
  <c r="V7" i="42" s="1"/>
  <c r="W7" i="42" s="1"/>
  <c r="X7" i="42" s="1"/>
  <c r="Y7" i="42" s="1"/>
  <c r="Z7" i="42" s="1"/>
  <c r="AA7" i="42" s="1"/>
  <c r="AB7" i="42" s="1"/>
  <c r="AC7" i="42" s="1"/>
  <c r="AD7" i="42" s="1"/>
  <c r="AE7" i="42" s="1"/>
  <c r="AF7" i="42" s="1"/>
  <c r="AG7" i="42" s="1"/>
  <c r="AH7" i="42" s="1"/>
  <c r="AI7" i="42" s="1"/>
  <c r="AJ7" i="42" s="1"/>
  <c r="AK7" i="42" s="1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BE7" i="42" s="1"/>
  <c r="BF7" i="42" s="1"/>
  <c r="BG7" i="42" s="1"/>
  <c r="BH7" i="42" s="1"/>
  <c r="BI7" i="42" s="1"/>
  <c r="BJ7" i="42" s="1"/>
  <c r="BK7" i="42" s="1"/>
  <c r="BL7" i="42" s="1"/>
  <c r="BM7" i="42" s="1"/>
  <c r="BN7" i="42" s="1"/>
  <c r="I8" i="42"/>
  <c r="J8" i="42" s="1"/>
  <c r="K8" i="42" s="1"/>
  <c r="L8" i="42" s="1"/>
  <c r="M8" i="42" s="1"/>
  <c r="N8" i="42" s="1"/>
  <c r="O8" i="42" s="1"/>
  <c r="P8" i="42" s="1"/>
  <c r="Q8" i="42" s="1"/>
  <c r="R8" i="42" s="1"/>
  <c r="S8" i="42" s="1"/>
  <c r="T8" i="42" s="1"/>
  <c r="U8" i="42" s="1"/>
  <c r="V8" i="42" s="1"/>
  <c r="W8" i="42" s="1"/>
  <c r="X8" i="42" s="1"/>
  <c r="Y8" i="42" s="1"/>
  <c r="Z8" i="42" s="1"/>
  <c r="AA8" i="42" s="1"/>
  <c r="AB8" i="42" s="1"/>
  <c r="AC8" i="42" s="1"/>
  <c r="AD8" i="42" s="1"/>
  <c r="AE8" i="42" s="1"/>
  <c r="AF8" i="42" s="1"/>
  <c r="AG8" i="42" s="1"/>
  <c r="AH8" i="42" s="1"/>
  <c r="AI8" i="42" s="1"/>
  <c r="AJ8" i="42" s="1"/>
  <c r="AK8" i="42" s="1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BE8" i="42" s="1"/>
  <c r="BF8" i="42" s="1"/>
  <c r="BG8" i="42" s="1"/>
  <c r="BH8" i="42" s="1"/>
  <c r="BI8" i="42" s="1"/>
  <c r="BJ8" i="42" s="1"/>
  <c r="BK8" i="42" s="1"/>
  <c r="BL8" i="42" s="1"/>
  <c r="BM8" i="42" s="1"/>
  <c r="BN8" i="42" s="1"/>
  <c r="BO8" i="42" s="1"/>
  <c r="BP8" i="42" s="1"/>
  <c r="BQ8" i="42" s="1"/>
  <c r="BR8" i="42" s="1"/>
  <c r="BS8" i="42" s="1"/>
  <c r="BT8" i="42" s="1"/>
  <c r="BU8" i="42" s="1"/>
  <c r="BV8" i="42" s="1"/>
  <c r="BW8" i="42" s="1"/>
  <c r="BX8" i="42" s="1"/>
  <c r="BY8" i="42" s="1"/>
  <c r="BZ8" i="42" s="1"/>
  <c r="CA8" i="42" s="1"/>
  <c r="CB8" i="42" s="1"/>
  <c r="CC8" i="42" s="1"/>
  <c r="CD8" i="42" s="1"/>
  <c r="CE8" i="42" s="1"/>
  <c r="CF8" i="42" s="1"/>
  <c r="CG8" i="42" s="1"/>
  <c r="CH8" i="42" s="1"/>
  <c r="CI8" i="42" s="1"/>
  <c r="CJ8" i="42" s="1"/>
  <c r="CK8" i="42" s="1"/>
  <c r="CL8" i="42" s="1"/>
  <c r="CM8" i="42" s="1"/>
  <c r="CO8" i="42" s="1"/>
  <c r="CQ8" i="42" s="1"/>
  <c r="BV42" i="42"/>
  <c r="BU42" i="42"/>
  <c r="BO42" i="42"/>
  <c r="BN42" i="42"/>
  <c r="BM42" i="42"/>
  <c r="BL42" i="42"/>
  <c r="BK42" i="42"/>
  <c r="BJ42" i="42"/>
  <c r="BI42" i="42"/>
  <c r="BH42" i="42"/>
  <c r="BG42" i="42"/>
  <c r="BF42" i="42"/>
  <c r="B5" i="6"/>
  <c r="K9" i="42"/>
  <c r="L9" i="42" s="1"/>
  <c r="M9" i="42" s="1"/>
  <c r="N9" i="42" s="1"/>
  <c r="O9" i="42" s="1"/>
  <c r="P9" i="42" s="1"/>
  <c r="Q9" i="42" s="1"/>
  <c r="R9" i="42" s="1"/>
  <c r="S9" i="42" s="1"/>
  <c r="T9" i="42" s="1"/>
  <c r="U9" i="42" s="1"/>
  <c r="V9" i="42" s="1"/>
  <c r="W9" i="42" s="1"/>
  <c r="X9" i="42" s="1"/>
  <c r="Y9" i="42" s="1"/>
  <c r="Z9" i="42" s="1"/>
  <c r="AA9" i="42" s="1"/>
  <c r="AB9" i="42" s="1"/>
  <c r="AC9" i="42" s="1"/>
  <c r="AD9" i="42" s="1"/>
  <c r="AE9" i="42" s="1"/>
  <c r="AF9" i="42" s="1"/>
  <c r="AG9" i="42" s="1"/>
  <c r="AH9" i="42" s="1"/>
  <c r="AI9" i="42" s="1"/>
  <c r="AJ9" i="42" s="1"/>
  <c r="AK9" i="42" s="1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BE9" i="42" s="1"/>
  <c r="BF9" i="42" s="1"/>
  <c r="BG9" i="42" s="1"/>
  <c r="BH9" i="42" s="1"/>
  <c r="BI9" i="42" s="1"/>
  <c r="BJ9" i="42" s="1"/>
  <c r="BK9" i="42" s="1"/>
  <c r="BL9" i="42" s="1"/>
  <c r="BM9" i="42" s="1"/>
  <c r="BN9" i="42" s="1"/>
  <c r="BO9" i="42" s="1"/>
  <c r="BP9" i="42" s="1"/>
  <c r="BQ9" i="42" s="1"/>
  <c r="BR9" i="42" s="1"/>
  <c r="BS9" i="42" s="1"/>
  <c r="BT9" i="42" s="1"/>
  <c r="BU9" i="42" s="1"/>
  <c r="BV9" i="42" s="1"/>
  <c r="BW9" i="42" s="1"/>
  <c r="BX9" i="42" s="1"/>
  <c r="BY9" i="42" s="1"/>
  <c r="BZ9" i="42" s="1"/>
  <c r="CA9" i="42" s="1"/>
  <c r="CB9" i="42" s="1"/>
  <c r="CC9" i="42" s="1"/>
  <c r="CD9" i="42" s="1"/>
  <c r="CE9" i="42" s="1"/>
  <c r="CF9" i="42" s="1"/>
  <c r="CG9" i="42" s="1"/>
  <c r="CH9" i="42" s="1"/>
  <c r="CI9" i="42" s="1"/>
  <c r="CJ9" i="42" s="1"/>
  <c r="CK9" i="42" s="1"/>
  <c r="CL9" i="42" s="1"/>
  <c r="CM9" i="42" s="1"/>
  <c r="CN9" i="42" s="1"/>
  <c r="CO9" i="42" s="1"/>
  <c r="BE42" i="42"/>
  <c r="BD42" i="42"/>
  <c r="BC42" i="42"/>
  <c r="BB42" i="42"/>
  <c r="BA42" i="42"/>
  <c r="AZ42" i="42"/>
  <c r="AY42" i="42"/>
  <c r="AX42" i="42"/>
  <c r="AW42" i="42"/>
  <c r="AV42" i="42"/>
  <c r="AU42" i="42"/>
  <c r="AT42" i="42"/>
  <c r="G10" i="2"/>
  <c r="B46" i="14"/>
  <c r="C46" i="14" s="1"/>
  <c r="D46" i="14" s="1"/>
  <c r="E46" i="14" s="1"/>
  <c r="F46" i="14" s="1"/>
  <c r="G46" i="14" s="1"/>
  <c r="H46" i="14" s="1"/>
  <c r="I46" i="14" s="1"/>
  <c r="J46" i="14" s="1"/>
  <c r="K46" i="14" s="1"/>
  <c r="L46" i="14" s="1"/>
  <c r="M46" i="14" s="1"/>
  <c r="N46" i="14" s="1"/>
  <c r="O46" i="14" s="1"/>
  <c r="P46" i="14" s="1"/>
  <c r="Q46" i="14" s="1"/>
  <c r="R46" i="14" s="1"/>
  <c r="S46" i="14" s="1"/>
  <c r="T46" i="14" s="1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AK46" i="14" s="1"/>
  <c r="AL46" i="14" s="1"/>
  <c r="AM46" i="14" s="1"/>
  <c r="AN46" i="14" s="1"/>
  <c r="AO46" i="14" s="1"/>
  <c r="AP46" i="14" s="1"/>
  <c r="AQ46" i="14" s="1"/>
  <c r="AR46" i="14" s="1"/>
  <c r="AS46" i="14" s="1"/>
  <c r="AT46" i="14" s="1"/>
  <c r="AU46" i="14" s="1"/>
  <c r="AV46" i="14" s="1"/>
  <c r="AW46" i="14" s="1"/>
  <c r="AX46" i="14" s="1"/>
  <c r="AY46" i="14" s="1"/>
  <c r="AZ46" i="14" s="1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BL46" i="14" s="1"/>
  <c r="BM46" i="14" s="1"/>
  <c r="B47" i="14"/>
  <c r="C47" i="14" s="1"/>
  <c r="D47" i="14" s="1"/>
  <c r="E47" i="14" s="1"/>
  <c r="F47" i="14" s="1"/>
  <c r="G47" i="14" s="1"/>
  <c r="H47" i="14" s="1"/>
  <c r="I47" i="14" s="1"/>
  <c r="J47" i="14" s="1"/>
  <c r="K47" i="14" s="1"/>
  <c r="L47" i="14" s="1"/>
  <c r="M47" i="14" s="1"/>
  <c r="N47" i="14" s="1"/>
  <c r="O47" i="14" s="1"/>
  <c r="P47" i="14" s="1"/>
  <c r="Q47" i="14" s="1"/>
  <c r="R47" i="14" s="1"/>
  <c r="S47" i="14" s="1"/>
  <c r="T47" i="14" s="1"/>
  <c r="U47" i="14" s="1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AK47" i="14" s="1"/>
  <c r="AL47" i="14" s="1"/>
  <c r="AM47" i="14" s="1"/>
  <c r="AN47" i="14" s="1"/>
  <c r="AO47" i="14" s="1"/>
  <c r="AP47" i="14" s="1"/>
  <c r="AQ47" i="14" s="1"/>
  <c r="AR47" i="14" s="1"/>
  <c r="AS47" i="14" s="1"/>
  <c r="AT47" i="14" s="1"/>
  <c r="AU47" i="14" s="1"/>
  <c r="AV47" i="14" s="1"/>
  <c r="AW47" i="14" s="1"/>
  <c r="AX47" i="14" s="1"/>
  <c r="AY47" i="14" s="1"/>
  <c r="AZ47" i="14" s="1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BL47" i="14" s="1"/>
  <c r="BM47" i="14" s="1"/>
  <c r="B53" i="14"/>
  <c r="C53" i="14" s="1"/>
  <c r="D53" i="14" s="1"/>
  <c r="E53" i="14" s="1"/>
  <c r="F53" i="14" s="1"/>
  <c r="G53" i="14" s="1"/>
  <c r="H53" i="14" s="1"/>
  <c r="I53" i="14" s="1"/>
  <c r="J53" i="14" s="1"/>
  <c r="K53" i="14" s="1"/>
  <c r="L53" i="14" s="1"/>
  <c r="M53" i="14" s="1"/>
  <c r="N53" i="14" s="1"/>
  <c r="O53" i="14" s="1"/>
  <c r="P53" i="14" s="1"/>
  <c r="Q53" i="14" s="1"/>
  <c r="R53" i="14" s="1"/>
  <c r="S53" i="14" s="1"/>
  <c r="T53" i="14" s="1"/>
  <c r="U53" i="14" s="1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AK53" i="14" s="1"/>
  <c r="AL53" i="14" s="1"/>
  <c r="AM53" i="14" s="1"/>
  <c r="AN53" i="14" s="1"/>
  <c r="AO53" i="14" s="1"/>
  <c r="AP53" i="14" s="1"/>
  <c r="AQ53" i="14" s="1"/>
  <c r="AR53" i="14" s="1"/>
  <c r="AS53" i="14" s="1"/>
  <c r="AT53" i="14" s="1"/>
  <c r="AU53" i="14" s="1"/>
  <c r="AV53" i="14" s="1"/>
  <c r="AW53" i="14" s="1"/>
  <c r="AX53" i="14" s="1"/>
  <c r="AY53" i="14" s="1"/>
  <c r="AZ53" i="14" s="1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BL53" i="14" s="1"/>
  <c r="BM53" i="14" s="1"/>
  <c r="B54" i="14"/>
  <c r="C54" i="14" s="1"/>
  <c r="D54" i="14" s="1"/>
  <c r="E54" i="14" s="1"/>
  <c r="F54" i="14" s="1"/>
  <c r="G54" i="14" s="1"/>
  <c r="H54" i="14" s="1"/>
  <c r="I54" i="14" s="1"/>
  <c r="J54" i="14" s="1"/>
  <c r="K54" i="14" s="1"/>
  <c r="L54" i="14" s="1"/>
  <c r="M54" i="14" s="1"/>
  <c r="N54" i="14" s="1"/>
  <c r="O54" i="14" s="1"/>
  <c r="P54" i="14" s="1"/>
  <c r="Q54" i="14" s="1"/>
  <c r="R54" i="14" s="1"/>
  <c r="S54" i="14" s="1"/>
  <c r="T54" i="14" s="1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AK54" i="14" s="1"/>
  <c r="AL54" i="14" s="1"/>
  <c r="AM54" i="14" s="1"/>
  <c r="AN54" i="14" s="1"/>
  <c r="AO54" i="14" s="1"/>
  <c r="AP54" i="14" s="1"/>
  <c r="AQ54" i="14" s="1"/>
  <c r="AR54" i="14" s="1"/>
  <c r="AS54" i="14" s="1"/>
  <c r="AT54" i="14" s="1"/>
  <c r="AU54" i="14" s="1"/>
  <c r="AV54" i="14" s="1"/>
  <c r="AW54" i="14" s="1"/>
  <c r="AX54" i="14" s="1"/>
  <c r="AY54" i="14" s="1"/>
  <c r="AZ54" i="14" s="1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BL54" i="14" s="1"/>
  <c r="BM54" i="14" s="1"/>
  <c r="C60" i="14"/>
  <c r="D60" i="14" s="1"/>
  <c r="E60" i="14" s="1"/>
  <c r="F60" i="14" s="1"/>
  <c r="G60" i="14" s="1"/>
  <c r="H60" i="14" s="1"/>
  <c r="I60" i="14" s="1"/>
  <c r="J60" i="14" s="1"/>
  <c r="K60" i="14" s="1"/>
  <c r="L60" i="14" s="1"/>
  <c r="M60" i="14" s="1"/>
  <c r="N60" i="14" s="1"/>
  <c r="O60" i="14" s="1"/>
  <c r="P60" i="14" s="1"/>
  <c r="Q60" i="14" s="1"/>
  <c r="R60" i="14" s="1"/>
  <c r="S60" i="14" s="1"/>
  <c r="T60" i="14" s="1"/>
  <c r="U60" i="14" s="1"/>
  <c r="V60" i="14" s="1"/>
  <c r="W60" i="14" s="1"/>
  <c r="X60" i="14" s="1"/>
  <c r="Y60" i="14" s="1"/>
  <c r="Z60" i="14" s="1"/>
  <c r="AA60" i="14" s="1"/>
  <c r="AB60" i="14" s="1"/>
  <c r="AC60" i="14" s="1"/>
  <c r="AD60" i="14" s="1"/>
  <c r="AE60" i="14" s="1"/>
  <c r="AF60" i="14" s="1"/>
  <c r="AG60" i="14" s="1"/>
  <c r="AH60" i="14" s="1"/>
  <c r="AI60" i="14" s="1"/>
  <c r="AJ60" i="14" s="1"/>
  <c r="AK60" i="14" s="1"/>
  <c r="AL60" i="14" s="1"/>
  <c r="AM60" i="14" s="1"/>
  <c r="AN60" i="14" s="1"/>
  <c r="AO60" i="14" s="1"/>
  <c r="AP60" i="14" s="1"/>
  <c r="AQ60" i="14" s="1"/>
  <c r="AR60" i="14" s="1"/>
  <c r="AS60" i="14" s="1"/>
  <c r="AT60" i="14" s="1"/>
  <c r="AU60" i="14" s="1"/>
  <c r="AV60" i="14" s="1"/>
  <c r="AW60" i="14" s="1"/>
  <c r="AX60" i="14" s="1"/>
  <c r="AY60" i="14" s="1"/>
  <c r="AZ60" i="14" s="1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BL60" i="14" s="1"/>
  <c r="BM60" i="14" s="1"/>
  <c r="C61" i="14"/>
  <c r="D61" i="14" s="1"/>
  <c r="E61" i="14" s="1"/>
  <c r="F61" i="14" s="1"/>
  <c r="G61" i="14" s="1"/>
  <c r="H61" i="14" s="1"/>
  <c r="I61" i="14" s="1"/>
  <c r="J61" i="14" s="1"/>
  <c r="K61" i="14" s="1"/>
  <c r="L61" i="14" s="1"/>
  <c r="M61" i="14" s="1"/>
  <c r="N61" i="14" s="1"/>
  <c r="O61" i="14" s="1"/>
  <c r="P61" i="14" s="1"/>
  <c r="Q61" i="14" s="1"/>
  <c r="R61" i="14" s="1"/>
  <c r="S61" i="14" s="1"/>
  <c r="T61" i="14" s="1"/>
  <c r="U61" i="14" s="1"/>
  <c r="V61" i="14" s="1"/>
  <c r="W61" i="14" s="1"/>
  <c r="X61" i="14" s="1"/>
  <c r="Y61" i="14" s="1"/>
  <c r="Z61" i="14" s="1"/>
  <c r="AA61" i="14" s="1"/>
  <c r="AB61" i="14" s="1"/>
  <c r="AC61" i="14" s="1"/>
  <c r="AD61" i="14" s="1"/>
  <c r="AE61" i="14" s="1"/>
  <c r="AF61" i="14" s="1"/>
  <c r="AG61" i="14" s="1"/>
  <c r="AH61" i="14" s="1"/>
  <c r="AI61" i="14" s="1"/>
  <c r="AJ61" i="14" s="1"/>
  <c r="AK61" i="14" s="1"/>
  <c r="AL61" i="14" s="1"/>
  <c r="AM61" i="14" s="1"/>
  <c r="AN61" i="14" s="1"/>
  <c r="AO61" i="14" s="1"/>
  <c r="AP61" i="14" s="1"/>
  <c r="AQ61" i="14" s="1"/>
  <c r="AR61" i="14" s="1"/>
  <c r="AS61" i="14" s="1"/>
  <c r="AT61" i="14" s="1"/>
  <c r="AU61" i="14" s="1"/>
  <c r="AV61" i="14" s="1"/>
  <c r="AW61" i="14" s="1"/>
  <c r="AX61" i="14" s="1"/>
  <c r="AY61" i="14" s="1"/>
  <c r="AZ61" i="14" s="1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BL61" i="14" s="1"/>
  <c r="BM61" i="14" s="1"/>
  <c r="B79" i="14"/>
  <c r="C79" i="14" s="1"/>
  <c r="D79" i="14" s="1"/>
  <c r="E79" i="14" s="1"/>
  <c r="F79" i="14" s="1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80" i="14"/>
  <c r="C80" i="14" s="1"/>
  <c r="D80" i="14" s="1"/>
  <c r="E80" i="14" s="1"/>
  <c r="F80" i="14" s="1"/>
  <c r="G80" i="14" s="1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L80" i="14" s="1"/>
  <c r="BM80" i="14" s="1"/>
  <c r="B86" i="14"/>
  <c r="C86" i="14" s="1"/>
  <c r="D86" i="14" s="1"/>
  <c r="E86" i="14" s="1"/>
  <c r="F86" i="14" s="1"/>
  <c r="G86" i="14" s="1"/>
  <c r="H86" i="14" s="1"/>
  <c r="I86" i="14" s="1"/>
  <c r="J86" i="14" s="1"/>
  <c r="K86" i="14" s="1"/>
  <c r="L86" i="14" s="1"/>
  <c r="M86" i="14" s="1"/>
  <c r="N86" i="14" s="1"/>
  <c r="O86" i="14" s="1"/>
  <c r="P86" i="14" s="1"/>
  <c r="Q86" i="14" s="1"/>
  <c r="R86" i="14" s="1"/>
  <c r="S86" i="14" s="1"/>
  <c r="T86" i="14" s="1"/>
  <c r="U86" i="14" s="1"/>
  <c r="V86" i="14" s="1"/>
  <c r="W86" i="14" s="1"/>
  <c r="X86" i="14" s="1"/>
  <c r="Y86" i="14" s="1"/>
  <c r="Z86" i="14" s="1"/>
  <c r="AA86" i="14" s="1"/>
  <c r="AB86" i="14" s="1"/>
  <c r="AC86" i="14" s="1"/>
  <c r="AD86" i="14" s="1"/>
  <c r="AE86" i="14" s="1"/>
  <c r="AF86" i="14" s="1"/>
  <c r="AG86" i="14" s="1"/>
  <c r="AH86" i="14" s="1"/>
  <c r="AI86" i="14" s="1"/>
  <c r="AJ86" i="14" s="1"/>
  <c r="AK86" i="14" s="1"/>
  <c r="AL86" i="14" s="1"/>
  <c r="AM86" i="14" s="1"/>
  <c r="AN86" i="14" s="1"/>
  <c r="AO86" i="14" s="1"/>
  <c r="AP86" i="14" s="1"/>
  <c r="AQ86" i="14" s="1"/>
  <c r="AR86" i="14" s="1"/>
  <c r="AS86" i="14" s="1"/>
  <c r="AT86" i="14" s="1"/>
  <c r="AU86" i="14" s="1"/>
  <c r="AV86" i="14" s="1"/>
  <c r="AW86" i="14" s="1"/>
  <c r="AX86" i="14" s="1"/>
  <c r="AY86" i="14" s="1"/>
  <c r="AZ86" i="14" s="1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BL86" i="14" s="1"/>
  <c r="BM86" i="14" s="1"/>
  <c r="B87" i="14"/>
  <c r="C87" i="14" s="1"/>
  <c r="D87" i="14" s="1"/>
  <c r="E87" i="14" s="1"/>
  <c r="F87" i="14" s="1"/>
  <c r="G87" i="14" s="1"/>
  <c r="H87" i="14" s="1"/>
  <c r="I87" i="14" s="1"/>
  <c r="J87" i="14" s="1"/>
  <c r="K87" i="14" s="1"/>
  <c r="L87" i="14" s="1"/>
  <c r="M87" i="14" s="1"/>
  <c r="N87" i="14" s="1"/>
  <c r="O87" i="14" s="1"/>
  <c r="P87" i="14" s="1"/>
  <c r="Q87" i="14" s="1"/>
  <c r="R87" i="14" s="1"/>
  <c r="S87" i="14" s="1"/>
  <c r="T87" i="14" s="1"/>
  <c r="U87" i="14" s="1"/>
  <c r="V87" i="14" s="1"/>
  <c r="W87" i="14" s="1"/>
  <c r="X87" i="14" s="1"/>
  <c r="Y87" i="14" s="1"/>
  <c r="Z87" i="14" s="1"/>
  <c r="AA87" i="14" s="1"/>
  <c r="AB87" i="14" s="1"/>
  <c r="AC87" i="14" s="1"/>
  <c r="AD87" i="14" s="1"/>
  <c r="AE87" i="14" s="1"/>
  <c r="AF87" i="14" s="1"/>
  <c r="AG87" i="14" s="1"/>
  <c r="AH87" i="14" s="1"/>
  <c r="AI87" i="14" s="1"/>
  <c r="AJ87" i="14" s="1"/>
  <c r="AK87" i="14" s="1"/>
  <c r="AL87" i="14" s="1"/>
  <c r="AM87" i="14" s="1"/>
  <c r="AN87" i="14" s="1"/>
  <c r="AO87" i="14" s="1"/>
  <c r="AP87" i="14" s="1"/>
  <c r="AQ87" i="14" s="1"/>
  <c r="AR87" i="14" s="1"/>
  <c r="AS87" i="14" s="1"/>
  <c r="AT87" i="14" s="1"/>
  <c r="AU87" i="14" s="1"/>
  <c r="AV87" i="14" s="1"/>
  <c r="AW87" i="14" s="1"/>
  <c r="AX87" i="14" s="1"/>
  <c r="AY87" i="14" s="1"/>
  <c r="AZ87" i="14" s="1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BL87" i="14" s="1"/>
  <c r="BM87" i="14" s="1"/>
  <c r="CQ36" i="42"/>
  <c r="CQ40" i="42" s="1"/>
  <c r="CR36" i="42"/>
  <c r="CR40" i="42" s="1"/>
  <c r="CP42" i="42"/>
  <c r="CQ42" i="42"/>
  <c r="CQ60" i="42" s="1"/>
  <c r="AS42" i="42"/>
  <c r="AI42" i="42"/>
  <c r="AJ42" i="42"/>
  <c r="AK42" i="42"/>
  <c r="AL42" i="42"/>
  <c r="AM42" i="42"/>
  <c r="AN42" i="42"/>
  <c r="AH42" i="42"/>
  <c r="AO42" i="42"/>
  <c r="AP42" i="42"/>
  <c r="AQ42" i="42"/>
  <c r="AR42" i="42"/>
  <c r="I42" i="42"/>
  <c r="J42" i="42"/>
  <c r="J60" i="42" s="1"/>
  <c r="K42" i="42"/>
  <c r="L42" i="42"/>
  <c r="M42" i="42"/>
  <c r="N42" i="42"/>
  <c r="O42" i="42"/>
  <c r="P42" i="42"/>
  <c r="Q42" i="42"/>
  <c r="R42" i="42"/>
  <c r="S42" i="42"/>
  <c r="T42" i="42"/>
  <c r="U42" i="42"/>
  <c r="V42" i="42"/>
  <c r="W42" i="42"/>
  <c r="X42" i="42"/>
  <c r="Y42" i="42"/>
  <c r="Z42" i="42"/>
  <c r="AA42" i="42"/>
  <c r="AB42" i="42"/>
  <c r="AC42" i="42"/>
  <c r="AD42" i="42"/>
  <c r="AE42" i="42"/>
  <c r="AF42" i="42"/>
  <c r="AG42" i="42"/>
  <c r="I36" i="42"/>
  <c r="I40" i="42" s="1"/>
  <c r="J36" i="42"/>
  <c r="J40" i="42" s="1"/>
  <c r="A36" i="2"/>
  <c r="D25" i="14"/>
  <c r="E30" i="2"/>
  <c r="C10" i="2"/>
  <c r="C15" i="2" s="1"/>
  <c r="F11" i="42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H2" i="42"/>
  <c r="H3" i="42"/>
  <c r="E6" i="7"/>
  <c r="B12" i="7"/>
  <c r="H36" i="42"/>
  <c r="H40" i="42" s="1"/>
  <c r="C51" i="14"/>
  <c r="A8" i="10"/>
  <c r="A36" i="8"/>
  <c r="H42" i="42"/>
  <c r="H4" i="42"/>
  <c r="A30" i="14"/>
  <c r="D33" i="14"/>
  <c r="C33" i="14"/>
  <c r="D34" i="14"/>
  <c r="D30" i="14"/>
  <c r="D32" i="14"/>
  <c r="G25" i="42"/>
  <c r="G51" i="14"/>
  <c r="I51" i="14"/>
  <c r="B69" i="14"/>
  <c r="E69" i="14"/>
  <c r="H69" i="14"/>
  <c r="I69" i="14"/>
  <c r="B19" i="14"/>
  <c r="C19" i="14" s="1"/>
  <c r="D19" i="14" s="1"/>
  <c r="E19" i="14" s="1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X19" i="14" s="1"/>
  <c r="Y19" i="14" s="1"/>
  <c r="B11" i="14"/>
  <c r="Y21" i="14"/>
  <c r="X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C20" i="14"/>
  <c r="D20" i="14" s="1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X20" i="14" s="1"/>
  <c r="Y20" i="14" s="1"/>
  <c r="B17" i="14"/>
  <c r="C11" i="14"/>
  <c r="D11" i="14" s="1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X11" i="14" s="1"/>
  <c r="Y11" i="14" s="1"/>
  <c r="D6" i="14"/>
  <c r="AE73" i="14"/>
  <c r="AF73" i="14"/>
  <c r="AG73" i="14"/>
  <c r="AH73" i="14"/>
  <c r="AI73" i="14" s="1"/>
  <c r="AJ73" i="14" s="1"/>
  <c r="D74" i="14"/>
  <c r="C68" i="14"/>
  <c r="D68" i="14" s="1"/>
  <c r="E68" i="14" s="1"/>
  <c r="F68" i="14" s="1"/>
  <c r="G68" i="14" s="1"/>
  <c r="H68" i="14" s="1"/>
  <c r="I68" i="14" s="1"/>
  <c r="J68" i="14" s="1"/>
  <c r="K68" i="14" s="1"/>
  <c r="L68" i="14" s="1"/>
  <c r="M68" i="14" s="1"/>
  <c r="N68" i="14" s="1"/>
  <c r="O68" i="14" s="1"/>
  <c r="X68" i="14" s="1"/>
  <c r="Y68" i="14" s="1"/>
  <c r="Z68" i="14" s="1"/>
  <c r="AA68" i="14" s="1"/>
  <c r="AB68" i="14" s="1"/>
  <c r="AC68" i="14" s="1"/>
  <c r="AD68" i="14" s="1"/>
  <c r="D6" i="8"/>
  <c r="D7" i="8"/>
  <c r="C28" i="12"/>
  <c r="C29" i="12"/>
  <c r="C30" i="12"/>
  <c r="C31" i="12"/>
  <c r="C33" i="12"/>
  <c r="C32" i="12"/>
  <c r="C27" i="12"/>
  <c r="C17" i="12"/>
  <c r="F17" i="12"/>
  <c r="C18" i="12"/>
  <c r="F18" i="12"/>
  <c r="C19" i="12"/>
  <c r="C20" i="12"/>
  <c r="C16" i="12"/>
  <c r="C15" i="12"/>
  <c r="F15" i="12"/>
  <c r="E7" i="12"/>
  <c r="E8" i="12"/>
  <c r="E9" i="12"/>
  <c r="E10" i="12"/>
  <c r="D28" i="8"/>
  <c r="D27" i="8"/>
  <c r="D19" i="8"/>
  <c r="D18" i="8"/>
  <c r="B29" i="8"/>
  <c r="B20" i="8"/>
  <c r="C8" i="2"/>
  <c r="E27" i="12"/>
  <c r="E28" i="12"/>
  <c r="E29" i="12"/>
  <c r="E30" i="12"/>
  <c r="E31" i="12"/>
  <c r="E32" i="12"/>
  <c r="E5" i="12"/>
  <c r="E6" i="12"/>
  <c r="D33" i="12"/>
  <c r="E15" i="12"/>
  <c r="E16" i="12"/>
  <c r="F16" i="12"/>
  <c r="E17" i="12"/>
  <c r="E18" i="12"/>
  <c r="E19" i="12"/>
  <c r="F19" i="12"/>
  <c r="E20" i="12"/>
  <c r="F20" i="12"/>
  <c r="E21" i="12"/>
  <c r="C21" i="12"/>
  <c r="D11" i="12"/>
  <c r="C11" i="12"/>
  <c r="B8" i="8"/>
  <c r="C5" i="6"/>
  <c r="E33" i="12"/>
  <c r="F21" i="12"/>
  <c r="D23" i="12"/>
  <c r="E11" i="12"/>
  <c r="AK17" i="42"/>
  <c r="AT17" i="42"/>
  <c r="AU17" i="42"/>
  <c r="AV17" i="42"/>
  <c r="BH17" i="42"/>
  <c r="AH17" i="42"/>
  <c r="BG17" i="42"/>
  <c r="BG13" i="42" s="1"/>
  <c r="AJ17" i="42"/>
  <c r="AL17" i="42"/>
  <c r="AW17" i="42"/>
  <c r="AX17" i="42"/>
  <c r="BF17" i="42"/>
  <c r="BJ17" i="42"/>
  <c r="AI17" i="42"/>
  <c r="BI17" i="42"/>
  <c r="K17" i="42"/>
  <c r="AS18" i="42"/>
  <c r="AO18" i="42"/>
  <c r="AH16" i="42"/>
  <c r="AC16" i="42"/>
  <c r="Z16" i="42"/>
  <c r="Y17" i="42"/>
  <c r="X18" i="42"/>
  <c r="AP18" i="42"/>
  <c r="AK18" i="42"/>
  <c r="AD16" i="42"/>
  <c r="AB17" i="42"/>
  <c r="Y16" i="42"/>
  <c r="X17" i="42"/>
  <c r="L17" i="42"/>
  <c r="AA17" i="42"/>
  <c r="D35" i="12"/>
  <c r="CK13" i="42" l="1"/>
  <c r="BW11" i="42"/>
  <c r="CP11" i="42"/>
  <c r="BX11" i="42"/>
  <c r="CJ13" i="42"/>
  <c r="CN8" i="42"/>
  <c r="CP8" i="42" s="1"/>
  <c r="CR8" i="42" s="1"/>
  <c r="CM13" i="42"/>
  <c r="AP13" i="42"/>
  <c r="Z13" i="42"/>
  <c r="BP13" i="42"/>
  <c r="AC13" i="42"/>
  <c r="BR13" i="42"/>
  <c r="CG13" i="42"/>
  <c r="BP7" i="42"/>
  <c r="AX13" i="42"/>
  <c r="BS13" i="42"/>
  <c r="AI13" i="42"/>
  <c r="BQ7" i="42"/>
  <c r="AD13" i="42"/>
  <c r="AU13" i="42"/>
  <c r="BI13" i="42"/>
  <c r="BR7" i="42"/>
  <c r="I60" i="42"/>
  <c r="BK13" i="42"/>
  <c r="B67" i="14"/>
  <c r="C67" i="14" s="1"/>
  <c r="D67" i="14" s="1"/>
  <c r="E67" i="14" s="1"/>
  <c r="F67" i="14" s="1"/>
  <c r="G67" i="14" s="1"/>
  <c r="H67" i="14" s="1"/>
  <c r="I67" i="14" s="1"/>
  <c r="J67" i="14" s="1"/>
  <c r="K67" i="14" s="1"/>
  <c r="L67" i="14" s="1"/>
  <c r="M67" i="14" s="1"/>
  <c r="N67" i="14" s="1"/>
  <c r="O67" i="14" s="1"/>
  <c r="X67" i="14" s="1"/>
  <c r="Y67" i="14" s="1"/>
  <c r="Z67" i="14" s="1"/>
  <c r="AA67" i="14" s="1"/>
  <c r="AB67" i="14" s="1"/>
  <c r="AC67" i="14" s="1"/>
  <c r="AD67" i="14" s="1"/>
  <c r="W13" i="42"/>
  <c r="H60" i="42"/>
  <c r="BT13" i="42"/>
  <c r="BS7" i="42"/>
  <c r="AT13" i="42"/>
  <c r="AB13" i="42"/>
  <c r="AK13" i="42"/>
  <c r="AZ13" i="42"/>
  <c r="BO7" i="42"/>
  <c r="BU7" i="42" s="1"/>
  <c r="BV7" i="42" s="1"/>
  <c r="BT7" i="42"/>
  <c r="BX13" i="42"/>
  <c r="CF13" i="42"/>
  <c r="CA13" i="42"/>
  <c r="Y13" i="42"/>
  <c r="BW13" i="42"/>
  <c r="CE13" i="42"/>
  <c r="BF13" i="42"/>
  <c r="AV13" i="42"/>
  <c r="AO13" i="42"/>
  <c r="CP13" i="42"/>
  <c r="CH13" i="42"/>
  <c r="CD13" i="42"/>
  <c r="BZ13" i="42"/>
  <c r="BY13" i="42"/>
  <c r="J13" i="42"/>
  <c r="X13" i="42"/>
  <c r="AF13" i="42"/>
  <c r="CB13" i="42"/>
  <c r="CQ45" i="42"/>
  <c r="CQ59" i="42" s="1"/>
  <c r="CQ63" i="42" s="1"/>
  <c r="AN13" i="42"/>
  <c r="BM13" i="42"/>
  <c r="AQ13" i="42"/>
  <c r="AE13" i="42"/>
  <c r="AY13" i="42"/>
  <c r="BC13" i="42"/>
  <c r="AM13" i="42"/>
  <c r="AJ13" i="42"/>
  <c r="AA13" i="42"/>
  <c r="K18" i="42"/>
  <c r="K13" i="42" s="1"/>
  <c r="R18" i="42"/>
  <c r="R13" i="42" s="1"/>
  <c r="T18" i="42"/>
  <c r="T13" i="42" s="1"/>
  <c r="O18" i="42"/>
  <c r="O13" i="42" s="1"/>
  <c r="Q18" i="42"/>
  <c r="Q13" i="42" s="1"/>
  <c r="L18" i="42"/>
  <c r="L13" i="42" s="1"/>
  <c r="P18" i="42"/>
  <c r="P13" i="42" s="1"/>
  <c r="V18" i="42"/>
  <c r="V13" i="42" s="1"/>
  <c r="S18" i="42"/>
  <c r="S13" i="42" s="1"/>
  <c r="M18" i="42"/>
  <c r="M13" i="42" s="1"/>
  <c r="N18" i="42"/>
  <c r="N13" i="42" s="1"/>
  <c r="U18" i="42"/>
  <c r="C12" i="2"/>
  <c r="C16" i="2"/>
  <c r="C20" i="2"/>
  <c r="BV18" i="42"/>
  <c r="BL18" i="42"/>
  <c r="BL13" i="42" s="1"/>
  <c r="BJ18" i="42"/>
  <c r="BJ13" i="42" s="1"/>
  <c r="BH18" i="42"/>
  <c r="BH13" i="42" s="1"/>
  <c r="BD18" i="42"/>
  <c r="BD13" i="42" s="1"/>
  <c r="AW18" i="42"/>
  <c r="AW13" i="42" s="1"/>
  <c r="BO18" i="42"/>
  <c r="BO13" i="42" s="1"/>
  <c r="BB18" i="42"/>
  <c r="BB13" i="42" s="1"/>
  <c r="AH18" i="42"/>
  <c r="AH13" i="42" s="1"/>
  <c r="BU18" i="42"/>
  <c r="BU13" i="42" s="1"/>
  <c r="BA18" i="42"/>
  <c r="BA13" i="42" s="1"/>
  <c r="AL18" i="42"/>
  <c r="AL13" i="42" s="1"/>
  <c r="CR45" i="42"/>
  <c r="CR59" i="42" s="1"/>
  <c r="BN18" i="42"/>
  <c r="BN13" i="42" s="1"/>
  <c r="AR18" i="42"/>
  <c r="AR13" i="42" s="1"/>
  <c r="D32" i="2"/>
  <c r="C32" i="2"/>
  <c r="C33" i="2" s="1"/>
  <c r="E22" i="2" s="1"/>
  <c r="E23" i="2" s="1"/>
  <c r="E24" i="2" s="1"/>
  <c r="E25" i="2" s="1"/>
  <c r="E26" i="2" s="1"/>
  <c r="E27" i="2" s="1"/>
  <c r="B28" i="14"/>
  <c r="B58" i="14" s="1"/>
  <c r="B81" i="14" s="1"/>
  <c r="B88" i="14" s="1"/>
  <c r="H11" i="42" s="1"/>
  <c r="H45" i="42" s="1"/>
  <c r="H59" i="42" s="1"/>
  <c r="H63" i="42" s="1"/>
  <c r="P28" i="42"/>
  <c r="P54" i="42" s="1"/>
  <c r="P60" i="42" s="1"/>
  <c r="AC28" i="42"/>
  <c r="Y28" i="42"/>
  <c r="Y54" i="42" s="1"/>
  <c r="Y60" i="42" s="1"/>
  <c r="O28" i="42"/>
  <c r="O54" i="42" s="1"/>
  <c r="O60" i="42" s="1"/>
  <c r="V28" i="42"/>
  <c r="V51" i="42" s="1"/>
  <c r="AG28" i="42"/>
  <c r="AG36" i="42" s="1"/>
  <c r="AG40" i="42" s="1"/>
  <c r="S28" i="42"/>
  <c r="Q28" i="42"/>
  <c r="Q54" i="42" s="1"/>
  <c r="Q60" i="42" s="1"/>
  <c r="Z28" i="42"/>
  <c r="AH28" i="42"/>
  <c r="AS28" i="42" s="1"/>
  <c r="U28" i="42"/>
  <c r="X28" i="42"/>
  <c r="AA28" i="42"/>
  <c r="AA54" i="42" s="1"/>
  <c r="AA60" i="42" s="1"/>
  <c r="W28" i="42"/>
  <c r="AF28" i="42"/>
  <c r="L28" i="42"/>
  <c r="R28" i="42"/>
  <c r="M28" i="42"/>
  <c r="K50" i="42"/>
  <c r="K51" i="42"/>
  <c r="K36" i="42"/>
  <c r="K40" i="42" s="1"/>
  <c r="T51" i="42"/>
  <c r="T54" i="42"/>
  <c r="T60" i="42" s="1"/>
  <c r="T50" i="42"/>
  <c r="T36" i="42"/>
  <c r="T40" i="42" s="1"/>
  <c r="K54" i="42"/>
  <c r="K60" i="42" s="1"/>
  <c r="AE28" i="42"/>
  <c r="N28" i="42"/>
  <c r="AB28" i="42"/>
  <c r="AD28" i="42"/>
  <c r="BW7" i="42" l="1"/>
  <c r="BX7" i="42" s="1"/>
  <c r="BY7" i="42" s="1"/>
  <c r="BZ7" i="42" s="1"/>
  <c r="CA7" i="42" s="1"/>
  <c r="CB7" i="42" s="1"/>
  <c r="CC7" i="42" s="1"/>
  <c r="CD7" i="42" s="1"/>
  <c r="CE7" i="42" s="1"/>
  <c r="CF7" i="42" s="1"/>
  <c r="E28" i="2"/>
  <c r="E29" i="2" s="1"/>
  <c r="H87" i="42" s="1"/>
  <c r="H89" i="42" s="1"/>
  <c r="P51" i="42"/>
  <c r="H29" i="2"/>
  <c r="C40" i="2"/>
  <c r="C41" i="2" s="1"/>
  <c r="Z21" i="42" s="1"/>
  <c r="C62" i="14"/>
  <c r="B37" i="14"/>
  <c r="B8" i="10"/>
  <c r="X8" i="10" s="1"/>
  <c r="Z8" i="10" s="1"/>
  <c r="CO14" i="42" s="1"/>
  <c r="CO13" i="42" s="1"/>
  <c r="B44" i="14"/>
  <c r="B51" i="14"/>
  <c r="B84" i="14"/>
  <c r="H83" i="42"/>
  <c r="AC50" i="42"/>
  <c r="AG51" i="42"/>
  <c r="P36" i="42"/>
  <c r="P40" i="42" s="1"/>
  <c r="AC54" i="42"/>
  <c r="AC60" i="42" s="1"/>
  <c r="P50" i="42"/>
  <c r="Y51" i="42"/>
  <c r="AG54" i="42"/>
  <c r="AG60" i="42" s="1"/>
  <c r="Y50" i="42"/>
  <c r="AG50" i="42"/>
  <c r="Y36" i="42"/>
  <c r="Y40" i="42" s="1"/>
  <c r="AC36" i="42"/>
  <c r="AC40" i="42" s="1"/>
  <c r="AC51" i="42"/>
  <c r="O36" i="42"/>
  <c r="O40" i="42" s="1"/>
  <c r="O51" i="42"/>
  <c r="Q51" i="42"/>
  <c r="O50" i="42"/>
  <c r="V36" i="42"/>
  <c r="V40" i="42" s="1"/>
  <c r="V50" i="42"/>
  <c r="AQ28" i="42"/>
  <c r="AQ50" i="42" s="1"/>
  <c r="Q50" i="42"/>
  <c r="Q36" i="42"/>
  <c r="Q40" i="42" s="1"/>
  <c r="S54" i="42"/>
  <c r="S60" i="42" s="1"/>
  <c r="S36" i="42"/>
  <c r="S40" i="42" s="1"/>
  <c r="S51" i="42"/>
  <c r="S50" i="42"/>
  <c r="V54" i="42"/>
  <c r="V60" i="42" s="1"/>
  <c r="AO28" i="42"/>
  <c r="AO54" i="42" s="1"/>
  <c r="AO60" i="42" s="1"/>
  <c r="AL28" i="42"/>
  <c r="AN28" i="42"/>
  <c r="AN51" i="42" s="1"/>
  <c r="L51" i="42"/>
  <c r="L50" i="42"/>
  <c r="L36" i="42"/>
  <c r="L40" i="42" s="1"/>
  <c r="L54" i="42"/>
  <c r="L60" i="42" s="1"/>
  <c r="AF51" i="42"/>
  <c r="AF54" i="42"/>
  <c r="AF60" i="42" s="1"/>
  <c r="AF50" i="42"/>
  <c r="AF36" i="42"/>
  <c r="AF40" i="42" s="1"/>
  <c r="R36" i="42"/>
  <c r="R40" i="42" s="1"/>
  <c r="R51" i="42"/>
  <c r="R54" i="42"/>
  <c r="R60" i="42" s="1"/>
  <c r="R50" i="42"/>
  <c r="X54" i="42"/>
  <c r="X60" i="42" s="1"/>
  <c r="X50" i="42"/>
  <c r="X36" i="42"/>
  <c r="X40" i="42" s="1"/>
  <c r="X51" i="42"/>
  <c r="AH54" i="42"/>
  <c r="AH60" i="42" s="1"/>
  <c r="AT28" i="42"/>
  <c r="AK28" i="42"/>
  <c r="AI28" i="42"/>
  <c r="AM28" i="42"/>
  <c r="AR28" i="42"/>
  <c r="AH50" i="42"/>
  <c r="AH36" i="42"/>
  <c r="AH40" i="42" s="1"/>
  <c r="AH51" i="42"/>
  <c r="AP28" i="42"/>
  <c r="AJ28" i="42"/>
  <c r="W51" i="42"/>
  <c r="W54" i="42"/>
  <c r="W60" i="42" s="1"/>
  <c r="W36" i="42"/>
  <c r="W40" i="42" s="1"/>
  <c r="W50" i="42"/>
  <c r="U54" i="42"/>
  <c r="U60" i="42" s="1"/>
  <c r="U36" i="42"/>
  <c r="U40" i="42" s="1"/>
  <c r="U51" i="42"/>
  <c r="U50" i="42"/>
  <c r="Z50" i="42"/>
  <c r="Z54" i="42"/>
  <c r="Z60" i="42" s="1"/>
  <c r="Z51" i="42"/>
  <c r="Z36" i="42"/>
  <c r="Z40" i="42" s="1"/>
  <c r="M36" i="42"/>
  <c r="M40" i="42" s="1"/>
  <c r="M51" i="42"/>
  <c r="M50" i="42"/>
  <c r="M54" i="42"/>
  <c r="M60" i="42" s="1"/>
  <c r="AA51" i="42"/>
  <c r="AA36" i="42"/>
  <c r="AA40" i="42" s="1"/>
  <c r="AA50" i="42"/>
  <c r="AD51" i="42"/>
  <c r="AD36" i="42"/>
  <c r="AD40" i="42" s="1"/>
  <c r="AD50" i="42"/>
  <c r="AD54" i="42"/>
  <c r="AD60" i="42" s="1"/>
  <c r="N54" i="42"/>
  <c r="N60" i="42" s="1"/>
  <c r="N36" i="42"/>
  <c r="N40" i="42" s="1"/>
  <c r="N51" i="42"/>
  <c r="N50" i="42"/>
  <c r="BD28" i="42"/>
  <c r="AS36" i="42"/>
  <c r="AS40" i="42" s="1"/>
  <c r="AS51" i="42"/>
  <c r="AZ28" i="42"/>
  <c r="BF28" i="42"/>
  <c r="AU28" i="42"/>
  <c r="AY28" i="42"/>
  <c r="BE28" i="42"/>
  <c r="AS54" i="42"/>
  <c r="AS60" i="42" s="1"/>
  <c r="AV28" i="42"/>
  <c r="AX28" i="42"/>
  <c r="AS50" i="42"/>
  <c r="BB28" i="42"/>
  <c r="AW28" i="42"/>
  <c r="BA28" i="42"/>
  <c r="BC28" i="42"/>
  <c r="AB51" i="42"/>
  <c r="AB36" i="42"/>
  <c r="AB40" i="42" s="1"/>
  <c r="AB50" i="42"/>
  <c r="AB54" i="42"/>
  <c r="AB60" i="42" s="1"/>
  <c r="AE36" i="42"/>
  <c r="AE40" i="42" s="1"/>
  <c r="AE54" i="42"/>
  <c r="AE60" i="42" s="1"/>
  <c r="AE51" i="42"/>
  <c r="AE50" i="42"/>
  <c r="D41" i="14" l="1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G41" i="14"/>
  <c r="AH41" i="14"/>
  <c r="AI41" i="14"/>
  <c r="AJ41" i="14"/>
  <c r="AL41" i="14"/>
  <c r="AO41" i="14"/>
  <c r="AS41" i="14"/>
  <c r="AV41" i="14"/>
  <c r="AZ41" i="14"/>
  <c r="BC41" i="14"/>
  <c r="BE41" i="14"/>
  <c r="BH41" i="14"/>
  <c r="E41" i="14"/>
  <c r="E88" i="14" s="1"/>
  <c r="AF41" i="14"/>
  <c r="AK41" i="14"/>
  <c r="AN41" i="14"/>
  <c r="AP41" i="14"/>
  <c r="AQ41" i="14"/>
  <c r="AT41" i="14"/>
  <c r="AX41" i="14"/>
  <c r="BB41" i="14"/>
  <c r="BG41" i="14"/>
  <c r="BJ41" i="14"/>
  <c r="F41" i="14"/>
  <c r="AM41" i="14"/>
  <c r="AR41" i="14"/>
  <c r="AU41" i="14"/>
  <c r="AW41" i="14"/>
  <c r="AY41" i="14"/>
  <c r="BA41" i="14"/>
  <c r="BD41" i="14"/>
  <c r="BF41" i="14"/>
  <c r="BI41" i="14"/>
  <c r="C41" i="14"/>
  <c r="D36" i="14"/>
  <c r="K11" i="42"/>
  <c r="K45" i="42" s="1"/>
  <c r="K59" i="42" s="1"/>
  <c r="K63" i="42" s="1"/>
  <c r="U8" i="10"/>
  <c r="W8" i="10" s="1"/>
  <c r="C8" i="10"/>
  <c r="E8" i="10" s="1"/>
  <c r="I14" i="42" s="1"/>
  <c r="I13" i="42" s="1"/>
  <c r="BP28" i="42"/>
  <c r="BP36" i="42" s="1"/>
  <c r="BP40" i="42" s="1"/>
  <c r="CG7" i="42"/>
  <c r="CH7" i="42" s="1"/>
  <c r="BR28" i="42"/>
  <c r="BQ28" i="42"/>
  <c r="D38" i="2"/>
  <c r="E38" i="2" s="1"/>
  <c r="D41" i="2"/>
  <c r="AW21" i="42"/>
  <c r="AF21" i="42"/>
  <c r="BE21" i="42"/>
  <c r="AX21" i="42"/>
  <c r="AC21" i="42"/>
  <c r="BA21" i="42"/>
  <c r="AR21" i="42"/>
  <c r="AA21" i="42"/>
  <c r="M21" i="42"/>
  <c r="X21" i="42"/>
  <c r="AU21" i="42"/>
  <c r="AM21" i="42"/>
  <c r="W21" i="42"/>
  <c r="AG21" i="42"/>
  <c r="AY21" i="42"/>
  <c r="AK21" i="42"/>
  <c r="N21" i="42"/>
  <c r="AS21" i="42"/>
  <c r="V21" i="42"/>
  <c r="R21" i="42"/>
  <c r="U21" i="42"/>
  <c r="AE21" i="42"/>
  <c r="BC21" i="42"/>
  <c r="S21" i="42"/>
  <c r="AI21" i="42"/>
  <c r="K21" i="42"/>
  <c r="AD21" i="42"/>
  <c r="Q21" i="42"/>
  <c r="AZ21" i="42"/>
  <c r="AQ21" i="42"/>
  <c r="L21" i="42"/>
  <c r="T21" i="42"/>
  <c r="J21" i="42"/>
  <c r="AJ21" i="42"/>
  <c r="AL21" i="42"/>
  <c r="AO21" i="42"/>
  <c r="B65" i="14"/>
  <c r="AB21" i="42"/>
  <c r="O21" i="42"/>
  <c r="P21" i="42"/>
  <c r="BB21" i="42"/>
  <c r="BD21" i="42"/>
  <c r="AH21" i="42"/>
  <c r="AV21" i="42"/>
  <c r="AN21" i="42"/>
  <c r="AT21" i="42"/>
  <c r="Y21" i="42"/>
  <c r="AP21" i="42"/>
  <c r="I8" i="10"/>
  <c r="K8" i="10" s="1"/>
  <c r="AG14" i="42" s="1"/>
  <c r="AG13" i="42" s="1"/>
  <c r="R8" i="10"/>
  <c r="T8" i="10" s="1"/>
  <c r="O8" i="10"/>
  <c r="Q8" i="10" s="1"/>
  <c r="BE14" i="42" s="1"/>
  <c r="L8" i="10"/>
  <c r="N8" i="10" s="1"/>
  <c r="AS14" i="42" s="1"/>
  <c r="AS13" i="42" s="1"/>
  <c r="F8" i="10"/>
  <c r="H8" i="10" s="1"/>
  <c r="U14" i="42" s="1"/>
  <c r="U13" i="42" s="1"/>
  <c r="AQ54" i="42"/>
  <c r="AQ60" i="42" s="1"/>
  <c r="AQ51" i="42"/>
  <c r="AO50" i="42"/>
  <c r="AQ36" i="42"/>
  <c r="AQ40" i="42" s="1"/>
  <c r="AO51" i="42"/>
  <c r="AO36" i="42"/>
  <c r="AO40" i="42" s="1"/>
  <c r="AL50" i="42"/>
  <c r="AL54" i="42"/>
  <c r="AL60" i="42" s="1"/>
  <c r="AN50" i="42"/>
  <c r="AL36" i="42"/>
  <c r="AL40" i="42" s="1"/>
  <c r="AN54" i="42"/>
  <c r="AN60" i="42" s="1"/>
  <c r="AL51" i="42"/>
  <c r="AN36" i="42"/>
  <c r="AN40" i="42" s="1"/>
  <c r="AT50" i="42"/>
  <c r="AT36" i="42"/>
  <c r="AT40" i="42" s="1"/>
  <c r="AT51" i="42"/>
  <c r="AT54" i="42"/>
  <c r="AT60" i="42" s="1"/>
  <c r="AR50" i="42"/>
  <c r="AR36" i="42"/>
  <c r="AR40" i="42" s="1"/>
  <c r="AR51" i="42"/>
  <c r="AR54" i="42"/>
  <c r="AR60" i="42" s="1"/>
  <c r="AM36" i="42"/>
  <c r="AM40" i="42" s="1"/>
  <c r="AM50" i="42"/>
  <c r="AM54" i="42"/>
  <c r="AM60" i="42" s="1"/>
  <c r="AM51" i="42"/>
  <c r="AJ36" i="42"/>
  <c r="AJ40" i="42" s="1"/>
  <c r="AJ51" i="42"/>
  <c r="AJ50" i="42"/>
  <c r="AJ54" i="42"/>
  <c r="AJ60" i="42" s="1"/>
  <c r="AI50" i="42"/>
  <c r="AI51" i="42"/>
  <c r="AI54" i="42"/>
  <c r="AI60" i="42" s="1"/>
  <c r="AI36" i="42"/>
  <c r="AI40" i="42" s="1"/>
  <c r="AP54" i="42"/>
  <c r="AP60" i="42" s="1"/>
  <c r="AP50" i="42"/>
  <c r="AP36" i="42"/>
  <c r="AP40" i="42" s="1"/>
  <c r="AP51" i="42"/>
  <c r="AK50" i="42"/>
  <c r="AK54" i="42"/>
  <c r="AK60" i="42" s="1"/>
  <c r="AK51" i="42"/>
  <c r="AK36" i="42"/>
  <c r="AK40" i="42" s="1"/>
  <c r="AV51" i="42"/>
  <c r="AV54" i="42"/>
  <c r="AV60" i="42" s="1"/>
  <c r="AV50" i="42"/>
  <c r="AV36" i="42"/>
  <c r="AV40" i="42" s="1"/>
  <c r="BC51" i="42"/>
  <c r="BC54" i="42"/>
  <c r="BC60" i="42" s="1"/>
  <c r="BC36" i="42"/>
  <c r="BC40" i="42" s="1"/>
  <c r="BC50" i="42"/>
  <c r="AZ54" i="42"/>
  <c r="AZ60" i="42" s="1"/>
  <c r="AZ50" i="42"/>
  <c r="AZ51" i="42"/>
  <c r="AZ36" i="42"/>
  <c r="AZ40" i="42" s="1"/>
  <c r="AX51" i="42"/>
  <c r="AX54" i="42"/>
  <c r="AX60" i="42" s="1"/>
  <c r="AX36" i="42"/>
  <c r="AX40" i="42" s="1"/>
  <c r="AX50" i="42"/>
  <c r="BD36" i="42"/>
  <c r="BD40" i="42" s="1"/>
  <c r="BD51" i="42"/>
  <c r="BD50" i="42"/>
  <c r="BD54" i="42"/>
  <c r="BD60" i="42" s="1"/>
  <c r="BE50" i="42"/>
  <c r="BE54" i="42"/>
  <c r="BE60" i="42" s="1"/>
  <c r="BE36" i="42"/>
  <c r="BE40" i="42" s="1"/>
  <c r="BE51" i="42"/>
  <c r="BA54" i="42"/>
  <c r="BA60" i="42" s="1"/>
  <c r="BA50" i="42"/>
  <c r="BA36" i="42"/>
  <c r="BA40" i="42" s="1"/>
  <c r="BA51" i="42"/>
  <c r="AY50" i="42"/>
  <c r="AY36" i="42"/>
  <c r="AY40" i="42" s="1"/>
  <c r="AY54" i="42"/>
  <c r="AY60" i="42" s="1"/>
  <c r="AY51" i="42"/>
  <c r="AW36" i="42"/>
  <c r="AW40" i="42" s="1"/>
  <c r="AW54" i="42"/>
  <c r="AW60" i="42" s="1"/>
  <c r="AW51" i="42"/>
  <c r="AW50" i="42"/>
  <c r="AU54" i="42"/>
  <c r="AU60" i="42" s="1"/>
  <c r="AU36" i="42"/>
  <c r="AU40" i="42" s="1"/>
  <c r="AU50" i="42"/>
  <c r="AU51" i="42"/>
  <c r="BB54" i="42"/>
  <c r="BB60" i="42" s="1"/>
  <c r="BB51" i="42"/>
  <c r="BB50" i="42"/>
  <c r="BB36" i="42"/>
  <c r="BB40" i="42" s="1"/>
  <c r="BJ28" i="42"/>
  <c r="BI28" i="42"/>
  <c r="BF54" i="42"/>
  <c r="BF60" i="42" s="1"/>
  <c r="BM28" i="42"/>
  <c r="BO28" i="42"/>
  <c r="BN28" i="42"/>
  <c r="BK28" i="42"/>
  <c r="BL28" i="42"/>
  <c r="BF50" i="42"/>
  <c r="BG28" i="42"/>
  <c r="BF36" i="42"/>
  <c r="BF40" i="42" s="1"/>
  <c r="BH28" i="42"/>
  <c r="BF51" i="42"/>
  <c r="BD11" i="42" l="1"/>
  <c r="BD45" i="42" s="1"/>
  <c r="AX88" i="14"/>
  <c r="BJ11" i="42"/>
  <c r="BJ45" i="42" s="1"/>
  <c r="BD88" i="14"/>
  <c r="BI11" i="42"/>
  <c r="BI45" i="42" s="1"/>
  <c r="BC88" i="14"/>
  <c r="BH11" i="42"/>
  <c r="BH45" i="42" s="1"/>
  <c r="BB88" i="14"/>
  <c r="BG11" i="42"/>
  <c r="BG45" i="42" s="1"/>
  <c r="BA88" i="14"/>
  <c r="AX11" i="42"/>
  <c r="AX45" i="42" s="1"/>
  <c r="AX59" i="42" s="1"/>
  <c r="AX63" i="42" s="1"/>
  <c r="AR88" i="14"/>
  <c r="BM11" i="42"/>
  <c r="BM45" i="42" s="1"/>
  <c r="BG88" i="14"/>
  <c r="AV11" i="42"/>
  <c r="AV45" i="42" s="1"/>
  <c r="AV59" i="42" s="1"/>
  <c r="AV63" i="42" s="1"/>
  <c r="AP88" i="14"/>
  <c r="BB11" i="42"/>
  <c r="BB45" i="42" s="1"/>
  <c r="BB59" i="42" s="1"/>
  <c r="BB63" i="42" s="1"/>
  <c r="AV88" i="14"/>
  <c r="BA11" i="42"/>
  <c r="BA45" i="42" s="1"/>
  <c r="BA59" i="42" s="1"/>
  <c r="BA63" i="42" s="1"/>
  <c r="AU88" i="14"/>
  <c r="AZ11" i="42"/>
  <c r="AZ45" i="42" s="1"/>
  <c r="AZ59" i="42" s="1"/>
  <c r="AZ63" i="42" s="1"/>
  <c r="AT88" i="14"/>
  <c r="AS88" i="14"/>
  <c r="AY11" i="42"/>
  <c r="AY45" i="42" s="1"/>
  <c r="AY59" i="42" s="1"/>
  <c r="AY63" i="42" s="1"/>
  <c r="AP11" i="42"/>
  <c r="AP45" i="42" s="1"/>
  <c r="AP59" i="42" s="1"/>
  <c r="AP63" i="42" s="1"/>
  <c r="AJ88" i="14"/>
  <c r="AT11" i="42"/>
  <c r="AT45" i="42" s="1"/>
  <c r="AT59" i="42" s="1"/>
  <c r="AT63" i="42" s="1"/>
  <c r="AN88" i="14"/>
  <c r="AR11" i="42"/>
  <c r="AR45" i="42" s="1"/>
  <c r="AR59" i="42" s="1"/>
  <c r="AR63" i="42" s="1"/>
  <c r="AL88" i="14"/>
  <c r="AH11" i="42"/>
  <c r="AH45" i="42" s="1"/>
  <c r="AH59" i="42" s="1"/>
  <c r="AH63" i="42" s="1"/>
  <c r="AC69" i="14"/>
  <c r="AB88" i="14"/>
  <c r="J69" i="14"/>
  <c r="K88" i="14"/>
  <c r="Q11" i="42"/>
  <c r="Q45" i="42" s="1"/>
  <c r="Q59" i="42" s="1"/>
  <c r="Q63" i="42" s="1"/>
  <c r="AY88" i="14"/>
  <c r="BE11" i="42"/>
  <c r="AN11" i="42"/>
  <c r="AN45" i="42" s="1"/>
  <c r="AN59" i="42" s="1"/>
  <c r="AN63" i="42" s="1"/>
  <c r="AH88" i="14"/>
  <c r="AS11" i="42"/>
  <c r="AM88" i="14"/>
  <c r="AQ11" i="42"/>
  <c r="AQ45" i="42" s="1"/>
  <c r="AQ59" i="42" s="1"/>
  <c r="AQ63" i="42" s="1"/>
  <c r="AK88" i="14"/>
  <c r="AW88" i="14"/>
  <c r="BC11" i="42"/>
  <c r="BC45" i="42" s="1"/>
  <c r="BC59" i="42" s="1"/>
  <c r="BC63" i="42" s="1"/>
  <c r="AW11" i="42"/>
  <c r="AW45" i="42" s="1"/>
  <c r="AW59" i="42" s="1"/>
  <c r="AW63" i="42" s="1"/>
  <c r="AQ88" i="14"/>
  <c r="AA69" i="14"/>
  <c r="AF11" i="42"/>
  <c r="AF45" i="42" s="1"/>
  <c r="AF59" i="42" s="1"/>
  <c r="AF63" i="42" s="1"/>
  <c r="Z88" i="14"/>
  <c r="AL11" i="42"/>
  <c r="AL45" i="42" s="1"/>
  <c r="AL59" i="42" s="1"/>
  <c r="AL63" i="42" s="1"/>
  <c r="AF88" i="14"/>
  <c r="AK11" i="42"/>
  <c r="AK45" i="42" s="1"/>
  <c r="AK59" i="42" s="1"/>
  <c r="AK63" i="42" s="1"/>
  <c r="AE88" i="14"/>
  <c r="AJ11" i="42"/>
  <c r="AJ45" i="42" s="1"/>
  <c r="AJ59" i="42" s="1"/>
  <c r="AJ63" i="42" s="1"/>
  <c r="AD88" i="14"/>
  <c r="AI11" i="42"/>
  <c r="AI45" i="42" s="1"/>
  <c r="AI59" i="42" s="1"/>
  <c r="AI63" i="42" s="1"/>
  <c r="AD69" i="14"/>
  <c r="AC88" i="14"/>
  <c r="Z11" i="42"/>
  <c r="Z45" i="42" s="1"/>
  <c r="Z59" i="42" s="1"/>
  <c r="Z63" i="42" s="1"/>
  <c r="T88" i="14"/>
  <c r="Y69" i="14"/>
  <c r="AD11" i="42"/>
  <c r="AD45" i="42" s="1"/>
  <c r="AD59" i="42" s="1"/>
  <c r="AD63" i="42" s="1"/>
  <c r="X88" i="14"/>
  <c r="X69" i="14"/>
  <c r="AC11" i="42"/>
  <c r="AC45" i="42" s="1"/>
  <c r="AC59" i="42" s="1"/>
  <c r="AC63" i="42" s="1"/>
  <c r="W88" i="14"/>
  <c r="AB11" i="42"/>
  <c r="AB45" i="42" s="1"/>
  <c r="AB59" i="42" s="1"/>
  <c r="AB63" i="42" s="1"/>
  <c r="V88" i="14"/>
  <c r="AA11" i="42"/>
  <c r="AA45" i="42" s="1"/>
  <c r="AA59" i="42" s="1"/>
  <c r="AA63" i="42" s="1"/>
  <c r="U88" i="14"/>
  <c r="R11" i="42"/>
  <c r="R45" i="42" s="1"/>
  <c r="R59" i="42" s="1"/>
  <c r="R63" i="42" s="1"/>
  <c r="K69" i="14"/>
  <c r="L88" i="14"/>
  <c r="AS45" i="42"/>
  <c r="AS59" i="42" s="1"/>
  <c r="AS63" i="42" s="1"/>
  <c r="AM11" i="42"/>
  <c r="AM45" i="42" s="1"/>
  <c r="AM59" i="42" s="1"/>
  <c r="AM63" i="42" s="1"/>
  <c r="AG88" i="14"/>
  <c r="J11" i="42"/>
  <c r="J45" i="42" s="1"/>
  <c r="J59" i="42" s="1"/>
  <c r="J63" i="42" s="1"/>
  <c r="D69" i="14"/>
  <c r="D88" i="14"/>
  <c r="T11" i="42"/>
  <c r="T45" i="42" s="1"/>
  <c r="T59" i="42" s="1"/>
  <c r="T63" i="42" s="1"/>
  <c r="M69" i="14"/>
  <c r="N88" i="14"/>
  <c r="W11" i="42"/>
  <c r="W45" i="42" s="1"/>
  <c r="W59" i="42" s="1"/>
  <c r="W63" i="42" s="1"/>
  <c r="Q88" i="14"/>
  <c r="Y11" i="42"/>
  <c r="Y45" i="42" s="1"/>
  <c r="Y59" i="42" s="1"/>
  <c r="Y63" i="42" s="1"/>
  <c r="S88" i="14"/>
  <c r="BK11" i="42"/>
  <c r="BK45" i="42" s="1"/>
  <c r="BE88" i="14"/>
  <c r="N11" i="42"/>
  <c r="N45" i="42" s="1"/>
  <c r="N59" i="42" s="1"/>
  <c r="N63" i="42" s="1"/>
  <c r="H88" i="14"/>
  <c r="G88" i="14"/>
  <c r="M11" i="42"/>
  <c r="M45" i="42" s="1"/>
  <c r="M59" i="42" s="1"/>
  <c r="M63" i="42" s="1"/>
  <c r="F88" i="14"/>
  <c r="L11" i="42"/>
  <c r="L45" i="42" s="1"/>
  <c r="L59" i="42" s="1"/>
  <c r="L63" i="42" s="1"/>
  <c r="BN11" i="42"/>
  <c r="BH88" i="14"/>
  <c r="AO88" i="14"/>
  <c r="AU11" i="42"/>
  <c r="AU45" i="42" s="1"/>
  <c r="AU59" i="42" s="1"/>
  <c r="AU63" i="42" s="1"/>
  <c r="AO11" i="42"/>
  <c r="AO45" i="42" s="1"/>
  <c r="AO59" i="42" s="1"/>
  <c r="AO63" i="42" s="1"/>
  <c r="AI88" i="14"/>
  <c r="R88" i="14"/>
  <c r="X11" i="42"/>
  <c r="X45" i="42" s="1"/>
  <c r="X59" i="42" s="1"/>
  <c r="X63" i="42" s="1"/>
  <c r="AA88" i="14"/>
  <c r="AB69" i="14"/>
  <c r="AG11" i="42"/>
  <c r="AG45" i="42" s="1"/>
  <c r="AG59" i="42" s="1"/>
  <c r="AG63" i="42" s="1"/>
  <c r="P11" i="42"/>
  <c r="P45" i="42" s="1"/>
  <c r="P59" i="42" s="1"/>
  <c r="P63" i="42" s="1"/>
  <c r="G69" i="14"/>
  <c r="J88" i="14"/>
  <c r="V11" i="42"/>
  <c r="V45" i="42" s="1"/>
  <c r="V59" i="42" s="1"/>
  <c r="V63" i="42" s="1"/>
  <c r="O69" i="14"/>
  <c r="P88" i="14"/>
  <c r="U11" i="42"/>
  <c r="U45" i="42" s="1"/>
  <c r="U59" i="42" s="1"/>
  <c r="U63" i="42" s="1"/>
  <c r="N69" i="14"/>
  <c r="O88" i="14"/>
  <c r="S11" i="42"/>
  <c r="S45" i="42" s="1"/>
  <c r="S59" i="42" s="1"/>
  <c r="S63" i="42" s="1"/>
  <c r="L69" i="14"/>
  <c r="M88" i="14"/>
  <c r="O11" i="42"/>
  <c r="O45" i="42" s="1"/>
  <c r="O59" i="42" s="1"/>
  <c r="O63" i="42" s="1"/>
  <c r="F69" i="14"/>
  <c r="I88" i="14"/>
  <c r="BF88" i="14"/>
  <c r="BL11" i="42"/>
  <c r="BL45" i="42" s="1"/>
  <c r="Z69" i="14"/>
  <c r="AE11" i="42"/>
  <c r="AE45" i="42" s="1"/>
  <c r="AE59" i="42" s="1"/>
  <c r="AE63" i="42" s="1"/>
  <c r="Y88" i="14"/>
  <c r="I11" i="42"/>
  <c r="I45" i="42" s="1"/>
  <c r="I59" i="42" s="1"/>
  <c r="I63" i="42" s="1"/>
  <c r="C69" i="14"/>
  <c r="C88" i="14"/>
  <c r="BJ88" i="14"/>
  <c r="BP11" i="42"/>
  <c r="BP45" i="42" s="1"/>
  <c r="BI88" i="14"/>
  <c r="BO11" i="42"/>
  <c r="BO45" i="42" s="1"/>
  <c r="BF11" i="42"/>
  <c r="BF45" i="42" s="1"/>
  <c r="BF59" i="42" s="1"/>
  <c r="BF63" i="42" s="1"/>
  <c r="AZ88" i="14"/>
  <c r="BE13" i="42"/>
  <c r="BQ14" i="42"/>
  <c r="BQ13" i="42" s="1"/>
  <c r="BQ45" i="42" s="1"/>
  <c r="BV13" i="42"/>
  <c r="CC14" i="42"/>
  <c r="CC13" i="42" s="1"/>
  <c r="BR51" i="42"/>
  <c r="BW28" i="42"/>
  <c r="BZ28" i="42"/>
  <c r="BZ51" i="42" s="1"/>
  <c r="CD28" i="42"/>
  <c r="CD36" i="42" s="1"/>
  <c r="CD40" i="42" s="1"/>
  <c r="BX28" i="42"/>
  <c r="BX50" i="42" s="1"/>
  <c r="CA28" i="42"/>
  <c r="CA51" i="42" s="1"/>
  <c r="BY28" i="42"/>
  <c r="BY54" i="42" s="1"/>
  <c r="BY60" i="42" s="1"/>
  <c r="BT28" i="42"/>
  <c r="BT54" i="42" s="1"/>
  <c r="BT60" i="42" s="1"/>
  <c r="BU28" i="42"/>
  <c r="BU50" i="42" s="1"/>
  <c r="CC28" i="42"/>
  <c r="CC54" i="42" s="1"/>
  <c r="CC60" i="42" s="1"/>
  <c r="BV28" i="42"/>
  <c r="BV36" i="42" s="1"/>
  <c r="BV40" i="42" s="1"/>
  <c r="BS28" i="42"/>
  <c r="BS36" i="42" s="1"/>
  <c r="BS40" i="42" s="1"/>
  <c r="CB28" i="42"/>
  <c r="CB50" i="42" s="1"/>
  <c r="BP51" i="42"/>
  <c r="CP7" i="42"/>
  <c r="CQ7" i="42" s="1"/>
  <c r="CR7" i="42" s="1"/>
  <c r="CI7" i="42"/>
  <c r="CJ7" i="42" s="1"/>
  <c r="CK7" i="42" s="1"/>
  <c r="CL7" i="42" s="1"/>
  <c r="BP50" i="42"/>
  <c r="BP54" i="42"/>
  <c r="BP60" i="42" s="1"/>
  <c r="BR36" i="42"/>
  <c r="BR40" i="42" s="1"/>
  <c r="BR45" i="42"/>
  <c r="BR50" i="42"/>
  <c r="BR54" i="42"/>
  <c r="BR60" i="42" s="1"/>
  <c r="BQ36" i="42"/>
  <c r="BQ40" i="42" s="1"/>
  <c r="BQ54" i="42"/>
  <c r="BQ60" i="42" s="1"/>
  <c r="BQ51" i="42"/>
  <c r="BQ50" i="42"/>
  <c r="C42" i="2"/>
  <c r="H81" i="42"/>
  <c r="H84" i="42"/>
  <c r="BD59" i="42"/>
  <c r="BD63" i="42" s="1"/>
  <c r="BL36" i="42"/>
  <c r="BL40" i="42" s="1"/>
  <c r="BL51" i="42"/>
  <c r="BL50" i="42"/>
  <c r="BL54" i="42"/>
  <c r="BL60" i="42" s="1"/>
  <c r="BN50" i="42"/>
  <c r="BN36" i="42"/>
  <c r="BN40" i="42" s="1"/>
  <c r="BN45" i="42"/>
  <c r="BN54" i="42"/>
  <c r="BN60" i="42" s="1"/>
  <c r="BN51" i="42"/>
  <c r="BK51" i="42"/>
  <c r="BK54" i="42"/>
  <c r="BK60" i="42" s="1"/>
  <c r="BK50" i="42"/>
  <c r="BK36" i="42"/>
  <c r="BK40" i="42" s="1"/>
  <c r="BJ36" i="42"/>
  <c r="BJ40" i="42" s="1"/>
  <c r="BJ51" i="42"/>
  <c r="BJ54" i="42"/>
  <c r="BJ60" i="42" s="1"/>
  <c r="BJ50" i="42"/>
  <c r="BH51" i="42"/>
  <c r="BH54" i="42"/>
  <c r="BH60" i="42" s="1"/>
  <c r="BH50" i="42"/>
  <c r="BH36" i="42"/>
  <c r="BH40" i="42" s="1"/>
  <c r="BO51" i="42"/>
  <c r="BO36" i="42"/>
  <c r="BO40" i="42" s="1"/>
  <c r="BO50" i="42"/>
  <c r="BO54" i="42"/>
  <c r="BO60" i="42" s="1"/>
  <c r="BI36" i="42"/>
  <c r="BI40" i="42" s="1"/>
  <c r="BI50" i="42"/>
  <c r="BI54" i="42"/>
  <c r="BI60" i="42" s="1"/>
  <c r="BI51" i="42"/>
  <c r="BG36" i="42"/>
  <c r="BG40" i="42" s="1"/>
  <c r="BG50" i="42"/>
  <c r="BG51" i="42"/>
  <c r="BG54" i="42"/>
  <c r="BG60" i="42" s="1"/>
  <c r="BM51" i="42"/>
  <c r="BM36" i="42"/>
  <c r="BM40" i="42" s="1"/>
  <c r="BM50" i="42"/>
  <c r="BM54" i="42"/>
  <c r="BM60" i="42" s="1"/>
  <c r="BE45" i="42" l="1"/>
  <c r="BE59" i="42" s="1"/>
  <c r="BE63" i="42" s="1"/>
  <c r="BU54" i="42"/>
  <c r="BU60" i="42" s="1"/>
  <c r="BV50" i="42"/>
  <c r="BU51" i="42"/>
  <c r="BU36" i="42"/>
  <c r="BU40" i="42" s="1"/>
  <c r="BV45" i="42"/>
  <c r="BV54" i="42"/>
  <c r="BV60" i="42" s="1"/>
  <c r="BU45" i="42"/>
  <c r="BZ50" i="42"/>
  <c r="CC51" i="42"/>
  <c r="CC45" i="42"/>
  <c r="BS54" i="42"/>
  <c r="BS60" i="42" s="1"/>
  <c r="BZ36" i="42"/>
  <c r="BZ40" i="42" s="1"/>
  <c r="BZ54" i="42"/>
  <c r="BZ60" i="42" s="1"/>
  <c r="BZ45" i="42"/>
  <c r="CC50" i="42"/>
  <c r="CA45" i="42"/>
  <c r="CC36" i="42"/>
  <c r="CC40" i="42" s="1"/>
  <c r="BS45" i="42"/>
  <c r="CD45" i="42"/>
  <c r="CD54" i="42"/>
  <c r="CD60" i="42" s="1"/>
  <c r="CA36" i="42"/>
  <c r="CA40" i="42" s="1"/>
  <c r="BY45" i="42"/>
  <c r="BX36" i="42"/>
  <c r="BX40" i="42" s="1"/>
  <c r="CB51" i="42"/>
  <c r="BY50" i="42"/>
  <c r="BX54" i="42"/>
  <c r="BX60" i="42" s="1"/>
  <c r="BY51" i="42"/>
  <c r="BX51" i="42"/>
  <c r="CA50" i="42"/>
  <c r="BT51" i="42"/>
  <c r="CB45" i="42"/>
  <c r="BX45" i="42"/>
  <c r="BY36" i="42"/>
  <c r="BY40" i="42" s="1"/>
  <c r="BT50" i="42"/>
  <c r="BT45" i="42"/>
  <c r="BT36" i="42"/>
  <c r="BT40" i="42" s="1"/>
  <c r="CD51" i="42"/>
  <c r="BV51" i="42"/>
  <c r="CB54" i="42"/>
  <c r="CB60" i="42" s="1"/>
  <c r="CA54" i="42"/>
  <c r="CA60" i="42" s="1"/>
  <c r="BS51" i="42"/>
  <c r="BW45" i="42"/>
  <c r="BW36" i="42"/>
  <c r="BW40" i="42" s="1"/>
  <c r="BW51" i="42"/>
  <c r="BW54" i="42"/>
  <c r="BW60" i="42" s="1"/>
  <c r="BW50" i="42"/>
  <c r="CB36" i="42"/>
  <c r="CB40" i="42" s="1"/>
  <c r="CF28" i="42"/>
  <c r="CN28" i="42"/>
  <c r="CG28" i="42"/>
  <c r="CO28" i="42"/>
  <c r="CH28" i="42"/>
  <c r="CP28" i="42"/>
  <c r="CI28" i="42"/>
  <c r="CJ28" i="42"/>
  <c r="CK28" i="42"/>
  <c r="CL28" i="42"/>
  <c r="CM28" i="42"/>
  <c r="CE28" i="42"/>
  <c r="BS50" i="42"/>
  <c r="CD50" i="42"/>
  <c r="CM7" i="42"/>
  <c r="CO7" i="42" s="1"/>
  <c r="CN7" i="42"/>
  <c r="BP59" i="42"/>
  <c r="BP63" i="42" s="1"/>
  <c r="BR59" i="42"/>
  <c r="BR63" i="42" s="1"/>
  <c r="BQ59" i="42"/>
  <c r="BQ63" i="42" s="1"/>
  <c r="BO59" i="42"/>
  <c r="BO63" i="42" s="1"/>
  <c r="BG59" i="42"/>
  <c r="BG63" i="42" s="1"/>
  <c r="BN59" i="42"/>
  <c r="BN63" i="42" s="1"/>
  <c r="BM59" i="42"/>
  <c r="BM63" i="42" s="1"/>
  <c r="BI59" i="42"/>
  <c r="BI63" i="42" s="1"/>
  <c r="BL59" i="42"/>
  <c r="BL63" i="42" s="1"/>
  <c r="BH59" i="42"/>
  <c r="BH63" i="42" s="1"/>
  <c r="BK59" i="42"/>
  <c r="BK63" i="42" s="1"/>
  <c r="BJ59" i="42"/>
  <c r="BJ63" i="42" s="1"/>
  <c r="BU59" i="42" l="1"/>
  <c r="BU63" i="42" s="1"/>
  <c r="BV59" i="42"/>
  <c r="BV63" i="42" s="1"/>
  <c r="CC59" i="42"/>
  <c r="CC63" i="42" s="1"/>
  <c r="BZ59" i="42"/>
  <c r="BZ63" i="42" s="1"/>
  <c r="CD59" i="42"/>
  <c r="CD63" i="42" s="1"/>
  <c r="BY59" i="42"/>
  <c r="BY63" i="42" s="1"/>
  <c r="BX59" i="42"/>
  <c r="BX63" i="42" s="1"/>
  <c r="CB59" i="42"/>
  <c r="CB63" i="42" s="1"/>
  <c r="CA59" i="42"/>
  <c r="CA63" i="42" s="1"/>
  <c r="BS59" i="42"/>
  <c r="BS63" i="42" s="1"/>
  <c r="BT59" i="42"/>
  <c r="BT63" i="42" s="1"/>
  <c r="CP45" i="42"/>
  <c r="CP51" i="42"/>
  <c r="CP54" i="42"/>
  <c r="CP60" i="42" s="1"/>
  <c r="CP36" i="42"/>
  <c r="CP40" i="42" s="1"/>
  <c r="CP50" i="42"/>
  <c r="CH54" i="42"/>
  <c r="CH60" i="42" s="1"/>
  <c r="CH50" i="42"/>
  <c r="CH36" i="42"/>
  <c r="CH40" i="42" s="1"/>
  <c r="CH45" i="42"/>
  <c r="CH51" i="42"/>
  <c r="CE54" i="42"/>
  <c r="CE60" i="42" s="1"/>
  <c r="CE50" i="42"/>
  <c r="CE51" i="42"/>
  <c r="CE45" i="42"/>
  <c r="CE36" i="42"/>
  <c r="CE40" i="42" s="1"/>
  <c r="CO50" i="42"/>
  <c r="CO36" i="42"/>
  <c r="CO40" i="42" s="1"/>
  <c r="CO51" i="42"/>
  <c r="CO45" i="42"/>
  <c r="CO54" i="42"/>
  <c r="CO60" i="42" s="1"/>
  <c r="BW59" i="42"/>
  <c r="BW63" i="42" s="1"/>
  <c r="CF51" i="42"/>
  <c r="CF45" i="42"/>
  <c r="CF50" i="42"/>
  <c r="CF54" i="42"/>
  <c r="CF60" i="42" s="1"/>
  <c r="CF36" i="42"/>
  <c r="CF40" i="42" s="1"/>
  <c r="CG50" i="42"/>
  <c r="CG45" i="42"/>
  <c r="CG54" i="42"/>
  <c r="CG60" i="42" s="1"/>
  <c r="CG36" i="42"/>
  <c r="CG40" i="42" s="1"/>
  <c r="CG51" i="42"/>
  <c r="CN45" i="42"/>
  <c r="CN36" i="42"/>
  <c r="CN40" i="42" s="1"/>
  <c r="CN51" i="42"/>
  <c r="CN50" i="42"/>
  <c r="CN54" i="42"/>
  <c r="CN60" i="42" s="1"/>
  <c r="CJ36" i="42"/>
  <c r="CJ40" i="42" s="1"/>
  <c r="CJ54" i="42"/>
  <c r="CJ60" i="42" s="1"/>
  <c r="CJ45" i="42"/>
  <c r="CJ51" i="42"/>
  <c r="CJ50" i="42"/>
  <c r="CM51" i="42"/>
  <c r="CM36" i="42"/>
  <c r="CM40" i="42" s="1"/>
  <c r="CM54" i="42"/>
  <c r="CM60" i="42" s="1"/>
  <c r="CM45" i="42"/>
  <c r="CM50" i="42"/>
  <c r="CL50" i="42"/>
  <c r="CL54" i="42"/>
  <c r="CL60" i="42" s="1"/>
  <c r="CL51" i="42"/>
  <c r="CL36" i="42"/>
  <c r="CL40" i="42" s="1"/>
  <c r="CL45" i="42"/>
  <c r="CK36" i="42"/>
  <c r="CK40" i="42" s="1"/>
  <c r="CK50" i="42"/>
  <c r="CK51" i="42"/>
  <c r="CK54" i="42"/>
  <c r="CK60" i="42" s="1"/>
  <c r="CK45" i="42"/>
  <c r="CI51" i="42"/>
  <c r="CI50" i="42"/>
  <c r="CI54" i="42"/>
  <c r="CI60" i="42" s="1"/>
  <c r="CI45" i="42"/>
  <c r="CI36" i="42"/>
  <c r="CI40" i="42" s="1"/>
  <c r="CE59" i="42" l="1"/>
  <c r="CE63" i="42" s="1"/>
  <c r="CI59" i="42"/>
  <c r="CI63" i="42" s="1"/>
  <c r="CN59" i="42"/>
  <c r="CN63" i="42" s="1"/>
  <c r="CK59" i="42"/>
  <c r="CK63" i="42" s="1"/>
  <c r="CJ59" i="42"/>
  <c r="CJ63" i="42" s="1"/>
  <c r="CF59" i="42"/>
  <c r="CF63" i="42" s="1"/>
  <c r="CL59" i="42"/>
  <c r="CL63" i="42" s="1"/>
  <c r="CO59" i="42"/>
  <c r="CO63" i="42" s="1"/>
  <c r="CM59" i="42"/>
  <c r="CM63" i="42" s="1"/>
  <c r="CG59" i="42"/>
  <c r="CG63" i="42" s="1"/>
  <c r="CH59" i="42"/>
  <c r="CH63" i="42" s="1"/>
  <c r="CP59" i="42"/>
  <c r="CP63" i="42" s="1"/>
  <c r="H90" i="42" l="1"/>
  <c r="H94" i="42" l="1"/>
  <c r="H93" i="42"/>
  <c r="H92" i="42"/>
  <c r="H95" i="42" l="1"/>
  <c r="H96" i="42" s="1"/>
  <c r="CR32" i="42" s="1"/>
  <c r="CR42" i="42" s="1"/>
  <c r="CR60" i="42" s="1"/>
  <c r="CR63" i="42" s="1"/>
  <c r="CS63" i="42" l="1"/>
  <c r="H72" i="42"/>
  <c r="H74" i="42"/>
  <c r="H85" i="42"/>
</calcChain>
</file>

<file path=xl/sharedStrings.xml><?xml version="1.0" encoding="utf-8"?>
<sst xmlns="http://schemas.openxmlformats.org/spreadsheetml/2006/main" count="497" uniqueCount="307">
  <si>
    <t>INFORMAÇÕES</t>
  </si>
  <si>
    <t>PREÇO CLIENTE DIBRACAM ESTOQUE 2 UNIDADES EM 26/12</t>
  </si>
  <si>
    <t xml:space="preserve">DEPOIS 16/17 </t>
  </si>
  <si>
    <t>reduzir comissão dibracam para 2%</t>
  </si>
  <si>
    <t>DATAS (Premissas)</t>
  </si>
  <si>
    <t>Entrada Aquisição Equipamentos (Caminhões+Implementos)</t>
  </si>
  <si>
    <t>prazo</t>
  </si>
  <si>
    <t>Financiamento - Meses de Carência</t>
  </si>
  <si>
    <t>Caminhão</t>
  </si>
  <si>
    <t>VW 8.160 Delivery 16/17 (4300mm entreeixos)</t>
  </si>
  <si>
    <t>Início das parcelas</t>
  </si>
  <si>
    <t>Baú</t>
  </si>
  <si>
    <t>Alumínio/Teto Isolado/Carbus</t>
  </si>
  <si>
    <t>a combinar (Carbus) / 30 dias da confirmação / 10 unidades semana (Facchini)</t>
  </si>
  <si>
    <t>Meses para entrar em operação</t>
  </si>
  <si>
    <t>Plataforma</t>
  </si>
  <si>
    <t>HBZ</t>
  </si>
  <si>
    <t>1 a 2 dias úteis após entrega do baú</t>
  </si>
  <si>
    <t>Início das operações/contrato</t>
  </si>
  <si>
    <t>Meses para vender os caminhões após o fim do contrato</t>
  </si>
  <si>
    <t>Venda dos caminhões</t>
  </si>
  <si>
    <t xml:space="preserve">Manutenção Plataforma / Semestral </t>
  </si>
  <si>
    <t>Cenário I</t>
  </si>
  <si>
    <t>Duração do Contrato (em meses) - Cenário I</t>
  </si>
  <si>
    <t>Sensor de Ré / Sensor Cinto</t>
  </si>
  <si>
    <t>Franquia mensal de KM</t>
  </si>
  <si>
    <t>Adesivagem (SEM ORÇAMENTO)</t>
  </si>
  <si>
    <t>Fim das operações/contrato</t>
  </si>
  <si>
    <t>Despesas Administrativas Gerais/mês/unidade</t>
  </si>
  <si>
    <t>Reajuste - Correção Monetária</t>
  </si>
  <si>
    <t>Periodicidade (em meses)</t>
  </si>
  <si>
    <t xml:space="preserve">Escalonamento de Preços </t>
  </si>
  <si>
    <t>Mês em que incidirá o reajuste</t>
  </si>
  <si>
    <t xml:space="preserve">Índice a ser adotado </t>
  </si>
  <si>
    <t>IGP-M</t>
  </si>
  <si>
    <t>Valor</t>
  </si>
  <si>
    <t>Ano</t>
  </si>
  <si>
    <t>Valor índice de reajustes previsto</t>
  </si>
  <si>
    <t>atencção</t>
  </si>
  <si>
    <t>Desvalorização Mercado - Depreciação Real</t>
  </si>
  <si>
    <t>Veículo</t>
  </si>
  <si>
    <t>% de depreciação (ao ano)</t>
  </si>
  <si>
    <t>preço de venda</t>
  </si>
  <si>
    <t>Implemento</t>
  </si>
  <si>
    <t>Depreciação em 12 meses - Veículo</t>
  </si>
  <si>
    <r>
      <t xml:space="preserve">Valores de </t>
    </r>
    <r>
      <rPr>
        <b/>
        <sz val="12"/>
        <color theme="5" tint="-0.249977111117893"/>
        <rFont val="Calibri"/>
        <family val="2"/>
        <scheme val="minor"/>
      </rPr>
      <t>Compra</t>
    </r>
  </si>
  <si>
    <t>express</t>
  </si>
  <si>
    <t>Valor/un.</t>
  </si>
  <si>
    <t>baú</t>
  </si>
  <si>
    <t>Adesivos e Acessórios</t>
  </si>
  <si>
    <t>Valor/un. (fornecedor Braspeso)</t>
  </si>
  <si>
    <t>Comissão Dibracam Venda usado</t>
  </si>
  <si>
    <t>Equipamento (veículo + Implemento)</t>
  </si>
  <si>
    <t>Valor Total Equipamento + Peso</t>
  </si>
  <si>
    <t>Não Finamizável</t>
  </si>
  <si>
    <r>
      <t xml:space="preserve">Valores de </t>
    </r>
    <r>
      <rPr>
        <b/>
        <sz val="12"/>
        <color rgb="FFFFFF00"/>
        <rFont val="Calibri"/>
        <family val="2"/>
        <scheme val="minor"/>
      </rPr>
      <t>Venda</t>
    </r>
    <r>
      <rPr>
        <b/>
        <sz val="12"/>
        <color theme="1"/>
        <rFont val="Calibri"/>
        <family val="2"/>
        <scheme val="minor"/>
      </rPr>
      <t xml:space="preserve"> - Após encerramento do contrato</t>
    </r>
  </si>
  <si>
    <t>Anos de uso no contrato</t>
  </si>
  <si>
    <t>Depreciação Contábil Ativo Imobilizado (Equipamento - Veículo + Implemento)</t>
  </si>
  <si>
    <t>% do Valor de Compra</t>
  </si>
  <si>
    <t>% desvalorização ao término do contrato</t>
  </si>
  <si>
    <t>Taxa de Depreciação a.a</t>
  </si>
  <si>
    <t>Taxa de Depreciação a.m</t>
  </si>
  <si>
    <t>Valor de Aquisição a ser depreciado</t>
  </si>
  <si>
    <t>Valor depreciação mês</t>
  </si>
  <si>
    <t>Valor do Ativo Após Depreciação Contábil</t>
  </si>
  <si>
    <t xml:space="preserve">Tributação sobre Receita - TOPE - Regime Lucro Presumido </t>
  </si>
  <si>
    <t>TOPE</t>
  </si>
  <si>
    <t>PIS</t>
  </si>
  <si>
    <t>COFINS</t>
  </si>
  <si>
    <t>Total</t>
  </si>
  <si>
    <t>Premissas</t>
  </si>
  <si>
    <t>Contrato (em meses)</t>
  </si>
  <si>
    <t xml:space="preserve">Modelo </t>
  </si>
  <si>
    <t>Franquia KM/mês</t>
  </si>
  <si>
    <t>ANO 1</t>
  </si>
  <si>
    <t>Ano 2</t>
  </si>
  <si>
    <t>Ano 3</t>
  </si>
  <si>
    <t>Ano 4</t>
  </si>
  <si>
    <t>Ano 5</t>
  </si>
  <si>
    <t>Ano 6</t>
  </si>
  <si>
    <t>Ano 7</t>
  </si>
  <si>
    <t>OPERAÇÃO ENCERRADA</t>
  </si>
  <si>
    <t>mês corrido (a partir do deal)</t>
  </si>
  <si>
    <t>preço de custo</t>
  </si>
  <si>
    <t>mês operação</t>
  </si>
  <si>
    <t>Investimento</t>
  </si>
  <si>
    <t>Despesas Operacionais (Representam Saída de Caixa)</t>
  </si>
  <si>
    <t>IPVA</t>
  </si>
  <si>
    <t>Desp. Gerais administrativas</t>
  </si>
  <si>
    <t>Rastreamento</t>
  </si>
  <si>
    <t>Seguro Contra 3os</t>
  </si>
  <si>
    <t>Manutenção</t>
  </si>
  <si>
    <r>
      <t xml:space="preserve">Despesas Operacionais que </t>
    </r>
    <r>
      <rPr>
        <b/>
        <sz val="12"/>
        <color rgb="FFFF0000"/>
        <rFont val="Calibri"/>
        <family val="2"/>
        <scheme val="minor"/>
      </rPr>
      <t>NÃO</t>
    </r>
    <r>
      <rPr>
        <b/>
        <sz val="12"/>
        <color theme="0"/>
        <rFont val="Calibri"/>
        <family val="2"/>
        <scheme val="minor"/>
      </rPr>
      <t xml:space="preserve"> Representam Saída de Caixa</t>
    </r>
  </si>
  <si>
    <t>Depreciação Contábil Veículos</t>
  </si>
  <si>
    <t>Índice Reajuste Anual</t>
  </si>
  <si>
    <t>Receita Operacional Bruta</t>
  </si>
  <si>
    <t>Entrada/Fecham. DEAL</t>
  </si>
  <si>
    <t>30 dias</t>
  </si>
  <si>
    <t>Início da operação</t>
  </si>
  <si>
    <t>Recebimento 1a Fatura (D+30)</t>
  </si>
  <si>
    <t>Venda dos Equipamentos + Receb. Última Fatura</t>
  </si>
  <si>
    <t>Locação Equipamentos</t>
  </si>
  <si>
    <t>Receita Não Operacional</t>
  </si>
  <si>
    <t>Venda Equipamentos</t>
  </si>
  <si>
    <t>Receita Não Operacional 1 - Venda Implementos</t>
  </si>
  <si>
    <t>Receita Não Operacional 2 - Venda Veículos</t>
  </si>
  <si>
    <t xml:space="preserve">Impostos sobre Receita </t>
  </si>
  <si>
    <t>Sobre Receita Operacional</t>
  </si>
  <si>
    <t>PIS/COFINS</t>
  </si>
  <si>
    <t>Receita Líquida</t>
  </si>
  <si>
    <t>Receita Operacional Líquida</t>
  </si>
  <si>
    <t>Receita Não Operacional Líquida</t>
  </si>
  <si>
    <t>Lucro/Prejuízo Operacional Bruto</t>
  </si>
  <si>
    <t>Demais Impostos - VSI Lucro Real</t>
  </si>
  <si>
    <t>Demais Impostos sobre Lucro Operacional</t>
  </si>
  <si>
    <t>IR (15% s/ 32% Receita)</t>
  </si>
  <si>
    <t>CSLL (9% sobre 32% da receita)</t>
  </si>
  <si>
    <t xml:space="preserve">Demais Impostos sobre Lucro Não Operacional </t>
  </si>
  <si>
    <t>IR (15% s/ LUCRO)</t>
  </si>
  <si>
    <t>Adicional ao IR (10% s/ LUCRO)</t>
  </si>
  <si>
    <t>CSLL (9% s/ LUCRO)</t>
  </si>
  <si>
    <t xml:space="preserve">Lucro Líquido </t>
  </si>
  <si>
    <t>Operacional</t>
  </si>
  <si>
    <t>Não Operacional</t>
  </si>
  <si>
    <r>
      <t>Fluxo de Caixa</t>
    </r>
    <r>
      <rPr>
        <b/>
        <sz val="12"/>
        <color rgb="FFFFFF00"/>
        <rFont val="Calibri"/>
        <family val="2"/>
        <scheme val="minor"/>
      </rPr>
      <t xml:space="preserve"> (Atenção caso haja venda de ativos com lucro)</t>
    </r>
  </si>
  <si>
    <t>Preço Mensal Locação/unidade</t>
  </si>
  <si>
    <t>TMA ANUAL (Taxa mín. Atratividade)</t>
  </si>
  <si>
    <t>TMA MENSAL (Taxa mín. Atratividade)</t>
  </si>
  <si>
    <t>VPL</t>
  </si>
  <si>
    <t>atenção a última célula do fluxo (CR63 foi digitada manualmente)</t>
  </si>
  <si>
    <t>TIR MENSAL</t>
  </si>
  <si>
    <t>Premissa Básica</t>
  </si>
  <si>
    <t>Se TIR &gt; TMA = FAZER NEGÓCIO!</t>
  </si>
  <si>
    <t>Apuração Lucro Venda de Ativos Imobilizados (Veículos+Implementos)</t>
  </si>
  <si>
    <t>Depreciação Contábil Acumulada - Equipamento</t>
  </si>
  <si>
    <t>Veículo + Implemento</t>
  </si>
  <si>
    <t xml:space="preserve">Valor de Compra </t>
  </si>
  <si>
    <t xml:space="preserve">Depreciação Contábil Acumulada </t>
  </si>
  <si>
    <t>Valor Residual Contábil (Valor de Compra - Deprec. Contábil Acum.)</t>
  </si>
  <si>
    <t>Valor Venda Veículo (fim do contrato)</t>
  </si>
  <si>
    <t>Lucro Venda de Ativo Imobilizado (Veículo)</t>
  </si>
  <si>
    <t>Base de Cálculo para cálculo de imposto sobre receita não operacional (apenas se &gt; 0)</t>
  </si>
  <si>
    <t>Tributação Sobre Lucro de Venda</t>
  </si>
  <si>
    <t>Total Tributos</t>
  </si>
  <si>
    <t>VALOR LÍQUIDO DE VENDA</t>
  </si>
  <si>
    <t>Financiamento e Investimentos</t>
  </si>
  <si>
    <t>19-420</t>
  </si>
  <si>
    <t>Meses de Contrato de Serviço</t>
  </si>
  <si>
    <t>Meses de Financiamento</t>
  </si>
  <si>
    <t>UNITÁRIO</t>
  </si>
  <si>
    <t>Valor Financiamento</t>
  </si>
  <si>
    <t>Entrada/Parcelas/Quitação</t>
  </si>
  <si>
    <t>LOTE</t>
  </si>
  <si>
    <t>Qtdade (unidades)</t>
  </si>
  <si>
    <t>Valor Total Financiado</t>
  </si>
  <si>
    <t>FINAME</t>
  </si>
  <si>
    <t>Proporção</t>
  </si>
  <si>
    <t>Taxa a.m</t>
  </si>
  <si>
    <t>Taxa a.a</t>
  </si>
  <si>
    <t>Prazo (em meses)</t>
  </si>
  <si>
    <t>Carência (em dias)</t>
  </si>
  <si>
    <t>TJLP</t>
  </si>
  <si>
    <t>SELIC</t>
  </si>
  <si>
    <t>total</t>
  </si>
  <si>
    <t>CDC PJ</t>
  </si>
  <si>
    <t>Entrada</t>
  </si>
  <si>
    <t>-</t>
  </si>
  <si>
    <t>Preço Veículo</t>
  </si>
  <si>
    <t>Preço Implemento</t>
  </si>
  <si>
    <t>CDC</t>
  </si>
  <si>
    <t>taxa de juros</t>
  </si>
  <si>
    <t>Data de início</t>
  </si>
  <si>
    <t>Prazo (meses)</t>
  </si>
  <si>
    <t>Qtde pgtos</t>
  </si>
  <si>
    <t>Parc. A serem pagas</t>
  </si>
  <si>
    <t>Parc. Restantes (trazer a Valor Present.)</t>
  </si>
  <si>
    <t>Valor Parcela</t>
  </si>
  <si>
    <t>Valor total restante - Valor de face</t>
  </si>
  <si>
    <t>Taxa de Juros a.m</t>
  </si>
  <si>
    <t>Taxa de Juros a.a</t>
  </si>
  <si>
    <t>Valor total restante - trazidos à Valor Presente</t>
  </si>
  <si>
    <t>Entrada + Implemento</t>
  </si>
  <si>
    <t>Valor Entrada</t>
  </si>
  <si>
    <t xml:space="preserve">FINAME+CDC PJ </t>
  </si>
  <si>
    <t>Valor Implemento</t>
  </si>
  <si>
    <t>Total Investimento</t>
  </si>
  <si>
    <t>Valor Total</t>
  </si>
  <si>
    <t>Receita</t>
  </si>
  <si>
    <t>PREENCHER PRIMEIRO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</si>
  <si>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ALVO FINAL</t>
    </r>
  </si>
  <si>
    <t>INSTRUÇÕES</t>
  </si>
  <si>
    <t>Modelo + Implemento</t>
  </si>
  <si>
    <t>Un.</t>
  </si>
  <si>
    <t>Valor/Un.</t>
  </si>
  <si>
    <t>1 - Estabelecer Preço ALVO FINAL</t>
  </si>
  <si>
    <t>19-420 18 meses 4k km</t>
  </si>
  <si>
    <t>2 - Determinar Fator X</t>
  </si>
  <si>
    <t>19-420 18 meses 6k km</t>
  </si>
  <si>
    <t>3 - Enviar ao cliente Preço Inicial PRÉ-NEGOCIAÇÃO</t>
  </si>
  <si>
    <t>19-420 18 meses 8k km</t>
  </si>
  <si>
    <t>4 - Negociar com o cliente e inserir os preços FECHAMENTO DEAL</t>
  </si>
  <si>
    <t>25-420 24 meses</t>
  </si>
  <si>
    <t>Total caminhão</t>
  </si>
  <si>
    <r>
      <t xml:space="preserve">Preço Inicial </t>
    </r>
    <r>
      <rPr>
        <b/>
        <sz val="11"/>
        <color theme="6" tint="0.59999389629810485"/>
        <rFont val="Calibri"/>
        <family val="2"/>
        <scheme val="minor"/>
      </rPr>
      <t>PRÉ-NEGOCIAÇÃO</t>
    </r>
  </si>
  <si>
    <t>ENVIAR AO CLIENTE</t>
  </si>
  <si>
    <t>Fator X</t>
  </si>
  <si>
    <t>17-190 + Roll-On + Garra</t>
  </si>
  <si>
    <r>
      <t>Preço Inicial</t>
    </r>
    <r>
      <rPr>
        <b/>
        <sz val="14"/>
        <color theme="6" tint="0.39997558519241921"/>
        <rFont val="Calibri"/>
        <family val="2"/>
        <scheme val="minor"/>
      </rPr>
      <t xml:space="preserve"> PRÉ-NEGOCIAÇÃO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</si>
  <si>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PREÇO FECHADO (DEAL)</t>
  </si>
  <si>
    <r>
      <t>Preço</t>
    </r>
    <r>
      <rPr>
        <b/>
        <sz val="11"/>
        <color theme="5" tint="0.3999755851924192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FECHAMENTO DEAL</t>
    </r>
  </si>
  <si>
    <t>10-160 + Compactador</t>
  </si>
  <si>
    <r>
      <t xml:space="preserve">Preço </t>
    </r>
    <r>
      <rPr>
        <b/>
        <sz val="14"/>
        <color theme="9" tint="-0.249977111117893"/>
        <rFont val="Calibri"/>
        <family val="2"/>
        <scheme val="minor"/>
      </rPr>
      <t>FECHAMENTO DEAL</t>
    </r>
    <r>
      <rPr>
        <b/>
        <sz val="14"/>
        <color theme="0"/>
        <rFont val="Calibri"/>
        <family val="2"/>
        <scheme val="minor"/>
      </rPr>
      <t xml:space="preserve">/Preço </t>
    </r>
    <r>
      <rPr>
        <b/>
        <sz val="14"/>
        <color theme="5" tint="0.39997558519241921"/>
        <rFont val="Calibri"/>
        <family val="2"/>
        <scheme val="minor"/>
      </rPr>
      <t>ALVO FINAL</t>
    </r>
  </si>
  <si>
    <t>Tributos sobre Receita</t>
  </si>
  <si>
    <t>Dibracam</t>
  </si>
  <si>
    <t xml:space="preserve">Outros Impostos - TOPE - Regime Lucro Presumido </t>
  </si>
  <si>
    <t>IR (incide sobre 32% da receita)</t>
  </si>
  <si>
    <t>CSLL (incide sobre 32% da receita)</t>
  </si>
  <si>
    <t>Adicional IR (diretamente sobre a receita)</t>
  </si>
  <si>
    <t>RASTREAMENTO</t>
  </si>
  <si>
    <t>Rastreadora</t>
  </si>
  <si>
    <t>Valor/Un./Mês</t>
  </si>
  <si>
    <t>Unidades</t>
  </si>
  <si>
    <t>Valor Total/Mês</t>
  </si>
  <si>
    <t>SASCAR</t>
  </si>
  <si>
    <t>Reajuste Anutal Estimado</t>
  </si>
  <si>
    <t>SEGUROS CONTRA 3os - RCF</t>
  </si>
  <si>
    <t>Seguradora</t>
  </si>
  <si>
    <t>Modelo</t>
  </si>
  <si>
    <t>Quantidade</t>
  </si>
  <si>
    <t>Preço Un/ano</t>
  </si>
  <si>
    <t>Parcelas</t>
  </si>
  <si>
    <t>Valor parcela</t>
  </si>
  <si>
    <t>TOKIO MARINE</t>
  </si>
  <si>
    <t>Manutenção - Contrato de Manutenção VW/MAN</t>
  </si>
  <si>
    <t>Valor KM</t>
  </si>
  <si>
    <t>Valor mensal/unidade</t>
  </si>
  <si>
    <t>VALOR LINEAR 3 ANOS OU 360.000</t>
  </si>
  <si>
    <t>25-420</t>
  </si>
  <si>
    <t xml:space="preserve">Premissas: </t>
  </si>
  <si>
    <t>Pneus NÃO INCLUSOS NO CONTRATO DE MANUTENÇÃO, DEVENDO FICAR A CARGO DO LOCATÁRIO</t>
  </si>
  <si>
    <t>1o Ano Veículo</t>
  </si>
  <si>
    <t>2o Ano Veículo</t>
  </si>
  <si>
    <t>3o Ano Veículo</t>
  </si>
  <si>
    <t>4o Ano Veículo</t>
  </si>
  <si>
    <t>Valor mensal/un.</t>
  </si>
  <si>
    <t>LICENCIAMENTO</t>
  </si>
  <si>
    <t>Considerando 3% Desc. Pgto à Vista (janeiro)</t>
  </si>
  <si>
    <t>Valor Documentação abaixo</t>
  </si>
  <si>
    <t>Cenário - Preço Venda</t>
  </si>
  <si>
    <t>Despesa ano 1</t>
  </si>
  <si>
    <t>Despesa Ano 2</t>
  </si>
  <si>
    <t>Despesa Ano 3</t>
  </si>
  <si>
    <t>Despesa Ano 4</t>
  </si>
  <si>
    <t>Despesa Ano 5</t>
  </si>
  <si>
    <t>Despesa Ano 6</t>
  </si>
  <si>
    <t>Despesa Ano 7</t>
  </si>
  <si>
    <t>Preço/Un</t>
  </si>
  <si>
    <t>Doc.</t>
  </si>
  <si>
    <t>Total/un</t>
  </si>
  <si>
    <t>Total/un.</t>
  </si>
  <si>
    <t>COEFICIENTE</t>
  </si>
  <si>
    <t>Parâmetros</t>
  </si>
  <si>
    <t>Custo Financeiro</t>
  </si>
  <si>
    <t>Mês</t>
  </si>
  <si>
    <t>Dia</t>
  </si>
  <si>
    <t xml:space="preserve">Padrão </t>
  </si>
  <si>
    <t>Prazo Cliente</t>
  </si>
  <si>
    <t>Dias de Custo Financeiro</t>
  </si>
  <si>
    <t>Valo</t>
  </si>
  <si>
    <t>res em</t>
  </si>
  <si>
    <t>Par</t>
  </si>
  <si>
    <t>cData V</t>
  </si>
  <si>
    <t>eSdo. Inic</t>
  </si>
  <si>
    <t>iaAmortização</t>
  </si>
  <si>
    <t>Juros</t>
  </si>
  <si>
    <t>PrestCorreção</t>
  </si>
  <si>
    <t>Prev.</t>
  </si>
  <si>
    <t>Sdo. FinT</t>
  </si>
  <si>
    <t>otal a pagar</t>
  </si>
  <si>
    <t>20/03/</t>
  </si>
  <si>
    <t>15/04/</t>
  </si>
  <si>
    <t>15/05/</t>
  </si>
  <si>
    <t>15/06/</t>
  </si>
  <si>
    <t>15/10/</t>
  </si>
  <si>
    <t>16/11/</t>
  </si>
  <si>
    <t>17/12/</t>
  </si>
  <si>
    <t>15/01/</t>
  </si>
  <si>
    <t>15/02/</t>
  </si>
  <si>
    <t>15/03/</t>
  </si>
  <si>
    <t>17/06/</t>
  </si>
  <si>
    <t>15/07/</t>
  </si>
  <si>
    <t>15/08/</t>
  </si>
  <si>
    <t>16/09/</t>
  </si>
  <si>
    <t>16/12/</t>
  </si>
  <si>
    <t>17/02/</t>
  </si>
  <si>
    <t>16/03/</t>
  </si>
  <si>
    <t>17/08/</t>
  </si>
  <si>
    <t>15/09/</t>
  </si>
  <si>
    <t>17/05/</t>
  </si>
  <si>
    <t>16/08/</t>
  </si>
  <si>
    <t>15/12/</t>
  </si>
  <si>
    <t>18/04/</t>
  </si>
  <si>
    <t>16/05/</t>
  </si>
  <si>
    <t>17/10/</t>
  </si>
  <si>
    <t>16/01/</t>
  </si>
  <si>
    <t>TOT</t>
  </si>
  <si>
    <t>AIS==&gt;/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</si>
</sst>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#,##0.00_);[Red]\(&quot;R$&quot;#,##0.00\)"/>
    <numFmt numFmtId="165" formatCode="_(&quot;R$&quot;* #,##0.00_);_(&quot;R$&quot;* \(#,##0.00\);_(&quot;R$&quot;* &quot;-&quot;??_);_(@_)"/>
    <numFmt numFmtId="166" formatCode="&quot;R$&quot;#,##0;[Red]\-&quot;R$&quot;#,##0"/>
    <numFmt numFmtId="167" formatCode="_-&quot;R$&quot;* #,##0.00_-;\-&quot;R$&quot;* #,##0.00_-;_-&quot;R$&quot;* &quot;-&quot;??_-;_-@_-"/>
    <numFmt numFmtId="168" formatCode="0.000%"/>
    <numFmt numFmtId="169" formatCode="_-[$R$-416]\ * #,##0_-;\-[$R$-416]\ * #,##0_-;_-[$R$-416]\ * &quot;-&quot;??_-;_-@_-"/>
    <numFmt numFmtId="170" formatCode="_-[$R$-416]\ * #,##0_-;\-[$R$-416]\ * #,##0_-;_-[$R$-416]\ * &quot;-&quot;???_-;_-@_-"/>
    <numFmt numFmtId="171" formatCode="0.0%"/>
    <numFmt numFmtId="172" formatCode="#,##0.0"/>
    <numFmt numFmtId="173" formatCode="_(&quot;R$&quot;* #,##0_);_(&quot;R$&quot;* \(#,##0\);_(&quot;R$&quot;* &quot;-&quot;??_);_(@_)"/>
    <numFmt numFmtId="174" formatCode="&quot;R$&quot;#,##0.0;[Red]\-&quot;R$&quot;#,##0.0"/>
    <numFmt numFmtId="175" formatCode="0.000"/>
    <numFmt numFmtId="176" formatCode="0.0000"/>
    <numFmt numFmtId="177" formatCode="0.0"/>
    <numFmt numFmtId="178" formatCode="0.0000%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6" tint="0.59999389629810485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4"/>
      <color theme="5" tint="0.39997558519241921"/>
      <name val="Calibri"/>
      <family val="2"/>
      <scheme val="minor"/>
    </font>
    <font>
      <b/>
      <sz val="14"/>
      <color theme="6" tint="0.3999755851924192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sz val="18"/>
      <color theme="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69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04">
    <xf numFmtId="0" fontId="0" fillId="0" borderId="0" xfId="0"/>
    <xf numFmtId="169" fontId="0" fillId="0" borderId="0" xfId="0" applyNumberFormat="1"/>
    <xf numFmtId="170" fontId="0" fillId="0" borderId="0" xfId="0" applyNumberFormat="1"/>
    <xf numFmtId="17" fontId="0" fillId="0" borderId="0" xfId="0" applyNumberFormat="1"/>
    <xf numFmtId="4" fontId="0" fillId="0" borderId="0" xfId="0" applyNumberFormat="1"/>
    <xf numFmtId="0" fontId="7" fillId="0" borderId="0" xfId="0" applyFont="1"/>
    <xf numFmtId="4" fontId="7" fillId="0" borderId="0" xfId="0" applyNumberFormat="1" applyFont="1"/>
    <xf numFmtId="0" fontId="7" fillId="0" borderId="3" xfId="0" applyFont="1" applyBorder="1"/>
    <xf numFmtId="4" fontId="7" fillId="0" borderId="4" xfId="0" applyNumberFormat="1" applyFont="1" applyBorder="1"/>
    <xf numFmtId="0" fontId="0" fillId="0" borderId="3" xfId="0" applyBorder="1"/>
    <xf numFmtId="4" fontId="0" fillId="0" borderId="4" xfId="0" applyNumberFormat="1" applyBorder="1"/>
    <xf numFmtId="0" fontId="0" fillId="0" borderId="6" xfId="0" applyBorder="1"/>
    <xf numFmtId="0" fontId="7" fillId="4" borderId="0" xfId="0" applyFont="1" applyFill="1"/>
    <xf numFmtId="4" fontId="0" fillId="4" borderId="6" xfId="0" applyNumberFormat="1" applyFill="1" applyBorder="1"/>
    <xf numFmtId="17" fontId="6" fillId="5" borderId="6" xfId="0" applyNumberFormat="1" applyFont="1" applyFill="1" applyBorder="1"/>
    <xf numFmtId="0" fontId="6" fillId="5" borderId="6" xfId="0" applyFont="1" applyFill="1" applyBorder="1"/>
    <xf numFmtId="0" fontId="6" fillId="5" borderId="0" xfId="0" applyFont="1" applyFill="1"/>
    <xf numFmtId="0" fontId="8" fillId="0" borderId="0" xfId="0" applyFont="1"/>
    <xf numFmtId="170" fontId="0" fillId="0" borderId="5" xfId="0" applyNumberFormat="1" applyBorder="1"/>
    <xf numFmtId="169" fontId="0" fillId="0" borderId="7" xfId="0" applyNumberFormat="1" applyBorder="1"/>
    <xf numFmtId="4" fontId="0" fillId="4" borderId="7" xfId="0" applyNumberFormat="1" applyFill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3" fontId="0" fillId="0" borderId="6" xfId="0" applyNumberFormat="1" applyBorder="1"/>
    <xf numFmtId="3" fontId="0" fillId="4" borderId="6" xfId="0" applyNumberFormat="1" applyFill="1" applyBorder="1"/>
    <xf numFmtId="10" fontId="0" fillId="0" borderId="0" xfId="2" applyNumberFormat="1" applyFont="1"/>
    <xf numFmtId="3" fontId="0" fillId="4" borderId="7" xfId="0" applyNumberFormat="1" applyFill="1" applyBorder="1"/>
    <xf numFmtId="3" fontId="0" fillId="0" borderId="0" xfId="0" applyNumberFormat="1"/>
    <xf numFmtId="4" fontId="0" fillId="0" borderId="6" xfId="0" applyNumberFormat="1" applyBorder="1"/>
    <xf numFmtId="168" fontId="0" fillId="4" borderId="6" xfId="2" applyNumberFormat="1" applyFont="1" applyFill="1" applyBorder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164" fontId="0" fillId="3" borderId="0" xfId="0" applyNumberFormat="1" applyFill="1"/>
    <xf numFmtId="10" fontId="7" fillId="0" borderId="0" xfId="0" applyNumberFormat="1" applyFont="1"/>
    <xf numFmtId="171" fontId="7" fillId="0" borderId="0" xfId="0" applyNumberFormat="1" applyFont="1"/>
    <xf numFmtId="0" fontId="0" fillId="3" borderId="0" xfId="0" applyFill="1" applyAlignment="1">
      <alignment horizontal="center"/>
    </xf>
    <xf numFmtId="0" fontId="0" fillId="3" borderId="0" xfId="0" applyFill="1"/>
    <xf numFmtId="10" fontId="0" fillId="3" borderId="0" xfId="2" applyNumberFormat="1" applyFont="1" applyFill="1" applyBorder="1" applyAlignment="1">
      <alignment horizontal="center"/>
    </xf>
    <xf numFmtId="171" fontId="0" fillId="0" borderId="0" xfId="2" applyNumberFormat="1" applyFont="1" applyBorder="1" applyAlignment="1">
      <alignment horizontal="center"/>
    </xf>
    <xf numFmtId="171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5" xfId="0" applyBorder="1"/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10" borderId="0" xfId="0" applyFont="1" applyFill="1"/>
    <xf numFmtId="4" fontId="0" fillId="0" borderId="0" xfId="0" applyNumberFormat="1" applyAlignment="1">
      <alignment horizontal="right"/>
    </xf>
    <xf numFmtId="164" fontId="0" fillId="0" borderId="0" xfId="0" applyNumberFormat="1"/>
    <xf numFmtId="0" fontId="17" fillId="11" borderId="0" xfId="0" applyFont="1" applyFill="1"/>
    <xf numFmtId="0" fontId="0" fillId="12" borderId="0" xfId="0" applyFill="1"/>
    <xf numFmtId="0" fontId="5" fillId="1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0" fillId="14" borderId="0" xfId="0" applyFill="1"/>
    <xf numFmtId="0" fontId="0" fillId="15" borderId="0" xfId="0" applyFill="1"/>
    <xf numFmtId="10" fontId="0" fillId="15" borderId="0" xfId="0" applyNumberFormat="1" applyFill="1"/>
    <xf numFmtId="0" fontId="0" fillId="17" borderId="0" xfId="0" applyFill="1"/>
    <xf numFmtId="0" fontId="17" fillId="5" borderId="0" xfId="0" applyFont="1" applyFill="1"/>
    <xf numFmtId="0" fontId="13" fillId="5" borderId="0" xfId="0" applyFont="1" applyFill="1" applyAlignment="1">
      <alignment horizontal="center" wrapText="1"/>
    </xf>
    <xf numFmtId="10" fontId="2" fillId="5" borderId="0" xfId="2" applyNumberFormat="1" applyFont="1" applyFill="1" applyBorder="1" applyAlignment="1">
      <alignment horizontal="center" vertical="center"/>
    </xf>
    <xf numFmtId="0" fontId="0" fillId="5" borderId="0" xfId="0" applyFill="1"/>
    <xf numFmtId="0" fontId="0" fillId="18" borderId="0" xfId="0" applyFill="1"/>
    <xf numFmtId="0" fontId="0" fillId="19" borderId="0" xfId="0" applyFill="1"/>
    <xf numFmtId="0" fontId="0" fillId="19" borderId="5" xfId="0" applyFill="1" applyBorder="1"/>
    <xf numFmtId="4" fontId="0" fillId="19" borderId="0" xfId="0" applyNumberFormat="1" applyFill="1"/>
    <xf numFmtId="0" fontId="2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7" fontId="6" fillId="5" borderId="5" xfId="0" applyNumberFormat="1" applyFont="1" applyFill="1" applyBorder="1"/>
    <xf numFmtId="0" fontId="6" fillId="5" borderId="5" xfId="0" applyFont="1" applyFill="1" applyBorder="1"/>
    <xf numFmtId="4" fontId="0" fillId="4" borderId="5" xfId="0" applyNumberFormat="1" applyFill="1" applyBorder="1"/>
    <xf numFmtId="3" fontId="0" fillId="4" borderId="5" xfId="0" applyNumberFormat="1" applyFill="1" applyBorder="1"/>
    <xf numFmtId="168" fontId="0" fillId="4" borderId="5" xfId="2" applyNumberFormat="1" applyFont="1" applyFill="1" applyBorder="1"/>
    <xf numFmtId="17" fontId="6" fillId="0" borderId="0" xfId="0" applyNumberFormat="1" applyFont="1"/>
    <xf numFmtId="0" fontId="6" fillId="0" borderId="0" xfId="0" applyFont="1"/>
    <xf numFmtId="17" fontId="0" fillId="15" borderId="0" xfId="0" applyNumberFormat="1" applyFill="1"/>
    <xf numFmtId="17" fontId="2" fillId="21" borderId="6" xfId="0" applyNumberFormat="1" applyFont="1" applyFill="1" applyBorder="1"/>
    <xf numFmtId="0" fontId="2" fillId="21" borderId="6" xfId="0" applyFont="1" applyFill="1" applyBorder="1"/>
    <xf numFmtId="0" fontId="0" fillId="12" borderId="13" xfId="0" applyFill="1" applyBorder="1"/>
    <xf numFmtId="0" fontId="0" fillId="0" borderId="5" xfId="0" applyBorder="1" applyAlignment="1">
      <alignment horizontal="center"/>
    </xf>
    <xf numFmtId="165" fontId="0" fillId="0" borderId="0" xfId="1" applyFont="1"/>
    <xf numFmtId="17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72" fontId="0" fillId="0" borderId="6" xfId="0" applyNumberFormat="1" applyBorder="1"/>
    <xf numFmtId="0" fontId="16" fillId="21" borderId="0" xfId="0" applyFont="1" applyFill="1"/>
    <xf numFmtId="0" fontId="16" fillId="5" borderId="0" xfId="0" applyFont="1" applyFill="1"/>
    <xf numFmtId="165" fontId="0" fillId="0" borderId="0" xfId="1" applyFont="1" applyBorder="1"/>
    <xf numFmtId="0" fontId="0" fillId="0" borderId="8" xfId="0" applyBorder="1"/>
    <xf numFmtId="0" fontId="0" fillId="0" borderId="9" xfId="0" applyBorder="1"/>
    <xf numFmtId="165" fontId="0" fillId="0" borderId="10" xfId="1" applyFont="1" applyBorder="1"/>
    <xf numFmtId="9" fontId="0" fillId="12" borderId="0" xfId="2" applyFont="1" applyFill="1"/>
    <xf numFmtId="0" fontId="0" fillId="20" borderId="0" xfId="0" applyFill="1"/>
    <xf numFmtId="4" fontId="0" fillId="20" borderId="7" xfId="0" applyNumberFormat="1" applyFill="1" applyBorder="1"/>
    <xf numFmtId="3" fontId="0" fillId="20" borderId="7" xfId="0" applyNumberFormat="1" applyFill="1" applyBorder="1"/>
    <xf numFmtId="3" fontId="0" fillId="20" borderId="6" xfId="0" applyNumberFormat="1" applyFill="1" applyBorder="1"/>
    <xf numFmtId="0" fontId="27" fillId="0" borderId="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25" fillId="0" borderId="0" xfId="0" applyFont="1"/>
    <xf numFmtId="0" fontId="11" fillId="0" borderId="0" xfId="0" applyFont="1"/>
    <xf numFmtId="0" fontId="17" fillId="25" borderId="15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2" fillId="6" borderId="0" xfId="0" applyFont="1" applyFill="1"/>
    <xf numFmtId="0" fontId="18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0" fillId="23" borderId="0" xfId="0" applyFill="1"/>
    <xf numFmtId="4" fontId="0" fillId="23" borderId="0" xfId="0" applyNumberFormat="1" applyFill="1"/>
    <xf numFmtId="172" fontId="0" fillId="23" borderId="6" xfId="0" applyNumberFormat="1" applyFill="1" applyBorder="1"/>
    <xf numFmtId="3" fontId="0" fillId="23" borderId="5" xfId="0" applyNumberFormat="1" applyFill="1" applyBorder="1"/>
    <xf numFmtId="0" fontId="6" fillId="25" borderId="0" xfId="0" applyFont="1" applyFill="1"/>
    <xf numFmtId="0" fontId="17" fillId="25" borderId="0" xfId="0" applyFont="1" applyFill="1"/>
    <xf numFmtId="4" fontId="17" fillId="25" borderId="6" xfId="0" applyNumberFormat="1" applyFont="1" applyFill="1" applyBorder="1"/>
    <xf numFmtId="4" fontId="17" fillId="25" borderId="0" xfId="0" applyNumberFormat="1" applyFont="1" applyFill="1"/>
    <xf numFmtId="0" fontId="17" fillId="25" borderId="6" xfId="0" applyFont="1" applyFill="1" applyBorder="1"/>
    <xf numFmtId="3" fontId="17" fillId="25" borderId="6" xfId="0" applyNumberFormat="1" applyFont="1" applyFill="1" applyBorder="1"/>
    <xf numFmtId="172" fontId="17" fillId="25" borderId="6" xfId="0" applyNumberFormat="1" applyFont="1" applyFill="1" applyBorder="1"/>
    <xf numFmtId="3" fontId="17" fillId="25" borderId="7" xfId="0" applyNumberFormat="1" applyFont="1" applyFill="1" applyBorder="1"/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173" fontId="0" fillId="0" borderId="0" xfId="1" applyNumberFormat="1" applyFont="1"/>
    <xf numFmtId="0" fontId="7" fillId="13" borderId="0" xfId="0" applyFont="1" applyFill="1"/>
    <xf numFmtId="9" fontId="0" fillId="13" borderId="0" xfId="2" applyFont="1" applyFill="1" applyBorder="1"/>
    <xf numFmtId="10" fontId="0" fillId="13" borderId="0" xfId="2" applyNumberFormat="1" applyFont="1" applyFill="1" applyBorder="1"/>
    <xf numFmtId="3" fontId="0" fillId="13" borderId="0" xfId="0" applyNumberFormat="1" applyFill="1"/>
    <xf numFmtId="4" fontId="6" fillId="22" borderId="0" xfId="0" applyNumberFormat="1" applyFont="1" applyFill="1"/>
    <xf numFmtId="4" fontId="6" fillId="22" borderId="0" xfId="0" applyNumberFormat="1" applyFont="1" applyFill="1" applyAlignment="1">
      <alignment wrapText="1"/>
    </xf>
    <xf numFmtId="4" fontId="10" fillId="0" borderId="0" xfId="0" applyNumberFormat="1" applyFont="1"/>
    <xf numFmtId="0" fontId="10" fillId="0" borderId="0" xfId="0" applyFont="1"/>
    <xf numFmtId="9" fontId="0" fillId="22" borderId="0" xfId="2" applyFont="1" applyFill="1" applyBorder="1"/>
    <xf numFmtId="10" fontId="0" fillId="22" borderId="0" xfId="2" applyNumberFormat="1" applyFont="1" applyFill="1" applyBorder="1"/>
    <xf numFmtId="3" fontId="0" fillId="22" borderId="0" xfId="0" applyNumberFormat="1" applyFill="1"/>
    <xf numFmtId="165" fontId="0" fillId="12" borderId="0" xfId="1" applyFont="1" applyFill="1" applyAlignment="1"/>
    <xf numFmtId="0" fontId="7" fillId="19" borderId="0" xfId="0" applyFont="1" applyFill="1"/>
    <xf numFmtId="9" fontId="0" fillId="19" borderId="0" xfId="2" applyFont="1" applyFill="1" applyBorder="1"/>
    <xf numFmtId="10" fontId="0" fillId="19" borderId="0" xfId="2" applyNumberFormat="1" applyFont="1" applyFill="1" applyBorder="1" applyAlignment="1">
      <alignment horizontal="center"/>
    </xf>
    <xf numFmtId="3" fontId="0" fillId="19" borderId="0" xfId="0" applyNumberFormat="1" applyFill="1" applyAlignment="1">
      <alignment horizontal="center"/>
    </xf>
    <xf numFmtId="9" fontId="0" fillId="20" borderId="0" xfId="2" applyFont="1" applyFill="1"/>
    <xf numFmtId="0" fontId="0" fillId="12" borderId="1" xfId="0" applyFill="1" applyBorder="1"/>
    <xf numFmtId="0" fontId="7" fillId="12" borderId="13" xfId="0" applyFont="1" applyFill="1" applyBorder="1"/>
    <xf numFmtId="0" fontId="0" fillId="12" borderId="13" xfId="0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9" fillId="12" borderId="2" xfId="0" applyFont="1" applyFill="1" applyBorder="1" applyAlignment="1">
      <alignment wrapText="1"/>
    </xf>
    <xf numFmtId="17" fontId="0" fillId="0" borderId="3" xfId="0" applyNumberFormat="1" applyBorder="1"/>
    <xf numFmtId="0" fontId="7" fillId="0" borderId="14" xfId="0" applyFont="1" applyBorder="1"/>
    <xf numFmtId="173" fontId="7" fillId="0" borderId="14" xfId="1" applyNumberFormat="1" applyFont="1" applyBorder="1"/>
    <xf numFmtId="10" fontId="7" fillId="0" borderId="14" xfId="0" applyNumberFormat="1" applyFont="1" applyBorder="1"/>
    <xf numFmtId="174" fontId="9" fillId="0" borderId="4" xfId="0" applyNumberFormat="1" applyFont="1" applyBorder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0" fontId="6" fillId="14" borderId="0" xfId="0" applyFont="1" applyFill="1"/>
    <xf numFmtId="4" fontId="17" fillId="0" borderId="0" xfId="0" applyNumberFormat="1" applyFont="1"/>
    <xf numFmtId="3" fontId="17" fillId="0" borderId="0" xfId="0" applyNumberFormat="1" applyFont="1"/>
    <xf numFmtId="10" fontId="0" fillId="0" borderId="0" xfId="2" applyNumberFormat="1" applyFont="1" applyFill="1" applyBorder="1" applyAlignment="1">
      <alignment horizontal="center"/>
    </xf>
    <xf numFmtId="0" fontId="6" fillId="27" borderId="0" xfId="0" applyFont="1" applyFill="1"/>
    <xf numFmtId="0" fontId="0" fillId="4" borderId="0" xfId="0" applyFill="1"/>
    <xf numFmtId="173" fontId="0" fillId="4" borderId="0" xfId="1" applyNumberFormat="1" applyFont="1" applyFill="1"/>
    <xf numFmtId="0" fontId="2" fillId="4" borderId="0" xfId="0" applyFont="1" applyFill="1" applyAlignment="1">
      <alignment horizontal="center" vertical="center" wrapText="1"/>
    </xf>
    <xf numFmtId="173" fontId="2" fillId="4" borderId="0" xfId="1" applyNumberFormat="1" applyFont="1" applyFill="1" applyAlignment="1">
      <alignment horizontal="center" vertical="center"/>
    </xf>
    <xf numFmtId="0" fontId="6" fillId="18" borderId="0" xfId="0" applyFont="1" applyFill="1"/>
    <xf numFmtId="0" fontId="0" fillId="0" borderId="0" xfId="0" applyAlignment="1">
      <alignment horizontal="center" vertical="center" wrapText="1"/>
    </xf>
    <xf numFmtId="17" fontId="0" fillId="12" borderId="0" xfId="0" applyNumberFormat="1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wrapText="1"/>
    </xf>
    <xf numFmtId="0" fontId="6" fillId="5" borderId="0" xfId="0" applyFont="1" applyFill="1" applyAlignment="1">
      <alignment wrapText="1"/>
    </xf>
    <xf numFmtId="17" fontId="6" fillId="9" borderId="6" xfId="0" applyNumberFormat="1" applyFont="1" applyFill="1" applyBorder="1"/>
    <xf numFmtId="0" fontId="6" fillId="9" borderId="6" xfId="0" applyFont="1" applyFill="1" applyBorder="1"/>
    <xf numFmtId="165" fontId="7" fillId="0" borderId="14" xfId="1" applyFont="1" applyBorder="1"/>
    <xf numFmtId="165" fontId="0" fillId="0" borderId="0" xfId="0" applyNumberFormat="1"/>
    <xf numFmtId="167" fontId="0" fillId="12" borderId="0" xfId="0" applyNumberFormat="1" applyFill="1"/>
    <xf numFmtId="0" fontId="7" fillId="22" borderId="0" xfId="0" applyFont="1" applyFill="1" applyAlignment="1">
      <alignment horizontal="center" vertical="center"/>
    </xf>
    <xf numFmtId="9" fontId="0" fillId="0" borderId="20" xfId="2" applyFont="1" applyFill="1" applyBorder="1"/>
    <xf numFmtId="0" fontId="7" fillId="0" borderId="8" xfId="0" applyFont="1" applyBorder="1"/>
    <xf numFmtId="165" fontId="0" fillId="12" borderId="0" xfId="1" applyFont="1" applyFill="1" applyBorder="1"/>
    <xf numFmtId="10" fontId="0" fillId="0" borderId="0" xfId="0" applyNumberFormat="1"/>
    <xf numFmtId="0" fontId="2" fillId="20" borderId="21" xfId="0" applyFont="1" applyFill="1" applyBorder="1" applyAlignment="1">
      <alignment horizontal="center"/>
    </xf>
    <xf numFmtId="10" fontId="2" fillId="20" borderId="22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165" fontId="0" fillId="0" borderId="0" xfId="2" applyNumberFormat="1" applyFont="1" applyFill="1" applyBorder="1" applyAlignment="1">
      <alignment horizontal="center"/>
    </xf>
    <xf numFmtId="165" fontId="0" fillId="0" borderId="10" xfId="2" applyNumberFormat="1" applyFont="1" applyFill="1" applyBorder="1" applyAlignment="1">
      <alignment horizontal="center"/>
    </xf>
    <xf numFmtId="4" fontId="0" fillId="19" borderId="6" xfId="0" applyNumberFormat="1" applyFill="1" applyBorder="1"/>
    <xf numFmtId="165" fontId="2" fillId="3" borderId="0" xfId="1" applyFont="1" applyFill="1" applyAlignment="1">
      <alignment horizontal="center" vertical="center"/>
    </xf>
    <xf numFmtId="175" fontId="0" fillId="0" borderId="18" xfId="1" applyNumberFormat="1" applyFont="1" applyBorder="1"/>
    <xf numFmtId="175" fontId="0" fillId="0" borderId="19" xfId="1" applyNumberFormat="1" applyFont="1" applyBorder="1"/>
    <xf numFmtId="176" fontId="0" fillId="0" borderId="3" xfId="0" applyNumberFormat="1" applyBorder="1"/>
    <xf numFmtId="3" fontId="0" fillId="12" borderId="7" xfId="0" applyNumberFormat="1" applyFill="1" applyBorder="1"/>
    <xf numFmtId="9" fontId="0" fillId="0" borderId="0" xfId="0" applyNumberFormat="1"/>
    <xf numFmtId="3" fontId="0" fillId="23" borderId="7" xfId="0" applyNumberFormat="1" applyFill="1" applyBorder="1"/>
    <xf numFmtId="177" fontId="0" fillId="0" borderId="6" xfId="0" applyNumberFormat="1" applyBorder="1"/>
    <xf numFmtId="0" fontId="33" fillId="5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right" vertical="center"/>
    </xf>
    <xf numFmtId="171" fontId="0" fillId="22" borderId="0" xfId="2" applyNumberFormat="1" applyFont="1" applyFill="1" applyBorder="1"/>
    <xf numFmtId="165" fontId="0" fillId="0" borderId="13" xfId="2" applyNumberFormat="1" applyFont="1" applyFill="1" applyBorder="1" applyAlignment="1">
      <alignment horizontal="center"/>
    </xf>
    <xf numFmtId="173" fontId="0" fillId="0" borderId="0" xfId="0" applyNumberFormat="1"/>
    <xf numFmtId="3" fontId="2" fillId="4" borderId="7" xfId="0" applyNumberFormat="1" applyFont="1" applyFill="1" applyBorder="1"/>
    <xf numFmtId="10" fontId="0" fillId="3" borderId="0" xfId="0" applyNumberFormat="1" applyFill="1"/>
    <xf numFmtId="177" fontId="17" fillId="25" borderId="6" xfId="0" applyNumberFormat="1" applyFont="1" applyFill="1" applyBorder="1"/>
    <xf numFmtId="3" fontId="17" fillId="30" borderId="6" xfId="0" applyNumberFormat="1" applyFont="1" applyFill="1" applyBorder="1"/>
    <xf numFmtId="3" fontId="16" fillId="5" borderId="0" xfId="0" applyNumberFormat="1" applyFont="1" applyFill="1" applyAlignment="1">
      <alignment horizontal="center" vertical="center" wrapText="1"/>
    </xf>
    <xf numFmtId="0" fontId="2" fillId="23" borderId="0" xfId="0" applyFont="1" applyFill="1"/>
    <xf numFmtId="0" fontId="0" fillId="12" borderId="0" xfId="0" applyFill="1" applyAlignment="1">
      <alignment horizontal="center"/>
    </xf>
    <xf numFmtId="173" fontId="0" fillId="12" borderId="0" xfId="1" applyNumberFormat="1" applyFont="1" applyFill="1"/>
    <xf numFmtId="173" fontId="0" fillId="12" borderId="0" xfId="0" applyNumberFormat="1" applyFill="1"/>
    <xf numFmtId="17" fontId="11" fillId="20" borderId="6" xfId="0" applyNumberFormat="1" applyFont="1" applyFill="1" applyBorder="1"/>
    <xf numFmtId="0" fontId="11" fillId="20" borderId="6" xfId="0" applyFont="1" applyFill="1" applyBorder="1"/>
    <xf numFmtId="165" fontId="0" fillId="0" borderId="0" xfId="1" applyFont="1" applyAlignment="1">
      <alignment horizontal="left"/>
    </xf>
    <xf numFmtId="9" fontId="0" fillId="0" borderId="0" xfId="0" applyNumberFormat="1" applyAlignment="1">
      <alignment horizontal="right"/>
    </xf>
    <xf numFmtId="178" fontId="0" fillId="0" borderId="0" xfId="2" applyNumberFormat="1" applyFont="1"/>
    <xf numFmtId="167" fontId="2" fillId="20" borderId="0" xfId="0" applyNumberFormat="1" applyFont="1" applyFill="1" applyAlignment="1">
      <alignment horizontal="center"/>
    </xf>
    <xf numFmtId="0" fontId="34" fillId="0" borderId="0" xfId="0" applyFont="1"/>
    <xf numFmtId="10" fontId="2" fillId="20" borderId="0" xfId="0" applyNumberFormat="1" applyFont="1" applyFill="1" applyAlignment="1">
      <alignment horizontal="center"/>
    </xf>
    <xf numFmtId="166" fontId="0" fillId="0" borderId="0" xfId="0" applyNumberFormat="1"/>
    <xf numFmtId="3" fontId="0" fillId="0" borderId="8" xfId="0" applyNumberFormat="1" applyBorder="1" applyAlignment="1">
      <alignment horizontal="left"/>
    </xf>
    <xf numFmtId="165" fontId="35" fillId="23" borderId="0" xfId="0" applyNumberFormat="1" applyFont="1" applyFill="1"/>
    <xf numFmtId="0" fontId="17" fillId="23" borderId="0" xfId="0" applyFont="1" applyFill="1" applyAlignment="1">
      <alignment horizontal="right"/>
    </xf>
    <xf numFmtId="44" fontId="0" fillId="0" borderId="0" xfId="0" applyNumberFormat="1"/>
    <xf numFmtId="9" fontId="0" fillId="20" borderId="0" xfId="0" applyNumberFormat="1" applyFill="1"/>
    <xf numFmtId="8" fontId="0" fillId="0" borderId="0" xfId="0" applyNumberFormat="1"/>
    <xf numFmtId="0" fontId="38" fillId="20" borderId="0" xfId="0" applyFont="1" applyFill="1"/>
    <xf numFmtId="0" fontId="39" fillId="20" borderId="0" xfId="0" applyFont="1" applyFill="1"/>
    <xf numFmtId="8" fontId="34" fillId="0" borderId="0" xfId="0" applyNumberFormat="1" applyFont="1"/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0" fontId="6" fillId="21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17" fontId="6" fillId="5" borderId="5" xfId="0" applyNumberFormat="1" applyFont="1" applyFill="1" applyBorder="1" applyAlignment="1">
      <alignment horizontal="center"/>
    </xf>
    <xf numFmtId="17" fontId="6" fillId="5" borderId="7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25" fillId="12" borderId="0" xfId="0" applyFont="1" applyFill="1" applyAlignment="1">
      <alignment horizontal="center"/>
    </xf>
    <xf numFmtId="0" fontId="25" fillId="20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36" fillId="33" borderId="0" xfId="0" applyFont="1" applyFill="1" applyAlignment="1">
      <alignment horizontal="center"/>
    </xf>
    <xf numFmtId="0" fontId="31" fillId="28" borderId="0" xfId="0" applyFont="1" applyFill="1" applyAlignment="1">
      <alignment horizontal="center"/>
    </xf>
    <xf numFmtId="0" fontId="32" fillId="28" borderId="0" xfId="0" applyFont="1" applyFill="1" applyAlignment="1">
      <alignment horizontal="center"/>
    </xf>
    <xf numFmtId="0" fontId="28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6" fillId="28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37" fillId="32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wrapText="1"/>
    </xf>
    <xf numFmtId="10" fontId="2" fillId="10" borderId="9" xfId="2" applyNumberFormat="1" applyFont="1" applyFill="1" applyBorder="1" applyAlignment="1">
      <alignment horizontal="center" vertical="center"/>
    </xf>
    <xf numFmtId="10" fontId="2" fillId="10" borderId="10" xfId="2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6" fillId="23" borderId="14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0" fontId="16" fillId="2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769">
    <cellStyle name="Hiperlink" xfId="65" builtinId="8" hidden="1"/>
    <cellStyle name="Hiperlink" xfId="69" builtinId="8" hidden="1"/>
    <cellStyle name="Hiperlink" xfId="73" builtinId="8" hidden="1"/>
    <cellStyle name="Hiperlink" xfId="77" builtinId="8" hidden="1"/>
    <cellStyle name="Hiperlink" xfId="81" builtinId="8" hidden="1"/>
    <cellStyle name="Hiperlink" xfId="85" builtinId="8" hidden="1"/>
    <cellStyle name="Hiperlink" xfId="89" builtinId="8" hidden="1"/>
    <cellStyle name="Hiperlink" xfId="93" builtinId="8" hidden="1"/>
    <cellStyle name="Hiperlink" xfId="97" builtinId="8" hidden="1"/>
    <cellStyle name="Hiperlink" xfId="101" builtinId="8" hidden="1"/>
    <cellStyle name="Hiperlink" xfId="105" builtinId="8" hidden="1"/>
    <cellStyle name="Hiperlink" xfId="109" builtinId="8" hidden="1"/>
    <cellStyle name="Hiperlink" xfId="113" builtinId="8" hidden="1"/>
    <cellStyle name="Hiperlink" xfId="117" builtinId="8" hidden="1"/>
    <cellStyle name="Hiperlink" xfId="121" builtinId="8" hidden="1"/>
    <cellStyle name="Hiperlink" xfId="125" builtinId="8" hidden="1"/>
    <cellStyle name="Hiperlink" xfId="129" builtinId="8" hidden="1"/>
    <cellStyle name="Hiperlink" xfId="133" builtinId="8" hidden="1"/>
    <cellStyle name="Hiperlink" xfId="137" builtinId="8" hidden="1"/>
    <cellStyle name="Hiperlink" xfId="141" builtinId="8" hidden="1"/>
    <cellStyle name="Hiperlink" xfId="145" builtinId="8" hidden="1"/>
    <cellStyle name="Hiperlink" xfId="149" builtinId="8" hidden="1"/>
    <cellStyle name="Hiperlink" xfId="153" builtinId="8" hidden="1"/>
    <cellStyle name="Hiperlink" xfId="157" builtinId="8" hidden="1"/>
    <cellStyle name="Hiperlink" xfId="161" builtinId="8" hidden="1"/>
    <cellStyle name="Hiperlink" xfId="165" builtinId="8" hidden="1"/>
    <cellStyle name="Hiperlink" xfId="169" builtinId="8" hidden="1"/>
    <cellStyle name="Hiperlink" xfId="173" builtinId="8" hidden="1"/>
    <cellStyle name="Hiperlink" xfId="177" builtinId="8" hidden="1"/>
    <cellStyle name="Hiperlink" xfId="181" builtinId="8" hidden="1"/>
    <cellStyle name="Hiperlink" xfId="185" builtinId="8" hidden="1"/>
    <cellStyle name="Hiperlink" xfId="189" builtinId="8" hidden="1"/>
    <cellStyle name="Hiperlink" xfId="193" builtinId="8" hidden="1"/>
    <cellStyle name="Hiperlink" xfId="197" builtinId="8" hidden="1"/>
    <cellStyle name="Hiperlink" xfId="201" builtinId="8" hidden="1"/>
    <cellStyle name="Hiperlink" xfId="205" builtinId="8" hidden="1"/>
    <cellStyle name="Hiperlink" xfId="209" builtinId="8" hidden="1"/>
    <cellStyle name="Hiperlink" xfId="213" builtinId="8" hidden="1"/>
    <cellStyle name="Hiperlink" xfId="217" builtinId="8" hidden="1"/>
    <cellStyle name="Hiperlink" xfId="221" builtinId="8" hidden="1"/>
    <cellStyle name="Hiperlink" xfId="225" builtinId="8" hidden="1"/>
    <cellStyle name="Hiperlink" xfId="229" builtinId="8" hidden="1"/>
    <cellStyle name="Hiperlink" xfId="233" builtinId="8" hidden="1"/>
    <cellStyle name="Hiperlink" xfId="237" builtinId="8" hidden="1"/>
    <cellStyle name="Hiperlink" xfId="241" builtinId="8" hidden="1"/>
    <cellStyle name="Hiperlink" xfId="245" builtinId="8" hidden="1"/>
    <cellStyle name="Hiperlink" xfId="249" builtinId="8" hidden="1"/>
    <cellStyle name="Hiperlink" xfId="253" builtinId="8" hidden="1"/>
    <cellStyle name="Hiperlink" xfId="257" builtinId="8" hidden="1"/>
    <cellStyle name="Hiperlink" xfId="261" builtinId="8" hidden="1"/>
    <cellStyle name="Hiperlink" xfId="265" builtinId="8" hidden="1"/>
    <cellStyle name="Hiperlink" xfId="269" builtinId="8" hidden="1"/>
    <cellStyle name="Hiperlink" xfId="273" builtinId="8" hidden="1"/>
    <cellStyle name="Hiperlink" xfId="277" builtinId="8" hidden="1"/>
    <cellStyle name="Hiperlink" xfId="281" builtinId="8" hidden="1"/>
    <cellStyle name="Hiperlink" xfId="285" builtinId="8" hidden="1"/>
    <cellStyle name="Hiperlink" xfId="289" builtinId="8" hidden="1"/>
    <cellStyle name="Hiperlink" xfId="293" builtinId="8" hidden="1"/>
    <cellStyle name="Hiperlink" xfId="297" builtinId="8" hidden="1"/>
    <cellStyle name="Hiperlink" xfId="301" builtinId="8" hidden="1"/>
    <cellStyle name="Hiperlink" xfId="305" builtinId="8" hidden="1"/>
    <cellStyle name="Hiperlink" xfId="309" builtinId="8" hidden="1"/>
    <cellStyle name="Hiperlink" xfId="313" builtinId="8" hidden="1"/>
    <cellStyle name="Hiperlink" xfId="317" builtinId="8" hidden="1"/>
    <cellStyle name="Hiperlink" xfId="321" builtinId="8" hidden="1"/>
    <cellStyle name="Hiperlink" xfId="325" builtinId="8" hidden="1"/>
    <cellStyle name="Hiperlink" xfId="329" builtinId="8" hidden="1"/>
    <cellStyle name="Hiperlink" xfId="333" builtinId="8" hidden="1"/>
    <cellStyle name="Hiperlink" xfId="337" builtinId="8" hidden="1"/>
    <cellStyle name="Hiperlink" xfId="341" builtinId="8" hidden="1"/>
    <cellStyle name="Hiperlink" xfId="345" builtinId="8" hidden="1"/>
    <cellStyle name="Hiperlink" xfId="349" builtinId="8" hidden="1"/>
    <cellStyle name="Hiperlink" xfId="353" builtinId="8" hidden="1"/>
    <cellStyle name="Hiperlink" xfId="357" builtinId="8" hidden="1"/>
    <cellStyle name="Hiperlink" xfId="361" builtinId="8" hidden="1"/>
    <cellStyle name="Hiperlink" xfId="365" builtinId="8" hidden="1"/>
    <cellStyle name="Hiperlink" xfId="369" builtinId="8" hidden="1"/>
    <cellStyle name="Hiperlink" xfId="373" builtinId="8" hidden="1"/>
    <cellStyle name="Hiperlink" xfId="377" builtinId="8" hidden="1"/>
    <cellStyle name="Hiperlink" xfId="381" builtinId="8" hidden="1"/>
    <cellStyle name="Hiperlink" xfId="385" builtinId="8" hidden="1"/>
    <cellStyle name="Hiperlink" xfId="389" builtinId="8" hidden="1"/>
    <cellStyle name="Hiperlink" xfId="393" builtinId="8" hidden="1"/>
    <cellStyle name="Hiperlink" xfId="397" builtinId="8" hidden="1"/>
    <cellStyle name="Hiperlink" xfId="401" builtinId="8" hidden="1"/>
    <cellStyle name="Hiperlink" xfId="405" builtinId="8" hidden="1"/>
    <cellStyle name="Hiperlink" xfId="409" builtinId="8" hidden="1"/>
    <cellStyle name="Hiperlink" xfId="413" builtinId="8" hidden="1"/>
    <cellStyle name="Hiperlink" xfId="417" builtinId="8" hidden="1"/>
    <cellStyle name="Hiperlink" xfId="421" builtinId="8" hidden="1"/>
    <cellStyle name="Hiperlink" xfId="425" builtinId="8" hidden="1"/>
    <cellStyle name="Hiperlink" xfId="429" builtinId="8" hidden="1"/>
    <cellStyle name="Hiperlink" xfId="433" builtinId="8" hidden="1"/>
    <cellStyle name="Hiperlink" xfId="437" builtinId="8" hidden="1"/>
    <cellStyle name="Hiperlink" xfId="441" builtinId="8" hidden="1"/>
    <cellStyle name="Hiperlink" xfId="445" builtinId="8" hidden="1"/>
    <cellStyle name="Hiperlink" xfId="449" builtinId="8" hidden="1"/>
    <cellStyle name="Hiperlink" xfId="453" builtinId="8" hidden="1"/>
    <cellStyle name="Hiperlink" xfId="457" builtinId="8" hidden="1"/>
    <cellStyle name="Hiperlink" xfId="461" builtinId="8" hidden="1"/>
    <cellStyle name="Hiperlink" xfId="465" builtinId="8" hidden="1"/>
    <cellStyle name="Hiperlink" xfId="469" builtinId="8" hidden="1"/>
    <cellStyle name="Hiperlink" xfId="473" builtinId="8" hidden="1"/>
    <cellStyle name="Hiperlink" xfId="477" builtinId="8" hidden="1"/>
    <cellStyle name="Hiperlink" xfId="481" builtinId="8" hidden="1"/>
    <cellStyle name="Hiperlink" xfId="485" builtinId="8" hidden="1"/>
    <cellStyle name="Hiperlink" xfId="489" builtinId="8" hidden="1"/>
    <cellStyle name="Hiperlink" xfId="493" builtinId="8" hidden="1"/>
    <cellStyle name="Hiperlink" xfId="497" builtinId="8" hidden="1"/>
    <cellStyle name="Hiperlink" xfId="501" builtinId="8" hidden="1"/>
    <cellStyle name="Hiperlink" xfId="505" builtinId="8" hidden="1"/>
    <cellStyle name="Hiperlink" xfId="509" builtinId="8" hidden="1"/>
    <cellStyle name="Hiperlink" xfId="513" builtinId="8" hidden="1"/>
    <cellStyle name="Hiperlink" xfId="517" builtinId="8" hidden="1"/>
    <cellStyle name="Hiperlink" xfId="521" builtinId="8" hidden="1"/>
    <cellStyle name="Hiperlink" xfId="525" builtinId="8" hidden="1"/>
    <cellStyle name="Hiperlink" xfId="529" builtinId="8" hidden="1"/>
    <cellStyle name="Hiperlink" xfId="533" builtinId="8" hidden="1"/>
    <cellStyle name="Hiperlink" xfId="537" builtinId="8" hidden="1"/>
    <cellStyle name="Hiperlink" xfId="541" builtinId="8" hidden="1"/>
    <cellStyle name="Hiperlink" xfId="545" builtinId="8" hidden="1"/>
    <cellStyle name="Hiperlink" xfId="549" builtinId="8" hidden="1"/>
    <cellStyle name="Hiperlink" xfId="553" builtinId="8" hidden="1"/>
    <cellStyle name="Hiperlink" xfId="557" builtinId="8" hidden="1"/>
    <cellStyle name="Hiperlink" xfId="561" builtinId="8" hidden="1"/>
    <cellStyle name="Hiperlink" xfId="565" builtinId="8" hidden="1"/>
    <cellStyle name="Hiperlink" xfId="569" builtinId="8" hidden="1"/>
    <cellStyle name="Hiperlink" xfId="573" builtinId="8" hidden="1"/>
    <cellStyle name="Hiperlink" xfId="577" builtinId="8" hidden="1"/>
    <cellStyle name="Hiperlink" xfId="581" builtinId="8" hidden="1"/>
    <cellStyle name="Hiperlink" xfId="585" builtinId="8" hidden="1"/>
    <cellStyle name="Hiperlink" xfId="589" builtinId="8" hidden="1"/>
    <cellStyle name="Hiperlink" xfId="593" builtinId="8" hidden="1"/>
    <cellStyle name="Hiperlink" xfId="597" builtinId="8" hidden="1"/>
    <cellStyle name="Hiperlink" xfId="601" builtinId="8" hidden="1"/>
    <cellStyle name="Hiperlink" xfId="605" builtinId="8" hidden="1"/>
    <cellStyle name="Hiperlink" xfId="609" builtinId="8" hidden="1"/>
    <cellStyle name="Hiperlink" xfId="613" builtinId="8" hidden="1"/>
    <cellStyle name="Hiperlink" xfId="617" builtinId="8" hidden="1"/>
    <cellStyle name="Hiperlink" xfId="621" builtinId="8" hidden="1"/>
    <cellStyle name="Hiperlink" xfId="625" builtinId="8" hidden="1"/>
    <cellStyle name="Hiperlink" xfId="629" builtinId="8" hidden="1"/>
    <cellStyle name="Hiperlink" xfId="633" builtinId="8" hidden="1"/>
    <cellStyle name="Hiperlink" xfId="637" builtinId="8" hidden="1"/>
    <cellStyle name="Hiperlink" xfId="641" builtinId="8" hidden="1"/>
    <cellStyle name="Hiperlink" xfId="645" builtinId="8" hidden="1"/>
    <cellStyle name="Hiperlink" xfId="649" builtinId="8" hidden="1"/>
    <cellStyle name="Hiperlink" xfId="653" builtinId="8" hidden="1"/>
    <cellStyle name="Hiperlink" xfId="657" builtinId="8" hidden="1"/>
    <cellStyle name="Hiperlink" xfId="661" builtinId="8" hidden="1"/>
    <cellStyle name="Hiperlink" xfId="665" builtinId="8" hidden="1"/>
    <cellStyle name="Hiperlink" xfId="669" builtinId="8" hidden="1"/>
    <cellStyle name="Hiperlink" xfId="673" builtinId="8" hidden="1"/>
    <cellStyle name="Hiperlink" xfId="677" builtinId="8" hidden="1"/>
    <cellStyle name="Hiperlink" xfId="681" builtinId="8" hidden="1"/>
    <cellStyle name="Hiperlink" xfId="685" builtinId="8" hidden="1"/>
    <cellStyle name="Hiperlink" xfId="689" builtinId="8" hidden="1"/>
    <cellStyle name="Hiperlink" xfId="693" builtinId="8" hidden="1"/>
    <cellStyle name="Hiperlink" xfId="697" builtinId="8" hidden="1"/>
    <cellStyle name="Hiperlink" xfId="701" builtinId="8" hidden="1"/>
    <cellStyle name="Hiperlink" xfId="705" builtinId="8" hidden="1"/>
    <cellStyle name="Hiperlink" xfId="709" builtinId="8" hidden="1"/>
    <cellStyle name="Hiperlink" xfId="713" builtinId="8" hidden="1"/>
    <cellStyle name="Hiperlink" xfId="717" builtinId="8" hidden="1"/>
    <cellStyle name="Hiperlink" xfId="721" builtinId="8" hidden="1"/>
    <cellStyle name="Hiperlink" xfId="725" builtinId="8" hidden="1"/>
    <cellStyle name="Hiperlink" xfId="729" builtinId="8" hidden="1"/>
    <cellStyle name="Hiperlink" xfId="733" builtinId="8" hidden="1"/>
    <cellStyle name="Hiperlink" xfId="737" builtinId="8" hidden="1"/>
    <cellStyle name="Hiperlink" xfId="741" builtinId="8" hidden="1"/>
    <cellStyle name="Hiperlink" xfId="745" builtinId="8" hidden="1"/>
    <cellStyle name="Hiperlink" xfId="749" builtinId="8" hidden="1"/>
    <cellStyle name="Hiperlink" xfId="753" builtinId="8" hidden="1"/>
    <cellStyle name="Hiperlink" xfId="757" builtinId="8" hidden="1"/>
    <cellStyle name="Hiperlink" xfId="761" builtinId="8" hidden="1"/>
    <cellStyle name="Hiperlink" xfId="765" builtinId="8" hidden="1"/>
    <cellStyle name="Hiperlink" xfId="767" builtinId="8" hidden="1"/>
    <cellStyle name="Hiperlink" xfId="763" builtinId="8" hidden="1"/>
    <cellStyle name="Hiperlink" xfId="759" builtinId="8" hidden="1"/>
    <cellStyle name="Hiperlink" xfId="755" builtinId="8" hidden="1"/>
    <cellStyle name="Hiperlink" xfId="751" builtinId="8" hidden="1"/>
    <cellStyle name="Hiperlink" xfId="747" builtinId="8" hidden="1"/>
    <cellStyle name="Hiperlink" xfId="743" builtinId="8" hidden="1"/>
    <cellStyle name="Hiperlink" xfId="739" builtinId="8" hidden="1"/>
    <cellStyle name="Hiperlink" xfId="735" builtinId="8" hidden="1"/>
    <cellStyle name="Hiperlink" xfId="731" builtinId="8" hidden="1"/>
    <cellStyle name="Hiperlink" xfId="727" builtinId="8" hidden="1"/>
    <cellStyle name="Hiperlink" xfId="723" builtinId="8" hidden="1"/>
    <cellStyle name="Hiperlink" xfId="719" builtinId="8" hidden="1"/>
    <cellStyle name="Hiperlink" xfId="715" builtinId="8" hidden="1"/>
    <cellStyle name="Hiperlink" xfId="711" builtinId="8" hidden="1"/>
    <cellStyle name="Hiperlink" xfId="707" builtinId="8" hidden="1"/>
    <cellStyle name="Hiperlink" xfId="703" builtinId="8" hidden="1"/>
    <cellStyle name="Hiperlink" xfId="699" builtinId="8" hidden="1"/>
    <cellStyle name="Hiperlink" xfId="695" builtinId="8" hidden="1"/>
    <cellStyle name="Hiperlink" xfId="691" builtinId="8" hidden="1"/>
    <cellStyle name="Hiperlink" xfId="687" builtinId="8" hidden="1"/>
    <cellStyle name="Hiperlink" xfId="683" builtinId="8" hidden="1"/>
    <cellStyle name="Hiperlink" xfId="679" builtinId="8" hidden="1"/>
    <cellStyle name="Hiperlink" xfId="675" builtinId="8" hidden="1"/>
    <cellStyle name="Hiperlink" xfId="671" builtinId="8" hidden="1"/>
    <cellStyle name="Hiperlink" xfId="667" builtinId="8" hidden="1"/>
    <cellStyle name="Hiperlink" xfId="663" builtinId="8" hidden="1"/>
    <cellStyle name="Hiperlink" xfId="659" builtinId="8" hidden="1"/>
    <cellStyle name="Hiperlink" xfId="655" builtinId="8" hidden="1"/>
    <cellStyle name="Hiperlink" xfId="651" builtinId="8" hidden="1"/>
    <cellStyle name="Hiperlink" xfId="647" builtinId="8" hidden="1"/>
    <cellStyle name="Hiperlink" xfId="643" builtinId="8" hidden="1"/>
    <cellStyle name="Hiperlink" xfId="639" builtinId="8" hidden="1"/>
    <cellStyle name="Hiperlink" xfId="635" builtinId="8" hidden="1"/>
    <cellStyle name="Hiperlink" xfId="631" builtinId="8" hidden="1"/>
    <cellStyle name="Hiperlink" xfId="627" builtinId="8" hidden="1"/>
    <cellStyle name="Hiperlink" xfId="623" builtinId="8" hidden="1"/>
    <cellStyle name="Hiperlink" xfId="619" builtinId="8" hidden="1"/>
    <cellStyle name="Hiperlink" xfId="615" builtinId="8" hidden="1"/>
    <cellStyle name="Hiperlink" xfId="611" builtinId="8" hidden="1"/>
    <cellStyle name="Hiperlink" xfId="607" builtinId="8" hidden="1"/>
    <cellStyle name="Hiperlink" xfId="603" builtinId="8" hidden="1"/>
    <cellStyle name="Hiperlink" xfId="599" builtinId="8" hidden="1"/>
    <cellStyle name="Hiperlink" xfId="595" builtinId="8" hidden="1"/>
    <cellStyle name="Hiperlink" xfId="591" builtinId="8" hidden="1"/>
    <cellStyle name="Hiperlink" xfId="587" builtinId="8" hidden="1"/>
    <cellStyle name="Hiperlink" xfId="583" builtinId="8" hidden="1"/>
    <cellStyle name="Hiperlink" xfId="579" builtinId="8" hidden="1"/>
    <cellStyle name="Hiperlink" xfId="575" builtinId="8" hidden="1"/>
    <cellStyle name="Hiperlink" xfId="571" builtinId="8" hidden="1"/>
    <cellStyle name="Hiperlink" xfId="567" builtinId="8" hidden="1"/>
    <cellStyle name="Hiperlink" xfId="563" builtinId="8" hidden="1"/>
    <cellStyle name="Hiperlink" xfId="559" builtinId="8" hidden="1"/>
    <cellStyle name="Hiperlink" xfId="555" builtinId="8" hidden="1"/>
    <cellStyle name="Hiperlink" xfId="551" builtinId="8" hidden="1"/>
    <cellStyle name="Hiperlink" xfId="547" builtinId="8" hidden="1"/>
    <cellStyle name="Hiperlink" xfId="543" builtinId="8" hidden="1"/>
    <cellStyle name="Hiperlink" xfId="539" builtinId="8" hidden="1"/>
    <cellStyle name="Hiperlink" xfId="535" builtinId="8" hidden="1"/>
    <cellStyle name="Hiperlink" xfId="531" builtinId="8" hidden="1"/>
    <cellStyle name="Hiperlink" xfId="527" builtinId="8" hidden="1"/>
    <cellStyle name="Hiperlink" xfId="523" builtinId="8" hidden="1"/>
    <cellStyle name="Hiperlink" xfId="519" builtinId="8" hidden="1"/>
    <cellStyle name="Hiperlink" xfId="515" builtinId="8" hidden="1"/>
    <cellStyle name="Hiperlink" xfId="511" builtinId="8" hidden="1"/>
    <cellStyle name="Hiperlink" xfId="507" builtinId="8" hidden="1"/>
    <cellStyle name="Hiperlink" xfId="503" builtinId="8" hidden="1"/>
    <cellStyle name="Hiperlink" xfId="499" builtinId="8" hidden="1"/>
    <cellStyle name="Hiperlink" xfId="495" builtinId="8" hidden="1"/>
    <cellStyle name="Hiperlink" xfId="491" builtinId="8" hidden="1"/>
    <cellStyle name="Hiperlink" xfId="487" builtinId="8" hidden="1"/>
    <cellStyle name="Hiperlink" xfId="483" builtinId="8" hidden="1"/>
    <cellStyle name="Hiperlink" xfId="479" builtinId="8" hidden="1"/>
    <cellStyle name="Hiperlink" xfId="475" builtinId="8" hidden="1"/>
    <cellStyle name="Hiperlink" xfId="471" builtinId="8" hidden="1"/>
    <cellStyle name="Hiperlink" xfId="467" builtinId="8" hidden="1"/>
    <cellStyle name="Hiperlink" xfId="463" builtinId="8" hidden="1"/>
    <cellStyle name="Hiperlink" xfId="459" builtinId="8" hidden="1"/>
    <cellStyle name="Hiperlink" xfId="455" builtinId="8" hidden="1"/>
    <cellStyle name="Hiperlink" xfId="451" builtinId="8" hidden="1"/>
    <cellStyle name="Hiperlink" xfId="447" builtinId="8" hidden="1"/>
    <cellStyle name="Hiperlink" xfId="443" builtinId="8" hidden="1"/>
    <cellStyle name="Hiperlink" xfId="439" builtinId="8" hidden="1"/>
    <cellStyle name="Hiperlink" xfId="435" builtinId="8" hidden="1"/>
    <cellStyle name="Hiperlink" xfId="431" builtinId="8" hidden="1"/>
    <cellStyle name="Hiperlink" xfId="427" builtinId="8" hidden="1"/>
    <cellStyle name="Hiperlink" xfId="423" builtinId="8" hidden="1"/>
    <cellStyle name="Hiperlink" xfId="419" builtinId="8" hidden="1"/>
    <cellStyle name="Hiperlink" xfId="415" builtinId="8" hidden="1"/>
    <cellStyle name="Hiperlink" xfId="411" builtinId="8" hidden="1"/>
    <cellStyle name="Hiperlink" xfId="407" builtinId="8" hidden="1"/>
    <cellStyle name="Hiperlink" xfId="403" builtinId="8" hidden="1"/>
    <cellStyle name="Hiperlink" xfId="399" builtinId="8" hidden="1"/>
    <cellStyle name="Hiperlink" xfId="395" builtinId="8" hidden="1"/>
    <cellStyle name="Hiperlink" xfId="391" builtinId="8" hidden="1"/>
    <cellStyle name="Hiperlink" xfId="387" builtinId="8" hidden="1"/>
    <cellStyle name="Hiperlink" xfId="383" builtinId="8" hidden="1"/>
    <cellStyle name="Hiperlink" xfId="379" builtinId="8" hidden="1"/>
    <cellStyle name="Hiperlink" xfId="375" builtinId="8" hidden="1"/>
    <cellStyle name="Hiperlink" xfId="371" builtinId="8" hidden="1"/>
    <cellStyle name="Hiperlink" xfId="367" builtinId="8" hidden="1"/>
    <cellStyle name="Hiperlink" xfId="363" builtinId="8" hidden="1"/>
    <cellStyle name="Hiperlink" xfId="359" builtinId="8" hidden="1"/>
    <cellStyle name="Hiperlink" xfId="355" builtinId="8" hidden="1"/>
    <cellStyle name="Hiperlink" xfId="351" builtinId="8" hidden="1"/>
    <cellStyle name="Hiperlink" xfId="347" builtinId="8" hidden="1"/>
    <cellStyle name="Hiperlink" xfId="343" builtinId="8" hidden="1"/>
    <cellStyle name="Hiperlink" xfId="339" builtinId="8" hidden="1"/>
    <cellStyle name="Hiperlink" xfId="335" builtinId="8" hidden="1"/>
    <cellStyle name="Hiperlink" xfId="331" builtinId="8" hidden="1"/>
    <cellStyle name="Hiperlink" xfId="327" builtinId="8" hidden="1"/>
    <cellStyle name="Hiperlink" xfId="323" builtinId="8" hidden="1"/>
    <cellStyle name="Hiperlink" xfId="319" builtinId="8" hidden="1"/>
    <cellStyle name="Hiperlink" xfId="315" builtinId="8" hidden="1"/>
    <cellStyle name="Hiperlink" xfId="311" builtinId="8" hidden="1"/>
    <cellStyle name="Hiperlink" xfId="307" builtinId="8" hidden="1"/>
    <cellStyle name="Hiperlink" xfId="303" builtinId="8" hidden="1"/>
    <cellStyle name="Hiperlink" xfId="299" builtinId="8" hidden="1"/>
    <cellStyle name="Hiperlink" xfId="295" builtinId="8" hidden="1"/>
    <cellStyle name="Hiperlink" xfId="291" builtinId="8" hidden="1"/>
    <cellStyle name="Hiperlink" xfId="287" builtinId="8" hidden="1"/>
    <cellStyle name="Hiperlink" xfId="283" builtinId="8" hidden="1"/>
    <cellStyle name="Hiperlink" xfId="279" builtinId="8" hidden="1"/>
    <cellStyle name="Hiperlink" xfId="275" builtinId="8" hidden="1"/>
    <cellStyle name="Hiperlink" xfId="271" builtinId="8" hidden="1"/>
    <cellStyle name="Hiperlink" xfId="267" builtinId="8" hidden="1"/>
    <cellStyle name="Hiperlink" xfId="263" builtinId="8" hidden="1"/>
    <cellStyle name="Hiperlink" xfId="259" builtinId="8" hidden="1"/>
    <cellStyle name="Hiperlink" xfId="255" builtinId="8" hidden="1"/>
    <cellStyle name="Hiperlink" xfId="251" builtinId="8" hidden="1"/>
    <cellStyle name="Hiperlink" xfId="247" builtinId="8" hidden="1"/>
    <cellStyle name="Hiperlink" xfId="243" builtinId="8" hidden="1"/>
    <cellStyle name="Hiperlink" xfId="239" builtinId="8" hidden="1"/>
    <cellStyle name="Hiperlink" xfId="235" builtinId="8" hidden="1"/>
    <cellStyle name="Hiperlink" xfId="231" builtinId="8" hidden="1"/>
    <cellStyle name="Hiperlink" xfId="227" builtinId="8" hidden="1"/>
    <cellStyle name="Hiperlink" xfId="223" builtinId="8" hidden="1"/>
    <cellStyle name="Hiperlink" xfId="219" builtinId="8" hidden="1"/>
    <cellStyle name="Hiperlink" xfId="215" builtinId="8" hidden="1"/>
    <cellStyle name="Hiperlink" xfId="211" builtinId="8" hidden="1"/>
    <cellStyle name="Hiperlink" xfId="207" builtinId="8" hidden="1"/>
    <cellStyle name="Hiperlink" xfId="203" builtinId="8" hidden="1"/>
    <cellStyle name="Hiperlink" xfId="199" builtinId="8" hidden="1"/>
    <cellStyle name="Hiperlink" xfId="195" builtinId="8" hidden="1"/>
    <cellStyle name="Hiperlink" xfId="191" builtinId="8" hidden="1"/>
    <cellStyle name="Hiperlink" xfId="187" builtinId="8" hidden="1"/>
    <cellStyle name="Hiperlink" xfId="183" builtinId="8" hidden="1"/>
    <cellStyle name="Hiperlink" xfId="179" builtinId="8" hidden="1"/>
    <cellStyle name="Hiperlink" xfId="175" builtinId="8" hidden="1"/>
    <cellStyle name="Hiperlink" xfId="171" builtinId="8" hidden="1"/>
    <cellStyle name="Hiperlink" xfId="167" builtinId="8" hidden="1"/>
    <cellStyle name="Hiperlink" xfId="163" builtinId="8" hidden="1"/>
    <cellStyle name="Hiperlink" xfId="159" builtinId="8" hidden="1"/>
    <cellStyle name="Hiperlink" xfId="155" builtinId="8" hidden="1"/>
    <cellStyle name="Hiperlink" xfId="151" builtinId="8" hidden="1"/>
    <cellStyle name="Hiperlink" xfId="147" builtinId="8" hidden="1"/>
    <cellStyle name="Hiperlink" xfId="143" builtinId="8" hidden="1"/>
    <cellStyle name="Hiperlink" xfId="139" builtinId="8" hidden="1"/>
    <cellStyle name="Hiperlink" xfId="135" builtinId="8" hidden="1"/>
    <cellStyle name="Hiperlink" xfId="131" builtinId="8" hidden="1"/>
    <cellStyle name="Hiperlink" xfId="127" builtinId="8" hidden="1"/>
    <cellStyle name="Hiperlink" xfId="123" builtinId="8" hidden="1"/>
    <cellStyle name="Hiperlink" xfId="119" builtinId="8" hidden="1"/>
    <cellStyle name="Hiperlink" xfId="115" builtinId="8" hidden="1"/>
    <cellStyle name="Hiperlink" xfId="111" builtinId="8" hidden="1"/>
    <cellStyle name="Hiperlink" xfId="107" builtinId="8" hidden="1"/>
    <cellStyle name="Hiperlink" xfId="103" builtinId="8" hidden="1"/>
    <cellStyle name="Hiperlink" xfId="99" builtinId="8" hidden="1"/>
    <cellStyle name="Hiperlink" xfId="95" builtinId="8" hidden="1"/>
    <cellStyle name="Hiperlink" xfId="91" builtinId="8" hidden="1"/>
    <cellStyle name="Hiperlink" xfId="87" builtinId="8" hidden="1"/>
    <cellStyle name="Hiperlink" xfId="83" builtinId="8" hidden="1"/>
    <cellStyle name="Hiperlink" xfId="79" builtinId="8" hidden="1"/>
    <cellStyle name="Hiperlink" xfId="75" builtinId="8" hidden="1"/>
    <cellStyle name="Hiperlink" xfId="71" builtinId="8" hidden="1"/>
    <cellStyle name="Hiperlink" xfId="67" builtinId="8" hidden="1"/>
    <cellStyle name="Hiperlink" xfId="63" builtinId="8" hidden="1"/>
    <cellStyle name="Hiperlink" xfId="23" builtinId="8" hidden="1"/>
    <cellStyle name="Hiperlink" xfId="25" builtinId="8" hidden="1"/>
    <cellStyle name="Hiperlink" xfId="29" builtinId="8" hidden="1"/>
    <cellStyle name="Hiperlink" xfId="31" builtinId="8" hidden="1"/>
    <cellStyle name="Hiperlink" xfId="33" builtinId="8" hidden="1"/>
    <cellStyle name="Hiperlink" xfId="37" builtinId="8" hidden="1"/>
    <cellStyle name="Hiperlink" xfId="39" builtinId="8" hidden="1"/>
    <cellStyle name="Hiperlink" xfId="41" builtinId="8" hidden="1"/>
    <cellStyle name="Hiperlink" xfId="45" builtinId="8" hidden="1"/>
    <cellStyle name="Hiperlink" xfId="47" builtinId="8" hidden="1"/>
    <cellStyle name="Hiperlink" xfId="49" builtinId="8" hidden="1"/>
    <cellStyle name="Hiperlink" xfId="53" builtinId="8" hidden="1"/>
    <cellStyle name="Hiperlink" xfId="55" builtinId="8" hidden="1"/>
    <cellStyle name="Hiperlink" xfId="57" builtinId="8" hidden="1"/>
    <cellStyle name="Hiperlink" xfId="61" builtinId="8" hidden="1"/>
    <cellStyle name="Hiperlink" xfId="59" builtinId="8" hidden="1"/>
    <cellStyle name="Hiperlink" xfId="51" builtinId="8" hidden="1"/>
    <cellStyle name="Hiperlink" xfId="43" builtinId="8" hidden="1"/>
    <cellStyle name="Hiperlink" xfId="35" builtinId="8" hidden="1"/>
    <cellStyle name="Hiperlink" xfId="27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21" builtinId="8" hidden="1"/>
    <cellStyle name="Hiperlink" xfId="19" builtinId="8" hidden="1"/>
    <cellStyle name="Hiperlink" xfId="7" builtinId="8" hidden="1"/>
    <cellStyle name="Hiperlink" xfId="9" builtinId="8" hidden="1"/>
    <cellStyle name="Hiperlink" xfId="5" builtinId="8" hidden="1"/>
    <cellStyle name="Hiperlink" xfId="3" builtinId="8" hidden="1"/>
    <cellStyle name="Hiperlink Visitado" xfId="280" builtinId="9" hidden="1"/>
    <cellStyle name="Hiperlink Visitado" xfId="282" builtinId="9" hidden="1"/>
    <cellStyle name="Hiperlink Visitado" xfId="284" builtinId="9" hidden="1"/>
    <cellStyle name="Hiperlink Visitado" xfId="288" builtinId="9" hidden="1"/>
    <cellStyle name="Hiperlink Visitado" xfId="290" builtinId="9" hidden="1"/>
    <cellStyle name="Hiperlink Visitado" xfId="292" builtinId="9" hidden="1"/>
    <cellStyle name="Hiperlink Visitado" xfId="296" builtinId="9" hidden="1"/>
    <cellStyle name="Hiperlink Visitado" xfId="298" builtinId="9" hidden="1"/>
    <cellStyle name="Hiperlink Visitado" xfId="300" builtinId="9" hidden="1"/>
    <cellStyle name="Hiperlink Visitado" xfId="304" builtinId="9" hidden="1"/>
    <cellStyle name="Hiperlink Visitado" xfId="306" builtinId="9" hidden="1"/>
    <cellStyle name="Hiperlink Visitado" xfId="308" builtinId="9" hidden="1"/>
    <cellStyle name="Hiperlink Visitado" xfId="312" builtinId="9" hidden="1"/>
    <cellStyle name="Hiperlink Visitado" xfId="314" builtinId="9" hidden="1"/>
    <cellStyle name="Hiperlink Visitado" xfId="316" builtinId="9" hidden="1"/>
    <cellStyle name="Hiperlink Visitado" xfId="320" builtinId="9" hidden="1"/>
    <cellStyle name="Hiperlink Visitado" xfId="322" builtinId="9" hidden="1"/>
    <cellStyle name="Hiperlink Visitado" xfId="324" builtinId="9" hidden="1"/>
    <cellStyle name="Hiperlink Visitado" xfId="328" builtinId="9" hidden="1"/>
    <cellStyle name="Hiperlink Visitado" xfId="330" builtinId="9" hidden="1"/>
    <cellStyle name="Hiperlink Visitado" xfId="332" builtinId="9" hidden="1"/>
    <cellStyle name="Hiperlink Visitado" xfId="336" builtinId="9" hidden="1"/>
    <cellStyle name="Hiperlink Visitado" xfId="338" builtinId="9" hidden="1"/>
    <cellStyle name="Hiperlink Visitado" xfId="340" builtinId="9" hidden="1"/>
    <cellStyle name="Hiperlink Visitado" xfId="344" builtinId="9" hidden="1"/>
    <cellStyle name="Hiperlink Visitado" xfId="346" builtinId="9" hidden="1"/>
    <cellStyle name="Hiperlink Visitado" xfId="348" builtinId="9" hidden="1"/>
    <cellStyle name="Hiperlink Visitado" xfId="352" builtinId="9" hidden="1"/>
    <cellStyle name="Hiperlink Visitado" xfId="354" builtinId="9" hidden="1"/>
    <cellStyle name="Hiperlink Visitado" xfId="356" builtinId="9" hidden="1"/>
    <cellStyle name="Hiperlink Visitado" xfId="360" builtinId="9" hidden="1"/>
    <cellStyle name="Hiperlink Visitado" xfId="362" builtinId="9" hidden="1"/>
    <cellStyle name="Hiperlink Visitado" xfId="364" builtinId="9" hidden="1"/>
    <cellStyle name="Hiperlink Visitado" xfId="368" builtinId="9" hidden="1"/>
    <cellStyle name="Hiperlink Visitado" xfId="370" builtinId="9" hidden="1"/>
    <cellStyle name="Hiperlink Visitado" xfId="372" builtinId="9" hidden="1"/>
    <cellStyle name="Hiperlink Visitado" xfId="376" builtinId="9" hidden="1"/>
    <cellStyle name="Hiperlink Visitado" xfId="378" builtinId="9" hidden="1"/>
    <cellStyle name="Hiperlink Visitado" xfId="380" builtinId="9" hidden="1"/>
    <cellStyle name="Hiperlink Visitado" xfId="384" builtinId="9" hidden="1"/>
    <cellStyle name="Hiperlink Visitado" xfId="386" builtinId="9" hidden="1"/>
    <cellStyle name="Hiperlink Visitado" xfId="388" builtinId="9" hidden="1"/>
    <cellStyle name="Hiperlink Visitado" xfId="392" builtinId="9" hidden="1"/>
    <cellStyle name="Hiperlink Visitado" xfId="394" builtinId="9" hidden="1"/>
    <cellStyle name="Hiperlink Visitado" xfId="396" builtinId="9" hidden="1"/>
    <cellStyle name="Hiperlink Visitado" xfId="400" builtinId="9" hidden="1"/>
    <cellStyle name="Hiperlink Visitado" xfId="402" builtinId="9" hidden="1"/>
    <cellStyle name="Hiperlink Visitado" xfId="404" builtinId="9" hidden="1"/>
    <cellStyle name="Hiperlink Visitado" xfId="408" builtinId="9" hidden="1"/>
    <cellStyle name="Hiperlink Visitado" xfId="410" builtinId="9" hidden="1"/>
    <cellStyle name="Hiperlink Visitado" xfId="412" builtinId="9" hidden="1"/>
    <cellStyle name="Hiperlink Visitado" xfId="416" builtinId="9" hidden="1"/>
    <cellStyle name="Hiperlink Visitado" xfId="418" builtinId="9" hidden="1"/>
    <cellStyle name="Hiperlink Visitado" xfId="420" builtinId="9" hidden="1"/>
    <cellStyle name="Hiperlink Visitado" xfId="424" builtinId="9" hidden="1"/>
    <cellStyle name="Hiperlink Visitado" xfId="426" builtinId="9" hidden="1"/>
    <cellStyle name="Hiperlink Visitado" xfId="428" builtinId="9" hidden="1"/>
    <cellStyle name="Hiperlink Visitado" xfId="432" builtinId="9" hidden="1"/>
    <cellStyle name="Hiperlink Visitado" xfId="434" builtinId="9" hidden="1"/>
    <cellStyle name="Hiperlink Visitado" xfId="436" builtinId="9" hidden="1"/>
    <cellStyle name="Hiperlink Visitado" xfId="440" builtinId="9" hidden="1"/>
    <cellStyle name="Hiperlink Visitado" xfId="442" builtinId="9" hidden="1"/>
    <cellStyle name="Hiperlink Visitado" xfId="444" builtinId="9" hidden="1"/>
    <cellStyle name="Hiperlink Visitado" xfId="448" builtinId="9" hidden="1"/>
    <cellStyle name="Hiperlink Visitado" xfId="450" builtinId="9" hidden="1"/>
    <cellStyle name="Hiperlink Visitado" xfId="452" builtinId="9" hidden="1"/>
    <cellStyle name="Hiperlink Visitado" xfId="456" builtinId="9" hidden="1"/>
    <cellStyle name="Hiperlink Visitado" xfId="458" builtinId="9" hidden="1"/>
    <cellStyle name="Hiperlink Visitado" xfId="460" builtinId="9" hidden="1"/>
    <cellStyle name="Hiperlink Visitado" xfId="464" builtinId="9" hidden="1"/>
    <cellStyle name="Hiperlink Visitado" xfId="466" builtinId="9" hidden="1"/>
    <cellStyle name="Hiperlink Visitado" xfId="468" builtinId="9" hidden="1"/>
    <cellStyle name="Hiperlink Visitado" xfId="472" builtinId="9" hidden="1"/>
    <cellStyle name="Hiperlink Visitado" xfId="474" builtinId="9" hidden="1"/>
    <cellStyle name="Hiperlink Visitado" xfId="476" builtinId="9" hidden="1"/>
    <cellStyle name="Hiperlink Visitado" xfId="480" builtinId="9" hidden="1"/>
    <cellStyle name="Hiperlink Visitado" xfId="482" builtinId="9" hidden="1"/>
    <cellStyle name="Hiperlink Visitado" xfId="484" builtinId="9" hidden="1"/>
    <cellStyle name="Hiperlink Visitado" xfId="488" builtinId="9" hidden="1"/>
    <cellStyle name="Hiperlink Visitado" xfId="490" builtinId="9" hidden="1"/>
    <cellStyle name="Hiperlink Visitado" xfId="492" builtinId="9" hidden="1"/>
    <cellStyle name="Hiperlink Visitado" xfId="496" builtinId="9" hidden="1"/>
    <cellStyle name="Hiperlink Visitado" xfId="498" builtinId="9" hidden="1"/>
    <cellStyle name="Hiperlink Visitado" xfId="500" builtinId="9" hidden="1"/>
    <cellStyle name="Hiperlink Visitado" xfId="504" builtinId="9" hidden="1"/>
    <cellStyle name="Hiperlink Visitado" xfId="506" builtinId="9" hidden="1"/>
    <cellStyle name="Hiperlink Visitado" xfId="508" builtinId="9" hidden="1"/>
    <cellStyle name="Hiperlink Visitado" xfId="512" builtinId="9" hidden="1"/>
    <cellStyle name="Hiperlink Visitado" xfId="514" builtinId="9" hidden="1"/>
    <cellStyle name="Hiperlink Visitado" xfId="516" builtinId="9" hidden="1"/>
    <cellStyle name="Hiperlink Visitado" xfId="520" builtinId="9" hidden="1"/>
    <cellStyle name="Hiperlink Visitado" xfId="522" builtinId="9" hidden="1"/>
    <cellStyle name="Hiperlink Visitado" xfId="524" builtinId="9" hidden="1"/>
    <cellStyle name="Hiperlink Visitado" xfId="528" builtinId="9" hidden="1"/>
    <cellStyle name="Hiperlink Visitado" xfId="530" builtinId="9" hidden="1"/>
    <cellStyle name="Hiperlink Visitado" xfId="532" builtinId="9" hidden="1"/>
    <cellStyle name="Hiperlink Visitado" xfId="536" builtinId="9" hidden="1"/>
    <cellStyle name="Hiperlink Visitado" xfId="538" builtinId="9" hidden="1"/>
    <cellStyle name="Hiperlink Visitado" xfId="540" builtinId="9" hidden="1"/>
    <cellStyle name="Hiperlink Visitado" xfId="544" builtinId="9" hidden="1"/>
    <cellStyle name="Hiperlink Visitado" xfId="546" builtinId="9" hidden="1"/>
    <cellStyle name="Hiperlink Visitado" xfId="548" builtinId="9" hidden="1"/>
    <cellStyle name="Hiperlink Visitado" xfId="552" builtinId="9" hidden="1"/>
    <cellStyle name="Hiperlink Visitado" xfId="554" builtinId="9" hidden="1"/>
    <cellStyle name="Hiperlink Visitado" xfId="556" builtinId="9" hidden="1"/>
    <cellStyle name="Hiperlink Visitado" xfId="560" builtinId="9" hidden="1"/>
    <cellStyle name="Hiperlink Visitado" xfId="562" builtinId="9" hidden="1"/>
    <cellStyle name="Hiperlink Visitado" xfId="564" builtinId="9" hidden="1"/>
    <cellStyle name="Hiperlink Visitado" xfId="568" builtinId="9" hidden="1"/>
    <cellStyle name="Hiperlink Visitado" xfId="570" builtinId="9" hidden="1"/>
    <cellStyle name="Hiperlink Visitado" xfId="572" builtinId="9" hidden="1"/>
    <cellStyle name="Hiperlink Visitado" xfId="576" builtinId="9" hidden="1"/>
    <cellStyle name="Hiperlink Visitado" xfId="578" builtinId="9" hidden="1"/>
    <cellStyle name="Hiperlink Visitado" xfId="580" builtinId="9" hidden="1"/>
    <cellStyle name="Hiperlink Visitado" xfId="584" builtinId="9" hidden="1"/>
    <cellStyle name="Hiperlink Visitado" xfId="586" builtinId="9" hidden="1"/>
    <cellStyle name="Hiperlink Visitado" xfId="588" builtinId="9" hidden="1"/>
    <cellStyle name="Hiperlink Visitado" xfId="592" builtinId="9" hidden="1"/>
    <cellStyle name="Hiperlink Visitado" xfId="594" builtinId="9" hidden="1"/>
    <cellStyle name="Hiperlink Visitado" xfId="596" builtinId="9" hidden="1"/>
    <cellStyle name="Hiperlink Visitado" xfId="600" builtinId="9" hidden="1"/>
    <cellStyle name="Hiperlink Visitado" xfId="602" builtinId="9" hidden="1"/>
    <cellStyle name="Hiperlink Visitado" xfId="604" builtinId="9" hidden="1"/>
    <cellStyle name="Hiperlink Visitado" xfId="608" builtinId="9" hidden="1"/>
    <cellStyle name="Hiperlink Visitado" xfId="610" builtinId="9" hidden="1"/>
    <cellStyle name="Hiperlink Visitado" xfId="612" builtinId="9" hidden="1"/>
    <cellStyle name="Hiperlink Visitado" xfId="616" builtinId="9" hidden="1"/>
    <cellStyle name="Hiperlink Visitado" xfId="618" builtinId="9" hidden="1"/>
    <cellStyle name="Hiperlink Visitado" xfId="620" builtinId="9" hidden="1"/>
    <cellStyle name="Hiperlink Visitado" xfId="624" builtinId="9" hidden="1"/>
    <cellStyle name="Hiperlink Visitado" xfId="626" builtinId="9" hidden="1"/>
    <cellStyle name="Hiperlink Visitado" xfId="628" builtinId="9" hidden="1"/>
    <cellStyle name="Hiperlink Visitado" xfId="632" builtinId="9" hidden="1"/>
    <cellStyle name="Hiperlink Visitado" xfId="634" builtinId="9" hidden="1"/>
    <cellStyle name="Hiperlink Visitado" xfId="636" builtinId="9" hidden="1"/>
    <cellStyle name="Hiperlink Visitado" xfId="640" builtinId="9" hidden="1"/>
    <cellStyle name="Hiperlink Visitado" xfId="642" builtinId="9" hidden="1"/>
    <cellStyle name="Hiperlink Visitado" xfId="644" builtinId="9" hidden="1"/>
    <cellStyle name="Hiperlink Visitado" xfId="648" builtinId="9" hidden="1"/>
    <cellStyle name="Hiperlink Visitado" xfId="650" builtinId="9" hidden="1"/>
    <cellStyle name="Hiperlink Visitado" xfId="652" builtinId="9" hidden="1"/>
    <cellStyle name="Hiperlink Visitado" xfId="656" builtinId="9" hidden="1"/>
    <cellStyle name="Hiperlink Visitado" xfId="658" builtinId="9" hidden="1"/>
    <cellStyle name="Hiperlink Visitado" xfId="660" builtinId="9" hidden="1"/>
    <cellStyle name="Hiperlink Visitado" xfId="664" builtinId="9" hidden="1"/>
    <cellStyle name="Hiperlink Visitado" xfId="666" builtinId="9" hidden="1"/>
    <cellStyle name="Hiperlink Visitado" xfId="668" builtinId="9" hidden="1"/>
    <cellStyle name="Hiperlink Visitado" xfId="672" builtinId="9" hidden="1"/>
    <cellStyle name="Hiperlink Visitado" xfId="674" builtinId="9" hidden="1"/>
    <cellStyle name="Hiperlink Visitado" xfId="676" builtinId="9" hidden="1"/>
    <cellStyle name="Hiperlink Visitado" xfId="680" builtinId="9" hidden="1"/>
    <cellStyle name="Hiperlink Visitado" xfId="682" builtinId="9" hidden="1"/>
    <cellStyle name="Hiperlink Visitado" xfId="684" builtinId="9" hidden="1"/>
    <cellStyle name="Hiperlink Visitado" xfId="688" builtinId="9" hidden="1"/>
    <cellStyle name="Hiperlink Visitado" xfId="690" builtinId="9" hidden="1"/>
    <cellStyle name="Hiperlink Visitado" xfId="692" builtinId="9" hidden="1"/>
    <cellStyle name="Hiperlink Visitado" xfId="696" builtinId="9" hidden="1"/>
    <cellStyle name="Hiperlink Visitado" xfId="698" builtinId="9" hidden="1"/>
    <cellStyle name="Hiperlink Visitado" xfId="700" builtinId="9" hidden="1"/>
    <cellStyle name="Hiperlink Visitado" xfId="704" builtinId="9" hidden="1"/>
    <cellStyle name="Hiperlink Visitado" xfId="706" builtinId="9" hidden="1"/>
    <cellStyle name="Hiperlink Visitado" xfId="708" builtinId="9" hidden="1"/>
    <cellStyle name="Hiperlink Visitado" xfId="712" builtinId="9" hidden="1"/>
    <cellStyle name="Hiperlink Visitado" xfId="714" builtinId="9" hidden="1"/>
    <cellStyle name="Hiperlink Visitado" xfId="716" builtinId="9" hidden="1"/>
    <cellStyle name="Hiperlink Visitado" xfId="720" builtinId="9" hidden="1"/>
    <cellStyle name="Hiperlink Visitado" xfId="722" builtinId="9" hidden="1"/>
    <cellStyle name="Hiperlink Visitado" xfId="724" builtinId="9" hidden="1"/>
    <cellStyle name="Hiperlink Visitado" xfId="728" builtinId="9" hidden="1"/>
    <cellStyle name="Hiperlink Visitado" xfId="730" builtinId="9" hidden="1"/>
    <cellStyle name="Hiperlink Visitado" xfId="732" builtinId="9" hidden="1"/>
    <cellStyle name="Hiperlink Visitado" xfId="736" builtinId="9" hidden="1"/>
    <cellStyle name="Hiperlink Visitado" xfId="738" builtinId="9" hidden="1"/>
    <cellStyle name="Hiperlink Visitado" xfId="740" builtinId="9" hidden="1"/>
    <cellStyle name="Hiperlink Visitado" xfId="744" builtinId="9" hidden="1"/>
    <cellStyle name="Hiperlink Visitado" xfId="746" builtinId="9" hidden="1"/>
    <cellStyle name="Hiperlink Visitado" xfId="748" builtinId="9" hidden="1"/>
    <cellStyle name="Hiperlink Visitado" xfId="752" builtinId="9" hidden="1"/>
    <cellStyle name="Hiperlink Visitado" xfId="754" builtinId="9" hidden="1"/>
    <cellStyle name="Hiperlink Visitado" xfId="756" builtinId="9" hidden="1"/>
    <cellStyle name="Hiperlink Visitado" xfId="760" builtinId="9" hidden="1"/>
    <cellStyle name="Hiperlink Visitado" xfId="762" builtinId="9" hidden="1"/>
    <cellStyle name="Hiperlink Visitado" xfId="764" builtinId="9" hidden="1"/>
    <cellStyle name="Hiperlink Visitado" xfId="768" builtinId="9" hidden="1"/>
    <cellStyle name="Hiperlink Visitado" xfId="766" builtinId="9" hidden="1"/>
    <cellStyle name="Hiperlink Visitado" xfId="758" builtinId="9" hidden="1"/>
    <cellStyle name="Hiperlink Visitado" xfId="750" builtinId="9" hidden="1"/>
    <cellStyle name="Hiperlink Visitado" xfId="742" builtinId="9" hidden="1"/>
    <cellStyle name="Hiperlink Visitado" xfId="734" builtinId="9" hidden="1"/>
    <cellStyle name="Hiperlink Visitado" xfId="726" builtinId="9" hidden="1"/>
    <cellStyle name="Hiperlink Visitado" xfId="718" builtinId="9" hidden="1"/>
    <cellStyle name="Hiperlink Visitado" xfId="710" builtinId="9" hidden="1"/>
    <cellStyle name="Hiperlink Visitado" xfId="702" builtinId="9" hidden="1"/>
    <cellStyle name="Hiperlink Visitado" xfId="694" builtinId="9" hidden="1"/>
    <cellStyle name="Hiperlink Visitado" xfId="686" builtinId="9" hidden="1"/>
    <cellStyle name="Hiperlink Visitado" xfId="678" builtinId="9" hidden="1"/>
    <cellStyle name="Hiperlink Visitado" xfId="670" builtinId="9" hidden="1"/>
    <cellStyle name="Hiperlink Visitado" xfId="662" builtinId="9" hidden="1"/>
    <cellStyle name="Hiperlink Visitado" xfId="654" builtinId="9" hidden="1"/>
    <cellStyle name="Hiperlink Visitado" xfId="646" builtinId="9" hidden="1"/>
    <cellStyle name="Hiperlink Visitado" xfId="638" builtinId="9" hidden="1"/>
    <cellStyle name="Hiperlink Visitado" xfId="630" builtinId="9" hidden="1"/>
    <cellStyle name="Hiperlink Visitado" xfId="622" builtinId="9" hidden="1"/>
    <cellStyle name="Hiperlink Visitado" xfId="614" builtinId="9" hidden="1"/>
    <cellStyle name="Hiperlink Visitado" xfId="606" builtinId="9" hidden="1"/>
    <cellStyle name="Hiperlink Visitado" xfId="598" builtinId="9" hidden="1"/>
    <cellStyle name="Hiperlink Visitado" xfId="590" builtinId="9" hidden="1"/>
    <cellStyle name="Hiperlink Visitado" xfId="582" builtinId="9" hidden="1"/>
    <cellStyle name="Hiperlink Visitado" xfId="574" builtinId="9" hidden="1"/>
    <cellStyle name="Hiperlink Visitado" xfId="566" builtinId="9" hidden="1"/>
    <cellStyle name="Hiperlink Visitado" xfId="558" builtinId="9" hidden="1"/>
    <cellStyle name="Hiperlink Visitado" xfId="550" builtinId="9" hidden="1"/>
    <cellStyle name="Hiperlink Visitado" xfId="542" builtinId="9" hidden="1"/>
    <cellStyle name="Hiperlink Visitado" xfId="534" builtinId="9" hidden="1"/>
    <cellStyle name="Hiperlink Visitado" xfId="526" builtinId="9" hidden="1"/>
    <cellStyle name="Hiperlink Visitado" xfId="518" builtinId="9" hidden="1"/>
    <cellStyle name="Hiperlink Visitado" xfId="510" builtinId="9" hidden="1"/>
    <cellStyle name="Hiperlink Visitado" xfId="502" builtinId="9" hidden="1"/>
    <cellStyle name="Hiperlink Visitado" xfId="494" builtinId="9" hidden="1"/>
    <cellStyle name="Hiperlink Visitado" xfId="486" builtinId="9" hidden="1"/>
    <cellStyle name="Hiperlink Visitado" xfId="478" builtinId="9" hidden="1"/>
    <cellStyle name="Hiperlink Visitado" xfId="470" builtinId="9" hidden="1"/>
    <cellStyle name="Hiperlink Visitado" xfId="462" builtinId="9" hidden="1"/>
    <cellStyle name="Hiperlink Visitado" xfId="454" builtinId="9" hidden="1"/>
    <cellStyle name="Hiperlink Visitado" xfId="446" builtinId="9" hidden="1"/>
    <cellStyle name="Hiperlink Visitado" xfId="438" builtinId="9" hidden="1"/>
    <cellStyle name="Hiperlink Visitado" xfId="430" builtinId="9" hidden="1"/>
    <cellStyle name="Hiperlink Visitado" xfId="422" builtinId="9" hidden="1"/>
    <cellStyle name="Hiperlink Visitado" xfId="414" builtinId="9" hidden="1"/>
    <cellStyle name="Hiperlink Visitado" xfId="406" builtinId="9" hidden="1"/>
    <cellStyle name="Hiperlink Visitado" xfId="398" builtinId="9" hidden="1"/>
    <cellStyle name="Hiperlink Visitado" xfId="390" builtinId="9" hidden="1"/>
    <cellStyle name="Hiperlink Visitado" xfId="382" builtinId="9" hidden="1"/>
    <cellStyle name="Hiperlink Visitado" xfId="374" builtinId="9" hidden="1"/>
    <cellStyle name="Hiperlink Visitado" xfId="366" builtinId="9" hidden="1"/>
    <cellStyle name="Hiperlink Visitado" xfId="358" builtinId="9" hidden="1"/>
    <cellStyle name="Hiperlink Visitado" xfId="350" builtinId="9" hidden="1"/>
    <cellStyle name="Hiperlink Visitado" xfId="342" builtinId="9" hidden="1"/>
    <cellStyle name="Hiperlink Visitado" xfId="334" builtinId="9" hidden="1"/>
    <cellStyle name="Hiperlink Visitado" xfId="326" builtinId="9" hidden="1"/>
    <cellStyle name="Hiperlink Visitado" xfId="318" builtinId="9" hidden="1"/>
    <cellStyle name="Hiperlink Visitado" xfId="310" builtinId="9" hidden="1"/>
    <cellStyle name="Hiperlink Visitado" xfId="302" builtinId="9" hidden="1"/>
    <cellStyle name="Hiperlink Visitado" xfId="294" builtinId="9" hidden="1"/>
    <cellStyle name="Hiperlink Visitado" xfId="286" builtinId="9" hidden="1"/>
    <cellStyle name="Hiperlink Visitado" xfId="278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Hiperlink Visitado" xfId="144" builtinId="9" hidden="1"/>
    <cellStyle name="Hiperlink Visitado" xfId="146" builtinId="9" hidden="1"/>
    <cellStyle name="Hiperlink Visitado" xfId="148" builtinId="9" hidden="1"/>
    <cellStyle name="Hiperlink Visitado" xfId="152" builtinId="9" hidden="1"/>
    <cellStyle name="Hiperlink Visitado" xfId="154" builtinId="9" hidden="1"/>
    <cellStyle name="Hiperlink Visitado" xfId="156" builtinId="9" hidden="1"/>
    <cellStyle name="Hiperlink Visitado" xfId="158" builtinId="9" hidden="1"/>
    <cellStyle name="Hiperlink Visitado" xfId="160" builtinId="9" hidden="1"/>
    <cellStyle name="Hiperlink Visitado" xfId="162" builtinId="9" hidden="1"/>
    <cellStyle name="Hiperlink Visitado" xfId="164" builtinId="9" hidden="1"/>
    <cellStyle name="Hiperlink Visitado" xfId="168" builtinId="9" hidden="1"/>
    <cellStyle name="Hiperlink Visitado" xfId="170" builtinId="9" hidden="1"/>
    <cellStyle name="Hiperlink Visitado" xfId="172" builtinId="9" hidden="1"/>
    <cellStyle name="Hiperlink Visitado" xfId="174" builtinId="9" hidden="1"/>
    <cellStyle name="Hiperlink Visitado" xfId="176" builtinId="9" hidden="1"/>
    <cellStyle name="Hiperlink Visitado" xfId="178" builtinId="9" hidden="1"/>
    <cellStyle name="Hiperlink Visitado" xfId="180" builtinId="9" hidden="1"/>
    <cellStyle name="Hiperlink Visitado" xfId="184" builtinId="9" hidden="1"/>
    <cellStyle name="Hiperlink Visitado" xfId="186" builtinId="9" hidden="1"/>
    <cellStyle name="Hiperlink Visitado" xfId="188" builtinId="9" hidden="1"/>
    <cellStyle name="Hiperlink Visitado" xfId="190" builtinId="9" hidden="1"/>
    <cellStyle name="Hiperlink Visitado" xfId="192" builtinId="9" hidden="1"/>
    <cellStyle name="Hiperlink Visitado" xfId="194" builtinId="9" hidden="1"/>
    <cellStyle name="Hiperlink Visitado" xfId="196" builtinId="9" hidden="1"/>
    <cellStyle name="Hiperlink Visitado" xfId="200" builtinId="9" hidden="1"/>
    <cellStyle name="Hiperlink Visitado" xfId="202" builtinId="9" hidden="1"/>
    <cellStyle name="Hiperlink Visitado" xfId="204" builtinId="9" hidden="1"/>
    <cellStyle name="Hiperlink Visitado" xfId="206" builtinId="9" hidden="1"/>
    <cellStyle name="Hiperlink Visitado" xfId="208" builtinId="9" hidden="1"/>
    <cellStyle name="Hiperlink Visitado" xfId="210" builtinId="9" hidden="1"/>
    <cellStyle name="Hiperlink Visitado" xfId="212" builtinId="9" hidden="1"/>
    <cellStyle name="Hiperlink Visitado" xfId="216" builtinId="9" hidden="1"/>
    <cellStyle name="Hiperlink Visitado" xfId="218" builtinId="9" hidden="1"/>
    <cellStyle name="Hiperlink Visitado" xfId="220" builtinId="9" hidden="1"/>
    <cellStyle name="Hiperlink Visitado" xfId="222" builtinId="9" hidden="1"/>
    <cellStyle name="Hiperlink Visitado" xfId="224" builtinId="9" hidden="1"/>
    <cellStyle name="Hiperlink Visitado" xfId="226" builtinId="9" hidden="1"/>
    <cellStyle name="Hiperlink Visitado" xfId="228" builtinId="9" hidden="1"/>
    <cellStyle name="Hiperlink Visitado" xfId="232" builtinId="9" hidden="1"/>
    <cellStyle name="Hiperlink Visitado" xfId="234" builtinId="9" hidden="1"/>
    <cellStyle name="Hiperlink Visitado" xfId="236" builtinId="9" hidden="1"/>
    <cellStyle name="Hiperlink Visitado" xfId="238" builtinId="9" hidden="1"/>
    <cellStyle name="Hiperlink Visitado" xfId="240" builtinId="9" hidden="1"/>
    <cellStyle name="Hiperlink Visitado" xfId="242" builtinId="9" hidden="1"/>
    <cellStyle name="Hiperlink Visitado" xfId="244" builtinId="9" hidden="1"/>
    <cellStyle name="Hiperlink Visitado" xfId="248" builtinId="9" hidden="1"/>
    <cellStyle name="Hiperlink Visitado" xfId="250" builtinId="9" hidden="1"/>
    <cellStyle name="Hiperlink Visitado" xfId="252" builtinId="9" hidden="1"/>
    <cellStyle name="Hiperlink Visitado" xfId="254" builtinId="9" hidden="1"/>
    <cellStyle name="Hiperlink Visitado" xfId="256" builtinId="9" hidden="1"/>
    <cellStyle name="Hiperlink Visitado" xfId="258" builtinId="9" hidden="1"/>
    <cellStyle name="Hiperlink Visitado" xfId="260" builtinId="9" hidden="1"/>
    <cellStyle name="Hiperlink Visitado" xfId="264" builtinId="9" hidden="1"/>
    <cellStyle name="Hiperlink Visitado" xfId="266" builtinId="9" hidden="1"/>
    <cellStyle name="Hiperlink Visitado" xfId="268" builtinId="9" hidden="1"/>
    <cellStyle name="Hiperlink Visitado" xfId="270" builtinId="9" hidden="1"/>
    <cellStyle name="Hiperlink Visitado" xfId="272" builtinId="9" hidden="1"/>
    <cellStyle name="Hiperlink Visitado" xfId="274" builtinId="9" hidden="1"/>
    <cellStyle name="Hiperlink Visitado" xfId="276" builtinId="9" hidden="1"/>
    <cellStyle name="Hiperlink Visitado" xfId="262" builtinId="9" hidden="1"/>
    <cellStyle name="Hiperlink Visitado" xfId="246" builtinId="9" hidden="1"/>
    <cellStyle name="Hiperlink Visitado" xfId="230" builtinId="9" hidden="1"/>
    <cellStyle name="Hiperlink Visitado" xfId="214" builtinId="9" hidden="1"/>
    <cellStyle name="Hiperlink Visitado" xfId="198" builtinId="9" hidden="1"/>
    <cellStyle name="Hiperlink Visitado" xfId="182" builtinId="9" hidden="1"/>
    <cellStyle name="Hiperlink Visitado" xfId="166" builtinId="9" hidden="1"/>
    <cellStyle name="Hiperlink Visitado" xfId="150" builtinId="9" hidden="1"/>
    <cellStyle name="Hiperlink Visitado" xfId="134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02" builtinId="9" hidden="1"/>
    <cellStyle name="Hiperlink Visitado" xfId="70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736600</xdr:colOff>
      <xdr:row>11</xdr:row>
      <xdr:rowOff>88900</xdr:rowOff>
    </xdr:from>
    <xdr:to>
      <xdr:col>9</xdr:col>
      <xdr:colOff>914400</xdr:colOff>
      <xdr:row>32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2184400"/>
          <a:ext cx="64262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O54"/>
  <sheetViews>
    <sheetView showGridLines="0" tabSelected="1" topLeftCell="A18" workbookViewId="0">
      <selection activeCell="F31" sqref="F31"/>
    </sheetView>
  </sheetViews>
  <sheetFormatPr defaultColWidth="11" defaultRowHeight="15.75" x14ac:dyDescent="0.25"/>
  <cols>
    <col min="1" max="1" width="25.625" bestFit="1" customWidth="1"/>
    <col min="2" max="2" width="50.5" bestFit="1" customWidth="1"/>
    <col min="3" max="3" width="15.125" bestFit="1" customWidth="1"/>
    <col min="4" max="4" width="27" bestFit="1" customWidth="1"/>
    <col min="5" max="5" width="28.625" customWidth="1"/>
    <col min="6" max="6" width="39.5" bestFit="1" customWidth="1"/>
    <col min="7" max="7" width="11.125" bestFit="1" customWidth="1"/>
    <col min="8" max="8" width="64.625" bestFit="1" customWidth="1"/>
    <col min="9" max="9" width="17.375" bestFit="1" customWidth="1"/>
    <col min="10" max="10" width="19.375" customWidth="1"/>
    <col min="11" max="11" width="13.5" bestFit="1" customWidth="1"/>
    <col min="12" max="12" width="12.625" customWidth="1"/>
    <col min="13" max="13" width="13.375" customWidth="1"/>
    <col min="15" max="15" width="14.125" bestFit="1" customWidth="1"/>
    <col min="16" max="16" width="19.375" bestFit="1" customWidth="1"/>
  </cols>
  <sheetData>
    <row r="1" spans="1:15" ht="15" customHeight="1" x14ac:dyDescent="0.25">
      <c r="A1" s="247" t="s">
        <v>0</v>
      </c>
      <c r="B1" s="247"/>
      <c r="C1" s="247"/>
    </row>
    <row r="2" spans="1:15" ht="15" customHeight="1" x14ac:dyDescent="0.25">
      <c r="A2" s="247"/>
      <c r="B2" s="247"/>
      <c r="C2" s="247"/>
      <c r="F2" t="s">
        <v>1</v>
      </c>
      <c r="H2" s="214">
        <v>125000</v>
      </c>
    </row>
    <row r="3" spans="1:15" ht="15" customHeight="1" x14ac:dyDescent="0.25">
      <c r="A3" s="247"/>
      <c r="B3" s="247"/>
      <c r="C3" s="247"/>
      <c r="F3" t="s">
        <v>2</v>
      </c>
      <c r="H3" s="84">
        <v>137000</v>
      </c>
    </row>
    <row r="4" spans="1:15" ht="15" customHeight="1" x14ac:dyDescent="0.25">
      <c r="A4" s="247"/>
      <c r="B4" s="247"/>
      <c r="C4" s="247"/>
      <c r="F4" t="s">
        <v>3</v>
      </c>
    </row>
    <row r="5" spans="1:15" ht="15" customHeight="1" x14ac:dyDescent="0.25">
      <c r="A5" s="248" t="s">
        <v>4</v>
      </c>
      <c r="B5" s="248"/>
      <c r="C5" s="248"/>
    </row>
    <row r="6" spans="1:15" ht="15" customHeight="1" x14ac:dyDescent="0.25">
      <c r="B6" t="s">
        <v>5</v>
      </c>
      <c r="C6" s="3">
        <v>42705</v>
      </c>
      <c r="E6" s="55"/>
      <c r="F6" s="55"/>
      <c r="G6" s="55"/>
      <c r="H6" s="55" t="s">
        <v>6</v>
      </c>
    </row>
    <row r="7" spans="1:15" ht="15" customHeight="1" x14ac:dyDescent="0.25">
      <c r="B7" t="s">
        <v>7</v>
      </c>
      <c r="C7">
        <v>0</v>
      </c>
      <c r="E7" s="55" t="s">
        <v>8</v>
      </c>
      <c r="F7" s="55" t="s">
        <v>9</v>
      </c>
      <c r="G7" s="210">
        <v>110250</v>
      </c>
      <c r="H7" s="55"/>
    </row>
    <row r="8" spans="1:15" ht="15" customHeight="1" x14ac:dyDescent="0.25">
      <c r="B8" t="s">
        <v>10</v>
      </c>
      <c r="C8" s="3">
        <f>EDATE(C6,C7)</f>
        <v>42705</v>
      </c>
      <c r="E8" s="55" t="s">
        <v>11</v>
      </c>
      <c r="F8" s="55" t="s">
        <v>12</v>
      </c>
      <c r="G8" s="210">
        <f>19500</f>
        <v>19500</v>
      </c>
      <c r="H8" s="55" t="s">
        <v>13</v>
      </c>
    </row>
    <row r="9" spans="1:15" ht="15" customHeight="1" x14ac:dyDescent="0.25">
      <c r="B9" t="s">
        <v>14</v>
      </c>
      <c r="C9">
        <v>2</v>
      </c>
      <c r="E9" s="55" t="s">
        <v>15</v>
      </c>
      <c r="F9" s="55" t="s">
        <v>16</v>
      </c>
      <c r="G9" s="210">
        <v>13450</v>
      </c>
      <c r="H9" s="55" t="s">
        <v>17</v>
      </c>
    </row>
    <row r="10" spans="1:15" ht="15" customHeight="1" x14ac:dyDescent="0.25">
      <c r="B10" s="59" t="s">
        <v>18</v>
      </c>
      <c r="C10" s="79">
        <f>EDATE(C6,C9)</f>
        <v>42767</v>
      </c>
      <c r="E10" s="55"/>
      <c r="F10" s="55"/>
      <c r="G10" s="211">
        <f>SUM(G7:G9)</f>
        <v>143200</v>
      </c>
      <c r="H10" s="55"/>
      <c r="N10" s="1"/>
      <c r="O10" s="1"/>
    </row>
    <row r="11" spans="1:15" ht="15" customHeight="1" x14ac:dyDescent="0.25">
      <c r="B11" t="s">
        <v>19</v>
      </c>
      <c r="C11">
        <v>2</v>
      </c>
    </row>
    <row r="12" spans="1:15" ht="15" customHeight="1" x14ac:dyDescent="0.25">
      <c r="B12" t="s">
        <v>20</v>
      </c>
      <c r="C12" s="3">
        <f>EDATE(C15,C11)</f>
        <v>44652</v>
      </c>
      <c r="F12" t="s">
        <v>21</v>
      </c>
      <c r="G12" s="211">
        <v>600</v>
      </c>
    </row>
    <row r="13" spans="1:15" ht="15" customHeight="1" x14ac:dyDescent="0.25">
      <c r="A13" s="253" t="s">
        <v>22</v>
      </c>
      <c r="B13" s="55" t="s">
        <v>23</v>
      </c>
      <c r="C13" s="55">
        <v>60</v>
      </c>
      <c r="F13" s="55" t="s">
        <v>24</v>
      </c>
      <c r="G13" s="211">
        <v>500</v>
      </c>
    </row>
    <row r="14" spans="1:15" ht="15" customHeight="1" x14ac:dyDescent="0.25">
      <c r="A14" s="253"/>
      <c r="B14" s="55" t="s">
        <v>25</v>
      </c>
      <c r="C14" s="55">
        <v>0</v>
      </c>
      <c r="F14" s="55" t="s">
        <v>26</v>
      </c>
      <c r="G14">
        <v>2150</v>
      </c>
    </row>
    <row r="15" spans="1:15" ht="15" customHeight="1" x14ac:dyDescent="0.25">
      <c r="A15" s="253"/>
      <c r="B15" s="55" t="s">
        <v>27</v>
      </c>
      <c r="C15" s="167">
        <f>EDATE(C10,C13)</f>
        <v>44593</v>
      </c>
    </row>
    <row r="16" spans="1:15" ht="15" customHeight="1" x14ac:dyDescent="0.25">
      <c r="A16" s="253"/>
      <c r="B16" s="55" t="s">
        <v>20</v>
      </c>
      <c r="C16" s="167">
        <f>EDATE(C15,2)</f>
        <v>44652</v>
      </c>
    </row>
    <row r="17" spans="1:8" x14ac:dyDescent="0.25">
      <c r="A17" s="253"/>
      <c r="B17" s="55" t="s">
        <v>28</v>
      </c>
      <c r="C17" s="181"/>
    </row>
    <row r="18" spans="1:8" x14ac:dyDescent="0.25">
      <c r="A18" s="248" t="s">
        <v>29</v>
      </c>
      <c r="B18" s="248"/>
      <c r="C18" s="248"/>
    </row>
    <row r="19" spans="1:8" x14ac:dyDescent="0.25">
      <c r="B19" t="s">
        <v>30</v>
      </c>
      <c r="C19">
        <v>12</v>
      </c>
      <c r="E19" s="252" t="s">
        <v>31</v>
      </c>
      <c r="F19" s="252"/>
    </row>
    <row r="20" spans="1:8" x14ac:dyDescent="0.25">
      <c r="B20" t="s">
        <v>32</v>
      </c>
      <c r="C20" s="3">
        <f>EDATE(C10,C19)</f>
        <v>43132</v>
      </c>
      <c r="E20" s="252"/>
      <c r="F20" s="252"/>
    </row>
    <row r="21" spans="1:8" x14ac:dyDescent="0.25">
      <c r="B21" t="s">
        <v>33</v>
      </c>
      <c r="C21" t="s">
        <v>34</v>
      </c>
      <c r="E21" s="55" t="s">
        <v>35</v>
      </c>
      <c r="F21" s="55" t="s">
        <v>36</v>
      </c>
    </row>
    <row r="22" spans="1:8" ht="23.25" x14ac:dyDescent="0.35">
      <c r="B22" s="59" t="s">
        <v>37</v>
      </c>
      <c r="C22" s="60">
        <v>0.03</v>
      </c>
      <c r="D22" s="223" t="s">
        <v>38</v>
      </c>
      <c r="E22" s="222">
        <f>C33</f>
        <v>257000</v>
      </c>
      <c r="F22" s="232">
        <v>0</v>
      </c>
    </row>
    <row r="23" spans="1:8" x14ac:dyDescent="0.25">
      <c r="A23" s="248" t="s">
        <v>39</v>
      </c>
      <c r="B23" s="248"/>
      <c r="C23" s="248"/>
      <c r="D23" s="195">
        <v>0.25</v>
      </c>
      <c r="E23" s="177">
        <f t="shared" ref="E23:E29" si="0">E22*(1-D23)</f>
        <v>192750</v>
      </c>
      <c r="F23" s="209">
        <v>1</v>
      </c>
    </row>
    <row r="24" spans="1:8" x14ac:dyDescent="0.25">
      <c r="A24" s="95" t="s">
        <v>40</v>
      </c>
      <c r="B24" s="95" t="s">
        <v>41</v>
      </c>
      <c r="C24" s="143" t="s">
        <v>42</v>
      </c>
      <c r="D24" s="215">
        <v>0.13</v>
      </c>
      <c r="E24" s="154">
        <f t="shared" si="0"/>
        <v>167692.5</v>
      </c>
      <c r="F24" s="232">
        <v>2</v>
      </c>
    </row>
    <row r="25" spans="1:8" x14ac:dyDescent="0.25">
      <c r="A25" s="95" t="s">
        <v>43</v>
      </c>
      <c r="B25" s="95" t="s">
        <v>41</v>
      </c>
      <c r="C25" s="143" t="s">
        <v>42</v>
      </c>
      <c r="D25" s="195">
        <v>0.13</v>
      </c>
      <c r="E25" s="177">
        <f t="shared" si="0"/>
        <v>145892.47500000001</v>
      </c>
      <c r="F25" s="209">
        <v>3</v>
      </c>
    </row>
    <row r="26" spans="1:8" x14ac:dyDescent="0.25">
      <c r="A26" s="233" t="s">
        <v>22</v>
      </c>
      <c r="B26" s="55" t="s">
        <v>44</v>
      </c>
      <c r="C26" s="94"/>
      <c r="D26" s="195">
        <v>0.13</v>
      </c>
      <c r="E26" s="176">
        <f t="shared" si="0"/>
        <v>126926.45325000001</v>
      </c>
      <c r="F26" s="232">
        <v>4</v>
      </c>
    </row>
    <row r="27" spans="1:8" x14ac:dyDescent="0.25">
      <c r="A27" s="233"/>
      <c r="B27" s="55"/>
      <c r="C27" s="94"/>
      <c r="D27" s="195">
        <v>0.13</v>
      </c>
      <c r="E27" s="176">
        <f t="shared" si="0"/>
        <v>110426.0143275</v>
      </c>
      <c r="F27" s="209">
        <v>5</v>
      </c>
    </row>
    <row r="28" spans="1:8" ht="16.5" thickBot="1" x14ac:dyDescent="0.3">
      <c r="A28" s="248" t="s">
        <v>45</v>
      </c>
      <c r="B28" s="248"/>
      <c r="C28" s="248"/>
      <c r="D28" s="225">
        <v>0.2</v>
      </c>
      <c r="E28" s="176">
        <f t="shared" si="0"/>
        <v>88340.811462000012</v>
      </c>
      <c r="F28" s="232">
        <v>6</v>
      </c>
    </row>
    <row r="29" spans="1:8" ht="16.5" thickBot="1" x14ac:dyDescent="0.3">
      <c r="A29" s="221" t="s">
        <v>46</v>
      </c>
      <c r="B29" s="92" t="s">
        <v>47</v>
      </c>
      <c r="C29" s="93">
        <v>257000</v>
      </c>
      <c r="D29" s="225">
        <v>0.2</v>
      </c>
      <c r="E29" s="176">
        <f t="shared" si="0"/>
        <v>70672.649169600016</v>
      </c>
      <c r="F29" s="209">
        <v>7</v>
      </c>
      <c r="H29" s="176">
        <f>C32</f>
        <v>257000</v>
      </c>
    </row>
    <row r="30" spans="1:8" ht="16.5" thickBot="1" x14ac:dyDescent="0.3">
      <c r="A30" s="91" t="s">
        <v>48</v>
      </c>
      <c r="B30" s="92" t="s">
        <v>47</v>
      </c>
      <c r="C30" s="93"/>
      <c r="E30" s="154">
        <f>1*0.8*0.85</f>
        <v>0.68</v>
      </c>
    </row>
    <row r="31" spans="1:8" ht="16.5" thickBot="1" x14ac:dyDescent="0.3">
      <c r="A31" s="91" t="s">
        <v>49</v>
      </c>
      <c r="B31" s="92" t="s">
        <v>50</v>
      </c>
      <c r="C31" s="93"/>
      <c r="E31" s="217" t="s">
        <v>51</v>
      </c>
      <c r="F31" s="219">
        <v>5.8000000000000003E-2</v>
      </c>
    </row>
    <row r="32" spans="1:8" ht="30" customHeight="1" thickBot="1" x14ac:dyDescent="0.3">
      <c r="A32" s="185" t="s">
        <v>52</v>
      </c>
      <c r="B32" s="92" t="s">
        <v>47</v>
      </c>
      <c r="C32" s="93">
        <f>C29+C30</f>
        <v>257000</v>
      </c>
      <c r="D32" s="176">
        <f>C30*0.3</f>
        <v>0</v>
      </c>
      <c r="E32" s="154"/>
      <c r="F32" s="176"/>
    </row>
    <row r="33" spans="1:6" ht="30" customHeight="1" x14ac:dyDescent="0.25">
      <c r="A33" s="166" t="s">
        <v>53</v>
      </c>
      <c r="B33" t="s">
        <v>47</v>
      </c>
      <c r="C33" s="90">
        <f>SUM(C31:C32)</f>
        <v>257000</v>
      </c>
      <c r="D33" s="176" t="s">
        <v>54</v>
      </c>
      <c r="E33" s="154"/>
      <c r="F33" s="176"/>
    </row>
    <row r="34" spans="1:6" ht="16.5" thickBot="1" x14ac:dyDescent="0.3">
      <c r="A34" s="231" t="s">
        <v>55</v>
      </c>
      <c r="B34" s="231"/>
      <c r="C34" s="231"/>
      <c r="E34" s="154"/>
      <c r="F34" s="176"/>
    </row>
    <row r="35" spans="1:6" ht="33" customHeight="1" thickBot="1" x14ac:dyDescent="0.3">
      <c r="A35" s="186" t="s">
        <v>56</v>
      </c>
      <c r="B35" s="168"/>
      <c r="C35" s="169">
        <v>7</v>
      </c>
      <c r="E35" s="154"/>
    </row>
    <row r="36" spans="1:6" ht="30.95" customHeight="1" thickBot="1" x14ac:dyDescent="0.3">
      <c r="A36" s="91" t="str">
        <f>A29</f>
        <v>express</v>
      </c>
      <c r="B36" s="92" t="s">
        <v>47</v>
      </c>
      <c r="C36" s="93">
        <v>66573.635517763207</v>
      </c>
      <c r="D36" s="231"/>
      <c r="E36" s="231"/>
    </row>
    <row r="37" spans="1:6" ht="32.25" thickBot="1" x14ac:dyDescent="0.3">
      <c r="A37" s="248" t="s">
        <v>57</v>
      </c>
      <c r="B37" s="248"/>
      <c r="C37" s="248"/>
      <c r="D37" s="170" t="s">
        <v>58</v>
      </c>
      <c r="E37" s="171" t="s">
        <v>59</v>
      </c>
    </row>
    <row r="38" spans="1:6" ht="16.5" thickBot="1" x14ac:dyDescent="0.3">
      <c r="A38" s="249" t="s">
        <v>60</v>
      </c>
      <c r="B38" s="249"/>
      <c r="C38" s="42">
        <v>0.25</v>
      </c>
      <c r="D38" s="179">
        <f>C36/(C29+C30)</f>
        <v>0.25904138333760002</v>
      </c>
      <c r="E38" s="179">
        <f>1-D38</f>
        <v>0.74095861666240004</v>
      </c>
    </row>
    <row r="39" spans="1:6" x14ac:dyDescent="0.25">
      <c r="A39" s="249" t="s">
        <v>61</v>
      </c>
      <c r="B39" s="250"/>
      <c r="C39" s="159">
        <f>C38/12</f>
        <v>2.0833333333333332E-2</v>
      </c>
    </row>
    <row r="40" spans="1:6" ht="16.5" thickBot="1" x14ac:dyDescent="0.3">
      <c r="A40" s="249" t="s">
        <v>62</v>
      </c>
      <c r="B40" s="249"/>
      <c r="C40" s="187">
        <f>C32</f>
        <v>257000</v>
      </c>
    </row>
    <row r="41" spans="1:6" ht="16.5" thickBot="1" x14ac:dyDescent="0.3">
      <c r="A41" s="254" t="s">
        <v>63</v>
      </c>
      <c r="B41" s="251"/>
      <c r="C41" s="188">
        <f>C40*C39</f>
        <v>5354.1666666666661</v>
      </c>
      <c r="D41" s="224">
        <f>C36+35000</f>
        <v>101573.63551776321</v>
      </c>
    </row>
    <row r="42" spans="1:6" ht="16.5" thickBot="1" x14ac:dyDescent="0.3">
      <c r="A42" s="251" t="s">
        <v>64</v>
      </c>
      <c r="B42" s="251"/>
      <c r="C42" s="201">
        <f>SUM(Cashflow!H21:CW21)</f>
        <v>256999.9999999998</v>
      </c>
    </row>
    <row r="43" spans="1:6" ht="16.5" thickBot="1" x14ac:dyDescent="0.3">
      <c r="A43" s="251"/>
      <c r="B43" s="251"/>
      <c r="C43" s="201"/>
    </row>
    <row r="44" spans="1:6" x14ac:dyDescent="0.25">
      <c r="A44" s="246" t="s">
        <v>65</v>
      </c>
      <c r="B44" s="246"/>
      <c r="C44" s="246"/>
    </row>
    <row r="45" spans="1:6" x14ac:dyDescent="0.25">
      <c r="B45" s="5"/>
      <c r="C45" s="5" t="s">
        <v>66</v>
      </c>
    </row>
    <row r="46" spans="1:6" x14ac:dyDescent="0.25">
      <c r="B46" s="5" t="s">
        <v>67</v>
      </c>
      <c r="C46" s="35">
        <v>6.4999999999999997E-3</v>
      </c>
    </row>
    <row r="47" spans="1:6" x14ac:dyDescent="0.25">
      <c r="B47" s="5" t="s">
        <v>68</v>
      </c>
      <c r="C47" s="36">
        <v>0.03</v>
      </c>
    </row>
    <row r="48" spans="1:6" x14ac:dyDescent="0.25">
      <c r="B48" s="5" t="s">
        <v>69</v>
      </c>
      <c r="C48" s="36">
        <v>3.6999999999999998E-2</v>
      </c>
    </row>
    <row r="54" ht="27" customHeight="1" x14ac:dyDescent="0.25"/>
  </sheetData>
  <mergeCells count="15">
    <mergeCell ref="E19:F20"/>
    <mergeCell ref="A13:A17"/>
    <mergeCell ref="A40:B40"/>
    <mergeCell ref="A41:B41"/>
    <mergeCell ref="A42:B42"/>
    <mergeCell ref="A44:C44"/>
    <mergeCell ref="A1:C4"/>
    <mergeCell ref="A37:C37"/>
    <mergeCell ref="A38:B38"/>
    <mergeCell ref="A39:B39"/>
    <mergeCell ref="A5:C5"/>
    <mergeCell ref="A18:C18"/>
    <mergeCell ref="A23:C23"/>
    <mergeCell ref="A28:C28"/>
    <mergeCell ref="A43:B4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XDE96"/>
  <sheetViews>
    <sheetView showGridLines="0" topLeftCell="F1" zoomScale="90" zoomScaleNormal="90" zoomScalePageLayoutView="90" workbookViewId="0">
      <pane xSplit="5" ySplit="9" topLeftCell="K84" activePane="bottomRight" state="frozen"/>
      <selection pane="topRight" activeCell="K1" sqref="K1"/>
      <selection pane="bottomLeft" activeCell="F15" sqref="F15"/>
      <selection pane="bottomRight" activeCell="A94" sqref="A94:XFD94"/>
    </sheetView>
  </sheetViews>
  <sheetFormatPr defaultColWidth="11" defaultRowHeight="15.75" x14ac:dyDescent="0.25"/>
  <cols>
    <col min="1" max="5" width="10.875" hidden="1" customWidth="1"/>
    <col min="6" max="6" width="3.625" customWidth="1"/>
    <col min="7" max="7" width="51.875" customWidth="1"/>
    <col min="8" max="8" width="19.125" bestFit="1" customWidth="1"/>
    <col min="9" max="9" width="10.875" customWidth="1"/>
    <col min="10" max="10" width="13.625" bestFit="1" customWidth="1"/>
    <col min="11" max="11" width="12.5" customWidth="1"/>
  </cols>
  <sheetData>
    <row r="1" spans="1:96" x14ac:dyDescent="0.25">
      <c r="G1" s="255" t="s">
        <v>70</v>
      </c>
      <c r="H1" s="256"/>
    </row>
    <row r="2" spans="1:96" ht="15.95" customHeight="1" x14ac:dyDescent="0.25">
      <c r="G2" s="85" t="s">
        <v>71</v>
      </c>
      <c r="H2" s="86">
        <f>Dados!C13</f>
        <v>60</v>
      </c>
    </row>
    <row r="3" spans="1:96" ht="32.1" customHeight="1" x14ac:dyDescent="0.25">
      <c r="G3" s="85" t="s">
        <v>72</v>
      </c>
      <c r="H3" s="207" t="str">
        <f>Dados!A29</f>
        <v>express</v>
      </c>
    </row>
    <row r="4" spans="1:96" x14ac:dyDescent="0.25">
      <c r="G4" s="85" t="s">
        <v>73</v>
      </c>
      <c r="H4" s="86">
        <f>Dados!C14</f>
        <v>0</v>
      </c>
    </row>
    <row r="5" spans="1:96" x14ac:dyDescent="0.25">
      <c r="G5" s="257"/>
      <c r="H5" s="257"/>
      <c r="I5" s="101"/>
      <c r="J5" s="258" t="s">
        <v>74</v>
      </c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9" t="s">
        <v>75</v>
      </c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60" t="s">
        <v>76</v>
      </c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7" t="s">
        <v>77</v>
      </c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7"/>
      <c r="BF5" s="268" t="s">
        <v>78</v>
      </c>
      <c r="BG5" s="268"/>
      <c r="BH5" s="268"/>
      <c r="BI5" s="268"/>
      <c r="BJ5" s="268"/>
      <c r="BK5" s="268"/>
      <c r="BL5" s="268"/>
      <c r="BM5" s="268"/>
      <c r="BN5" s="268"/>
      <c r="BO5" s="268"/>
      <c r="BP5" s="268"/>
      <c r="BQ5" s="268"/>
      <c r="BR5" s="269" t="s">
        <v>79</v>
      </c>
      <c r="BS5" s="269"/>
      <c r="BT5" s="269"/>
      <c r="BU5" s="269"/>
      <c r="BV5" s="269"/>
      <c r="BW5" s="269"/>
      <c r="BX5" s="269"/>
      <c r="BY5" s="269"/>
      <c r="BZ5" s="269"/>
      <c r="CA5" s="269"/>
      <c r="CB5" s="269"/>
      <c r="CC5" s="269"/>
      <c r="CD5" s="261" t="s">
        <v>80</v>
      </c>
      <c r="CE5" s="261"/>
      <c r="CF5" s="261"/>
      <c r="CG5" s="261"/>
      <c r="CH5" s="261"/>
      <c r="CI5" s="261"/>
      <c r="CJ5" s="261"/>
      <c r="CK5" s="261"/>
      <c r="CL5" s="261"/>
      <c r="CM5" s="261"/>
      <c r="CN5" s="261"/>
      <c r="CO5" s="261"/>
      <c r="CP5" s="208" t="s">
        <v>81</v>
      </c>
      <c r="CQ5" s="208"/>
      <c r="CR5" s="208"/>
    </row>
    <row r="6" spans="1:96" x14ac:dyDescent="0.25">
      <c r="E6">
        <v>6</v>
      </c>
      <c r="CP6" s="102"/>
      <c r="CQ6" s="102"/>
      <c r="CR6" s="102"/>
    </row>
    <row r="7" spans="1:96" x14ac:dyDescent="0.25">
      <c r="G7" s="5"/>
      <c r="H7" s="14">
        <v>43282</v>
      </c>
      <c r="I7" s="14">
        <f>EDATE(H7,1)</f>
        <v>43313</v>
      </c>
      <c r="J7" s="14">
        <f t="shared" ref="J7:T7" si="0">EDATE(I7,1)</f>
        <v>43344</v>
      </c>
      <c r="K7" s="14">
        <f t="shared" si="0"/>
        <v>43374</v>
      </c>
      <c r="L7" s="14">
        <f t="shared" si="0"/>
        <v>43405</v>
      </c>
      <c r="M7" s="14">
        <f t="shared" si="0"/>
        <v>43435</v>
      </c>
      <c r="N7" s="14">
        <f t="shared" si="0"/>
        <v>43466</v>
      </c>
      <c r="O7" s="14">
        <f t="shared" si="0"/>
        <v>43497</v>
      </c>
      <c r="P7" s="14">
        <f t="shared" si="0"/>
        <v>43525</v>
      </c>
      <c r="Q7" s="14">
        <f t="shared" si="0"/>
        <v>43556</v>
      </c>
      <c r="R7" s="14">
        <f t="shared" si="0"/>
        <v>43586</v>
      </c>
      <c r="S7" s="14">
        <f t="shared" si="0"/>
        <v>43617</v>
      </c>
      <c r="T7" s="14">
        <f t="shared" si="0"/>
        <v>43647</v>
      </c>
      <c r="U7" s="14">
        <f>EDATE(T7,1)</f>
        <v>43678</v>
      </c>
      <c r="V7" s="14">
        <f t="shared" ref="V7:AG7" si="1">EDATE(U7,1)</f>
        <v>43709</v>
      </c>
      <c r="W7" s="14">
        <f t="shared" si="1"/>
        <v>43739</v>
      </c>
      <c r="X7" s="14">
        <f t="shared" si="1"/>
        <v>43770</v>
      </c>
      <c r="Y7" s="14">
        <f t="shared" si="1"/>
        <v>43800</v>
      </c>
      <c r="Z7" s="14">
        <f t="shared" si="1"/>
        <v>43831</v>
      </c>
      <c r="AA7" s="14">
        <f t="shared" si="1"/>
        <v>43862</v>
      </c>
      <c r="AB7" s="14">
        <f t="shared" si="1"/>
        <v>43891</v>
      </c>
      <c r="AC7" s="14">
        <f t="shared" si="1"/>
        <v>43922</v>
      </c>
      <c r="AD7" s="14">
        <f t="shared" si="1"/>
        <v>43952</v>
      </c>
      <c r="AE7" s="14">
        <f t="shared" si="1"/>
        <v>43983</v>
      </c>
      <c r="AF7" s="14">
        <f t="shared" si="1"/>
        <v>44013</v>
      </c>
      <c r="AG7" s="14">
        <f t="shared" si="1"/>
        <v>44044</v>
      </c>
      <c r="AH7" s="14">
        <f>EDATE(AG7,1)</f>
        <v>44075</v>
      </c>
      <c r="AI7" s="14">
        <f t="shared" ref="AI7:AS7" si="2">EDATE(AH7,1)</f>
        <v>44105</v>
      </c>
      <c r="AJ7" s="14">
        <f t="shared" si="2"/>
        <v>44136</v>
      </c>
      <c r="AK7" s="14">
        <f t="shared" si="2"/>
        <v>44166</v>
      </c>
      <c r="AL7" s="14">
        <f t="shared" si="2"/>
        <v>44197</v>
      </c>
      <c r="AM7" s="14">
        <f t="shared" si="2"/>
        <v>44228</v>
      </c>
      <c r="AN7" s="14">
        <f t="shared" si="2"/>
        <v>44256</v>
      </c>
      <c r="AO7" s="14">
        <f t="shared" si="2"/>
        <v>44287</v>
      </c>
      <c r="AP7" s="14">
        <f t="shared" si="2"/>
        <v>44317</v>
      </c>
      <c r="AQ7" s="14">
        <f t="shared" si="2"/>
        <v>44348</v>
      </c>
      <c r="AR7" s="14">
        <f t="shared" si="2"/>
        <v>44378</v>
      </c>
      <c r="AS7" s="14">
        <f t="shared" si="2"/>
        <v>44409</v>
      </c>
      <c r="AT7" s="14">
        <f>EDATE(AS7,1)</f>
        <v>44440</v>
      </c>
      <c r="AU7" s="14">
        <f t="shared" ref="AU7" si="3">EDATE(AT7,1)</f>
        <v>44470</v>
      </c>
      <c r="AV7" s="14">
        <f t="shared" ref="AV7" si="4">EDATE(AU7,1)</f>
        <v>44501</v>
      </c>
      <c r="AW7" s="14">
        <f t="shared" ref="AW7" si="5">EDATE(AV7,1)</f>
        <v>44531</v>
      </c>
      <c r="AX7" s="14">
        <f t="shared" ref="AX7" si="6">EDATE(AW7,1)</f>
        <v>44562</v>
      </c>
      <c r="AY7" s="14">
        <f t="shared" ref="AY7" si="7">EDATE(AX7,1)</f>
        <v>44593</v>
      </c>
      <c r="AZ7" s="14">
        <f t="shared" ref="AZ7" si="8">EDATE(AY7,1)</f>
        <v>44621</v>
      </c>
      <c r="BA7" s="14">
        <f t="shared" ref="BA7" si="9">EDATE(AZ7,1)</f>
        <v>44652</v>
      </c>
      <c r="BB7" s="14">
        <f t="shared" ref="BB7" si="10">EDATE(BA7,1)</f>
        <v>44682</v>
      </c>
      <c r="BC7" s="14">
        <f t="shared" ref="BC7" si="11">EDATE(BB7,1)</f>
        <v>44713</v>
      </c>
      <c r="BD7" s="14">
        <f t="shared" ref="BD7" si="12">EDATE(BC7,1)</f>
        <v>44743</v>
      </c>
      <c r="BE7" s="14">
        <f t="shared" ref="BE7" si="13">EDATE(BD7,1)</f>
        <v>44774</v>
      </c>
      <c r="BF7" s="14">
        <f>EDATE(BE7,1)</f>
        <v>44805</v>
      </c>
      <c r="BG7" s="14">
        <f t="shared" ref="BG7" si="14">EDATE(BF7,1)</f>
        <v>44835</v>
      </c>
      <c r="BH7" s="14">
        <f t="shared" ref="BH7" si="15">EDATE(BG7,1)</f>
        <v>44866</v>
      </c>
      <c r="BI7" s="14">
        <f t="shared" ref="BI7" si="16">EDATE(BH7,1)</f>
        <v>44896</v>
      </c>
      <c r="BJ7" s="14">
        <f t="shared" ref="BJ7" si="17">EDATE(BI7,1)</f>
        <v>44927</v>
      </c>
      <c r="BK7" s="14">
        <f t="shared" ref="BK7" si="18">EDATE(BJ7,1)</f>
        <v>44958</v>
      </c>
      <c r="BL7" s="14">
        <f t="shared" ref="BL7" si="19">EDATE(BK7,1)</f>
        <v>44986</v>
      </c>
      <c r="BM7" s="14">
        <f t="shared" ref="BM7" si="20">EDATE(BL7,1)</f>
        <v>45017</v>
      </c>
      <c r="BN7" s="14">
        <f t="shared" ref="BN7" si="21">EDATE(BM7,1)</f>
        <v>45047</v>
      </c>
      <c r="BO7" s="14">
        <f t="shared" ref="BO7" si="22">EDATE(BN7,1)</f>
        <v>45078</v>
      </c>
      <c r="BP7" s="14">
        <f t="shared" ref="BP7:BU7" si="23">EDATE(BJ7,1)</f>
        <v>44958</v>
      </c>
      <c r="BQ7" s="14">
        <f t="shared" si="23"/>
        <v>44986</v>
      </c>
      <c r="BR7" s="14">
        <f t="shared" si="23"/>
        <v>45017</v>
      </c>
      <c r="BS7" s="14">
        <f t="shared" si="23"/>
        <v>45047</v>
      </c>
      <c r="BT7" s="14">
        <f t="shared" si="23"/>
        <v>45078</v>
      </c>
      <c r="BU7" s="14">
        <f t="shared" si="23"/>
        <v>45108</v>
      </c>
      <c r="BV7" s="14">
        <f t="shared" ref="BV7" si="24">EDATE(BU7,1)</f>
        <v>45139</v>
      </c>
      <c r="BW7" s="14">
        <f>EDATE(BV7,1)</f>
        <v>45170</v>
      </c>
      <c r="BX7" s="14">
        <f t="shared" ref="BX7" si="25">EDATE(BW7,1)</f>
        <v>45200</v>
      </c>
      <c r="BY7" s="14">
        <f t="shared" ref="BY7" si="26">EDATE(BX7,1)</f>
        <v>45231</v>
      </c>
      <c r="BZ7" s="14">
        <f t="shared" ref="BZ7" si="27">EDATE(BY7,1)</f>
        <v>45261</v>
      </c>
      <c r="CA7" s="14">
        <f t="shared" ref="CA7" si="28">EDATE(BZ7,1)</f>
        <v>45292</v>
      </c>
      <c r="CB7" s="14">
        <f t="shared" ref="CB7" si="29">EDATE(CA7,1)</f>
        <v>45323</v>
      </c>
      <c r="CC7" s="14">
        <f t="shared" ref="CC7" si="30">EDATE(CB7,1)</f>
        <v>45352</v>
      </c>
      <c r="CD7" s="14">
        <f t="shared" ref="CD7" si="31">EDATE(CC7,1)</f>
        <v>45383</v>
      </c>
      <c r="CE7" s="14">
        <f t="shared" ref="CE7" si="32">EDATE(CD7,1)</f>
        <v>45413</v>
      </c>
      <c r="CF7" s="14">
        <f t="shared" ref="CF7" si="33">EDATE(CE7,1)</f>
        <v>45444</v>
      </c>
      <c r="CG7" s="14">
        <f t="shared" ref="CG7" si="34">EDATE(CF7,1)</f>
        <v>45474</v>
      </c>
      <c r="CH7" s="14">
        <f>EDATE(CG7,1)</f>
        <v>45505</v>
      </c>
      <c r="CI7" s="14">
        <f t="shared" ref="CI7" si="35">EDATE(CH7,1)</f>
        <v>45536</v>
      </c>
      <c r="CJ7" s="14">
        <f t="shared" ref="CJ7" si="36">EDATE(CI7,1)</f>
        <v>45566</v>
      </c>
      <c r="CK7" s="14">
        <f t="shared" ref="CK7" si="37">EDATE(CJ7,1)</f>
        <v>45597</v>
      </c>
      <c r="CL7" s="14">
        <f t="shared" ref="CL7" si="38">EDATE(CK7,1)</f>
        <v>45627</v>
      </c>
      <c r="CM7" s="14">
        <f t="shared" ref="CM7" si="39">EDATE(CL7,1)</f>
        <v>45658</v>
      </c>
      <c r="CN7" s="14">
        <f>EDATE(CL7,1)</f>
        <v>45658</v>
      </c>
      <c r="CO7" s="14">
        <f>EDATE(CM7,1)</f>
        <v>45689</v>
      </c>
      <c r="CP7" s="14">
        <f t="shared" ref="CP7" si="40">EDATE(CH7,1)</f>
        <v>45536</v>
      </c>
      <c r="CQ7" s="14">
        <f t="shared" ref="CQ7" si="41">EDATE(CP7,1)</f>
        <v>45566</v>
      </c>
      <c r="CR7" s="14">
        <f t="shared" ref="CR7" si="42">EDATE(CQ7,1)</f>
        <v>45597</v>
      </c>
    </row>
    <row r="8" spans="1:96" x14ac:dyDescent="0.25">
      <c r="G8" s="16" t="s">
        <v>82</v>
      </c>
      <c r="H8" s="15">
        <v>0</v>
      </c>
      <c r="I8" s="15">
        <f>H8+1</f>
        <v>1</v>
      </c>
      <c r="J8" s="15">
        <f>I8+1</f>
        <v>2</v>
      </c>
      <c r="K8" s="15">
        <f t="shared" ref="K8:T8" si="43">J8+1</f>
        <v>3</v>
      </c>
      <c r="L8" s="15">
        <f t="shared" si="43"/>
        <v>4</v>
      </c>
      <c r="M8" s="15">
        <f t="shared" si="43"/>
        <v>5</v>
      </c>
      <c r="N8" s="15">
        <f t="shared" si="43"/>
        <v>6</v>
      </c>
      <c r="O8" s="15">
        <f t="shared" si="43"/>
        <v>7</v>
      </c>
      <c r="P8" s="15">
        <f t="shared" si="43"/>
        <v>8</v>
      </c>
      <c r="Q8" s="15">
        <f t="shared" si="43"/>
        <v>9</v>
      </c>
      <c r="R8" s="15">
        <f t="shared" si="43"/>
        <v>10</v>
      </c>
      <c r="S8" s="15">
        <f t="shared" si="43"/>
        <v>11</v>
      </c>
      <c r="T8" s="15">
        <f t="shared" si="43"/>
        <v>12</v>
      </c>
      <c r="U8" s="15">
        <f>T8+1</f>
        <v>13</v>
      </c>
      <c r="V8" s="15">
        <f t="shared" ref="V8:AG8" si="44">U8+1</f>
        <v>14</v>
      </c>
      <c r="W8" s="15">
        <f t="shared" si="44"/>
        <v>15</v>
      </c>
      <c r="X8" s="15">
        <f t="shared" si="44"/>
        <v>16</v>
      </c>
      <c r="Y8" s="15">
        <f t="shared" si="44"/>
        <v>17</v>
      </c>
      <c r="Z8" s="15">
        <f t="shared" si="44"/>
        <v>18</v>
      </c>
      <c r="AA8" s="15">
        <f t="shared" si="44"/>
        <v>19</v>
      </c>
      <c r="AB8" s="15">
        <f t="shared" si="44"/>
        <v>20</v>
      </c>
      <c r="AC8" s="15">
        <f t="shared" si="44"/>
        <v>21</v>
      </c>
      <c r="AD8" s="15">
        <f t="shared" si="44"/>
        <v>22</v>
      </c>
      <c r="AE8" s="15">
        <f t="shared" si="44"/>
        <v>23</v>
      </c>
      <c r="AF8" s="15">
        <f t="shared" si="44"/>
        <v>24</v>
      </c>
      <c r="AG8" s="15">
        <f t="shared" si="44"/>
        <v>25</v>
      </c>
      <c r="AH8" s="15">
        <f>AG8+1</f>
        <v>26</v>
      </c>
      <c r="AI8" s="15">
        <f t="shared" ref="AI8:AS8" si="45">AH8+1</f>
        <v>27</v>
      </c>
      <c r="AJ8" s="15">
        <f t="shared" si="45"/>
        <v>28</v>
      </c>
      <c r="AK8" s="15">
        <f t="shared" si="45"/>
        <v>29</v>
      </c>
      <c r="AL8" s="15">
        <f t="shared" si="45"/>
        <v>30</v>
      </c>
      <c r="AM8" s="15">
        <f t="shared" si="45"/>
        <v>31</v>
      </c>
      <c r="AN8" s="15">
        <f t="shared" si="45"/>
        <v>32</v>
      </c>
      <c r="AO8" s="15">
        <f t="shared" si="45"/>
        <v>33</v>
      </c>
      <c r="AP8" s="15">
        <f t="shared" si="45"/>
        <v>34</v>
      </c>
      <c r="AQ8" s="15">
        <f t="shared" si="45"/>
        <v>35</v>
      </c>
      <c r="AR8" s="15">
        <f t="shared" si="45"/>
        <v>36</v>
      </c>
      <c r="AS8" s="15">
        <f t="shared" si="45"/>
        <v>37</v>
      </c>
      <c r="AT8" s="15">
        <f t="shared" ref="AT8" si="46">AS8+1</f>
        <v>38</v>
      </c>
      <c r="AU8" s="15">
        <f t="shared" ref="AU8" si="47">AT8+1</f>
        <v>39</v>
      </c>
      <c r="AV8" s="15">
        <f t="shared" ref="AV8" si="48">AU8+1</f>
        <v>40</v>
      </c>
      <c r="AW8" s="15">
        <f t="shared" ref="AW8" si="49">AV8+1</f>
        <v>41</v>
      </c>
      <c r="AX8" s="15">
        <f t="shared" ref="AX8" si="50">AW8+1</f>
        <v>42</v>
      </c>
      <c r="AY8" s="15">
        <f t="shared" ref="AY8:AY9" si="51">AX8+1</f>
        <v>43</v>
      </c>
      <c r="AZ8" s="15">
        <f t="shared" ref="AZ8:AZ9" si="52">AY8+1</f>
        <v>44</v>
      </c>
      <c r="BA8" s="15">
        <f t="shared" ref="BA8:BA9" si="53">AZ8+1</f>
        <v>45</v>
      </c>
      <c r="BB8" s="15">
        <f t="shared" ref="BB8:BB9" si="54">BA8+1</f>
        <v>46</v>
      </c>
      <c r="BC8" s="15">
        <f t="shared" ref="BC8:BC9" si="55">BB8+1</f>
        <v>47</v>
      </c>
      <c r="BD8" s="15">
        <f t="shared" ref="BD8:BD9" si="56">BC8+1</f>
        <v>48</v>
      </c>
      <c r="BE8" s="15">
        <f t="shared" ref="BE8:BE9" si="57">BD8+1</f>
        <v>49</v>
      </c>
      <c r="BF8" s="15">
        <f t="shared" ref="BF8:BF9" si="58">BE8+1</f>
        <v>50</v>
      </c>
      <c r="BG8" s="15">
        <f t="shared" ref="BG8:BG9" si="59">BF8+1</f>
        <v>51</v>
      </c>
      <c r="BH8" s="15">
        <f t="shared" ref="BH8:BH9" si="60">BG8+1</f>
        <v>52</v>
      </c>
      <c r="BI8" s="15">
        <f t="shared" ref="BI8:BI9" si="61">BH8+1</f>
        <v>53</v>
      </c>
      <c r="BJ8" s="15">
        <f t="shared" ref="BJ8:BJ9" si="62">BI8+1</f>
        <v>54</v>
      </c>
      <c r="BK8" s="15">
        <f t="shared" ref="BK8:BK9" si="63">BJ8+1</f>
        <v>55</v>
      </c>
      <c r="BL8" s="15">
        <f t="shared" ref="BL8:BL9" si="64">BK8+1</f>
        <v>56</v>
      </c>
      <c r="BM8" s="15">
        <f t="shared" ref="BM8:BM9" si="65">BL8+1</f>
        <v>57</v>
      </c>
      <c r="BN8" s="15">
        <f t="shared" ref="BN8:BN9" si="66">BM8+1</f>
        <v>58</v>
      </c>
      <c r="BO8" s="15">
        <f t="shared" ref="BO8:BO9" si="67">BN8+1</f>
        <v>59</v>
      </c>
      <c r="BP8" s="15">
        <f t="shared" ref="BP8:BP9" si="68">BO8+1</f>
        <v>60</v>
      </c>
      <c r="BQ8" s="15">
        <f t="shared" ref="BQ8:BQ9" si="69">BP8+1</f>
        <v>61</v>
      </c>
      <c r="BR8" s="15">
        <f t="shared" ref="BR8:BR9" si="70">BQ8+1</f>
        <v>62</v>
      </c>
      <c r="BS8" s="15">
        <f t="shared" ref="BS8:BS9" si="71">BR8+1</f>
        <v>63</v>
      </c>
      <c r="BT8" s="15">
        <f t="shared" ref="BT8:BT9" si="72">BS8+1</f>
        <v>64</v>
      </c>
      <c r="BU8" s="15">
        <f t="shared" ref="BU8:BU9" si="73">BT8+1</f>
        <v>65</v>
      </c>
      <c r="BV8" s="15">
        <f t="shared" ref="BV8:BV9" si="74">BU8+1</f>
        <v>66</v>
      </c>
      <c r="BW8" s="15">
        <f t="shared" ref="BW8:BW9" si="75">BV8+1</f>
        <v>67</v>
      </c>
      <c r="BX8" s="15">
        <f t="shared" ref="BX8:BX9" si="76">BW8+1</f>
        <v>68</v>
      </c>
      <c r="BY8" s="15">
        <f t="shared" ref="BY8:BY9" si="77">BX8+1</f>
        <v>69</v>
      </c>
      <c r="BZ8" s="15">
        <f t="shared" ref="BZ8:BZ9" si="78">BY8+1</f>
        <v>70</v>
      </c>
      <c r="CA8" s="15">
        <f t="shared" ref="CA8:CA9" si="79">BZ8+1</f>
        <v>71</v>
      </c>
      <c r="CB8" s="15">
        <f t="shared" ref="CB8:CB9" si="80">CA8+1</f>
        <v>72</v>
      </c>
      <c r="CC8" s="15">
        <f t="shared" ref="CC8:CC9" si="81">CB8+1</f>
        <v>73</v>
      </c>
      <c r="CD8" s="15">
        <f t="shared" ref="CD8:CD9" si="82">CC8+1</f>
        <v>74</v>
      </c>
      <c r="CE8" s="15">
        <f t="shared" ref="CE8:CE9" si="83">CD8+1</f>
        <v>75</v>
      </c>
      <c r="CF8" s="15">
        <f t="shared" ref="CF8:CF9" si="84">CE8+1</f>
        <v>76</v>
      </c>
      <c r="CG8" s="15">
        <f t="shared" ref="CG8:CG9" si="85">CF8+1</f>
        <v>77</v>
      </c>
      <c r="CH8" s="15">
        <f t="shared" ref="CH8:CH9" si="86">CG8+1</f>
        <v>78</v>
      </c>
      <c r="CI8" s="15">
        <f t="shared" ref="CI8:CI9" si="87">CH8+1</f>
        <v>79</v>
      </c>
      <c r="CJ8" s="15">
        <f t="shared" ref="CJ8:CJ9" si="88">CI8+1</f>
        <v>80</v>
      </c>
      <c r="CK8" s="15">
        <f t="shared" ref="CK8:CK9" si="89">CJ8+1</f>
        <v>81</v>
      </c>
      <c r="CL8" s="15">
        <f t="shared" ref="CL8:CL9" si="90">CK8+1</f>
        <v>82</v>
      </c>
      <c r="CM8" s="15">
        <f t="shared" ref="CM8:CM9" si="91">CL8+1</f>
        <v>83</v>
      </c>
      <c r="CN8" s="15">
        <f t="shared" ref="CN8" si="92">CL8+1</f>
        <v>83</v>
      </c>
      <c r="CO8" s="15">
        <f t="shared" ref="CO8" si="93">CM8+1</f>
        <v>84</v>
      </c>
      <c r="CP8" s="15">
        <f t="shared" ref="CP8" si="94">CN8+1</f>
        <v>84</v>
      </c>
      <c r="CQ8" s="15">
        <f t="shared" ref="CQ8" si="95">CO8+1</f>
        <v>85</v>
      </c>
      <c r="CR8" s="15">
        <f t="shared" ref="CR8" si="96">CP8+1</f>
        <v>85</v>
      </c>
    </row>
    <row r="9" spans="1:96" x14ac:dyDescent="0.25">
      <c r="A9" t="s">
        <v>83</v>
      </c>
      <c r="G9" s="107" t="s">
        <v>84</v>
      </c>
      <c r="H9" s="21"/>
      <c r="I9" s="21"/>
      <c r="J9" s="115">
        <v>1</v>
      </c>
      <c r="K9" s="107">
        <f>J9+1</f>
        <v>2</v>
      </c>
      <c r="L9" s="107">
        <f t="shared" ref="L9:T9" si="97">K9+1</f>
        <v>3</v>
      </c>
      <c r="M9" s="107">
        <f t="shared" si="97"/>
        <v>4</v>
      </c>
      <c r="N9" s="107">
        <f t="shared" si="97"/>
        <v>5</v>
      </c>
      <c r="O9" s="107">
        <f t="shared" si="97"/>
        <v>6</v>
      </c>
      <c r="P9" s="107">
        <f t="shared" si="97"/>
        <v>7</v>
      </c>
      <c r="Q9" s="107">
        <f t="shared" si="97"/>
        <v>8</v>
      </c>
      <c r="R9" s="107">
        <f t="shared" si="97"/>
        <v>9</v>
      </c>
      <c r="S9" s="107">
        <f t="shared" si="97"/>
        <v>10</v>
      </c>
      <c r="T9" s="107">
        <f t="shared" si="97"/>
        <v>11</v>
      </c>
      <c r="U9" s="107">
        <f>T9+1</f>
        <v>12</v>
      </c>
      <c r="V9" s="107">
        <f t="shared" ref="V9:AG9" si="98">U9+1</f>
        <v>13</v>
      </c>
      <c r="W9" s="107">
        <f t="shared" si="98"/>
        <v>14</v>
      </c>
      <c r="X9" s="107">
        <f t="shared" si="98"/>
        <v>15</v>
      </c>
      <c r="Y9" s="107">
        <f t="shared" si="98"/>
        <v>16</v>
      </c>
      <c r="Z9" s="107">
        <f t="shared" si="98"/>
        <v>17</v>
      </c>
      <c r="AA9" s="107">
        <f t="shared" si="98"/>
        <v>18</v>
      </c>
      <c r="AB9" s="107">
        <f t="shared" si="98"/>
        <v>19</v>
      </c>
      <c r="AC9" s="107">
        <f t="shared" si="98"/>
        <v>20</v>
      </c>
      <c r="AD9" s="107">
        <f t="shared" si="98"/>
        <v>21</v>
      </c>
      <c r="AE9" s="107">
        <f t="shared" si="98"/>
        <v>22</v>
      </c>
      <c r="AF9" s="107">
        <f t="shared" si="98"/>
        <v>23</v>
      </c>
      <c r="AG9" s="107">
        <f t="shared" si="98"/>
        <v>24</v>
      </c>
      <c r="AH9" s="107">
        <f>AG9+1</f>
        <v>25</v>
      </c>
      <c r="AI9" s="107">
        <f t="shared" ref="AI9:AS9" si="99">AH9+1</f>
        <v>26</v>
      </c>
      <c r="AJ9" s="107">
        <f t="shared" si="99"/>
        <v>27</v>
      </c>
      <c r="AK9" s="107">
        <f t="shared" si="99"/>
        <v>28</v>
      </c>
      <c r="AL9" s="107">
        <f t="shared" si="99"/>
        <v>29</v>
      </c>
      <c r="AM9" s="107">
        <f t="shared" si="99"/>
        <v>30</v>
      </c>
      <c r="AN9" s="107">
        <f t="shared" si="99"/>
        <v>31</v>
      </c>
      <c r="AO9" s="107">
        <f t="shared" si="99"/>
        <v>32</v>
      </c>
      <c r="AP9" s="107">
        <f t="shared" si="99"/>
        <v>33</v>
      </c>
      <c r="AQ9" s="107">
        <f t="shared" si="99"/>
        <v>34</v>
      </c>
      <c r="AR9" s="107">
        <f t="shared" si="99"/>
        <v>35</v>
      </c>
      <c r="AS9" s="107">
        <f t="shared" si="99"/>
        <v>36</v>
      </c>
      <c r="AT9" s="107">
        <f>AS9+1</f>
        <v>37</v>
      </c>
      <c r="AU9" s="107">
        <f t="shared" ref="AU9" si="100">AT9+1</f>
        <v>38</v>
      </c>
      <c r="AV9" s="107">
        <f t="shared" ref="AV9" si="101">AU9+1</f>
        <v>39</v>
      </c>
      <c r="AW9" s="107">
        <f t="shared" ref="AW9" si="102">AV9+1</f>
        <v>40</v>
      </c>
      <c r="AX9" s="107">
        <f t="shared" ref="AX9" si="103">AW9+1</f>
        <v>41</v>
      </c>
      <c r="AY9" s="107">
        <f t="shared" si="51"/>
        <v>42</v>
      </c>
      <c r="AZ9" s="107">
        <f t="shared" si="52"/>
        <v>43</v>
      </c>
      <c r="BA9" s="107">
        <f t="shared" si="53"/>
        <v>44</v>
      </c>
      <c r="BB9" s="107">
        <f t="shared" si="54"/>
        <v>45</v>
      </c>
      <c r="BC9" s="107">
        <f t="shared" si="55"/>
        <v>46</v>
      </c>
      <c r="BD9" s="107">
        <f t="shared" si="56"/>
        <v>47</v>
      </c>
      <c r="BE9" s="107">
        <f t="shared" si="57"/>
        <v>48</v>
      </c>
      <c r="BF9" s="107">
        <f t="shared" si="58"/>
        <v>49</v>
      </c>
      <c r="BG9" s="107">
        <f t="shared" si="59"/>
        <v>50</v>
      </c>
      <c r="BH9" s="107">
        <f t="shared" si="60"/>
        <v>51</v>
      </c>
      <c r="BI9" s="107">
        <f t="shared" si="61"/>
        <v>52</v>
      </c>
      <c r="BJ9" s="107">
        <f t="shared" si="62"/>
        <v>53</v>
      </c>
      <c r="BK9" s="107">
        <f t="shared" si="63"/>
        <v>54</v>
      </c>
      <c r="BL9" s="107">
        <f t="shared" si="64"/>
        <v>55</v>
      </c>
      <c r="BM9" s="107">
        <f t="shared" si="65"/>
        <v>56</v>
      </c>
      <c r="BN9" s="107">
        <f t="shared" si="66"/>
        <v>57</v>
      </c>
      <c r="BO9" s="107">
        <f t="shared" si="67"/>
        <v>58</v>
      </c>
      <c r="BP9" s="107">
        <f t="shared" si="68"/>
        <v>59</v>
      </c>
      <c r="BQ9" s="107">
        <f t="shared" si="69"/>
        <v>60</v>
      </c>
      <c r="BR9" s="107">
        <f t="shared" si="70"/>
        <v>61</v>
      </c>
      <c r="BS9" s="107">
        <f t="shared" si="71"/>
        <v>62</v>
      </c>
      <c r="BT9" s="107">
        <f t="shared" si="72"/>
        <v>63</v>
      </c>
      <c r="BU9" s="107">
        <f t="shared" si="73"/>
        <v>64</v>
      </c>
      <c r="BV9" s="107">
        <f t="shared" si="74"/>
        <v>65</v>
      </c>
      <c r="BW9" s="107">
        <f t="shared" si="75"/>
        <v>66</v>
      </c>
      <c r="BX9" s="107">
        <f t="shared" si="76"/>
        <v>67</v>
      </c>
      <c r="BY9" s="107">
        <f t="shared" si="77"/>
        <v>68</v>
      </c>
      <c r="BZ9" s="107">
        <f t="shared" si="78"/>
        <v>69</v>
      </c>
      <c r="CA9" s="107">
        <f t="shared" si="79"/>
        <v>70</v>
      </c>
      <c r="CB9" s="107">
        <f t="shared" si="80"/>
        <v>71</v>
      </c>
      <c r="CC9" s="107">
        <f t="shared" si="81"/>
        <v>72</v>
      </c>
      <c r="CD9" s="107">
        <f t="shared" si="82"/>
        <v>73</v>
      </c>
      <c r="CE9" s="107">
        <f t="shared" si="83"/>
        <v>74</v>
      </c>
      <c r="CF9" s="107">
        <f t="shared" si="84"/>
        <v>75</v>
      </c>
      <c r="CG9" s="107">
        <f t="shared" si="85"/>
        <v>76</v>
      </c>
      <c r="CH9" s="107">
        <f t="shared" si="86"/>
        <v>77</v>
      </c>
      <c r="CI9" s="107">
        <f t="shared" si="87"/>
        <v>78</v>
      </c>
      <c r="CJ9" s="107">
        <f t="shared" si="88"/>
        <v>79</v>
      </c>
      <c r="CK9" s="107">
        <f t="shared" si="89"/>
        <v>80</v>
      </c>
      <c r="CL9" s="107">
        <f t="shared" si="90"/>
        <v>81</v>
      </c>
      <c r="CM9" s="107">
        <f t="shared" si="91"/>
        <v>82</v>
      </c>
      <c r="CN9" s="107">
        <f t="shared" ref="CN9" si="104">CM9+1</f>
        <v>83</v>
      </c>
      <c r="CO9" s="107">
        <f t="shared" ref="CO9" si="105">CN9+1</f>
        <v>84</v>
      </c>
      <c r="CP9" s="208" t="s">
        <v>81</v>
      </c>
      <c r="CQ9" s="208"/>
      <c r="CR9" s="208"/>
    </row>
    <row r="10" spans="1:96" x14ac:dyDescent="0.25">
      <c r="A10" t="s">
        <v>42</v>
      </c>
      <c r="F10" s="17">
        <v>1</v>
      </c>
      <c r="G10" s="16" t="s">
        <v>85</v>
      </c>
      <c r="J10" s="116"/>
      <c r="CR10" s="111"/>
    </row>
    <row r="11" spans="1:96" x14ac:dyDescent="0.25">
      <c r="F11" s="17">
        <f>F10+1</f>
        <v>2</v>
      </c>
      <c r="G11" s="12" t="s">
        <v>69</v>
      </c>
      <c r="H11" s="13">
        <f>'Financ '!B88</f>
        <v>0</v>
      </c>
      <c r="I11" s="13">
        <f>'Financ '!C41</f>
        <v>5732.4197297201054</v>
      </c>
      <c r="J11" s="13">
        <f>'Financ '!D41</f>
        <v>5732.4197297201054</v>
      </c>
      <c r="K11" s="13">
        <f>'Financ '!E41</f>
        <v>5732.4197297201054</v>
      </c>
      <c r="L11" s="13">
        <f>'Financ '!F41</f>
        <v>5732.4197297201054</v>
      </c>
      <c r="M11" s="13">
        <f>'Financ '!G41</f>
        <v>5732.4197297201054</v>
      </c>
      <c r="N11" s="13">
        <f>'Financ '!H41</f>
        <v>5732.4197297201054</v>
      </c>
      <c r="O11" s="13">
        <f>'Financ '!I41</f>
        <v>5732.4197297201054</v>
      </c>
      <c r="P11" s="13">
        <f>'Financ '!J41</f>
        <v>5732.4197297201054</v>
      </c>
      <c r="Q11" s="13">
        <f>'Financ '!K41</f>
        <v>5732.4197297201054</v>
      </c>
      <c r="R11" s="13">
        <f>'Financ '!L41</f>
        <v>5732.4197297201054</v>
      </c>
      <c r="S11" s="13">
        <f>'Financ '!M41</f>
        <v>5732.4197297201054</v>
      </c>
      <c r="T11" s="13">
        <f>'Financ '!N41</f>
        <v>5732.4197297201054</v>
      </c>
      <c r="U11" s="13">
        <f>'Financ '!O41</f>
        <v>5732.4197297201054</v>
      </c>
      <c r="V11" s="13">
        <f>'Financ '!P41</f>
        <v>5732.4197297201054</v>
      </c>
      <c r="W11" s="13">
        <f>'Financ '!Q41</f>
        <v>5732.4197297201054</v>
      </c>
      <c r="X11" s="13">
        <f>'Financ '!R41</f>
        <v>5732.4197297201054</v>
      </c>
      <c r="Y11" s="13">
        <f>'Financ '!S41</f>
        <v>5732.4197297201054</v>
      </c>
      <c r="Z11" s="13">
        <f>'Financ '!T41</f>
        <v>5732.4197297201054</v>
      </c>
      <c r="AA11" s="13">
        <f>'Financ '!U41</f>
        <v>5732.4197297201054</v>
      </c>
      <c r="AB11" s="13">
        <f>'Financ '!V41</f>
        <v>5732.4197297201054</v>
      </c>
      <c r="AC11" s="13">
        <f>'Financ '!W41</f>
        <v>5732.4197297201054</v>
      </c>
      <c r="AD11" s="13">
        <f>'Financ '!X41</f>
        <v>5732.4197297201054</v>
      </c>
      <c r="AE11" s="13">
        <f>'Financ '!Y41</f>
        <v>5732.4197297201054</v>
      </c>
      <c r="AF11" s="13">
        <f>'Financ '!Z41</f>
        <v>5732.4197297201054</v>
      </c>
      <c r="AG11" s="13">
        <f>'Financ '!AA41</f>
        <v>5732.4197297201054</v>
      </c>
      <c r="AH11" s="13">
        <f>'Financ '!AB41</f>
        <v>5732.4197297201054</v>
      </c>
      <c r="AI11" s="13">
        <f>'Financ '!AC41</f>
        <v>5732.4197297201054</v>
      </c>
      <c r="AJ11" s="13">
        <f>'Financ '!AD41</f>
        <v>5732.4197297201054</v>
      </c>
      <c r="AK11" s="13">
        <f>'Financ '!AE41</f>
        <v>5732.4197297201054</v>
      </c>
      <c r="AL11" s="13">
        <f>'Financ '!AF41</f>
        <v>5732.4197297201054</v>
      </c>
      <c r="AM11" s="13">
        <f>'Financ '!AG41</f>
        <v>5732.4197297201054</v>
      </c>
      <c r="AN11" s="13">
        <f>'Financ '!AH41</f>
        <v>5732.4197297201054</v>
      </c>
      <c r="AO11" s="13">
        <f>'Financ '!AI41</f>
        <v>5732.4197297201054</v>
      </c>
      <c r="AP11" s="13">
        <f>'Financ '!AJ41</f>
        <v>5732.4197297201054</v>
      </c>
      <c r="AQ11" s="13">
        <f>'Financ '!AK41</f>
        <v>5732.4197297201054</v>
      </c>
      <c r="AR11" s="13">
        <f>'Financ '!AL41</f>
        <v>5732.4197297201054</v>
      </c>
      <c r="AS11" s="13">
        <f>'Financ '!AM41</f>
        <v>5732.4197297201054</v>
      </c>
      <c r="AT11" s="13">
        <f>'Financ '!AN41</f>
        <v>5732.4197297201054</v>
      </c>
      <c r="AU11" s="13">
        <f>'Financ '!AO41</f>
        <v>5732.4197297201054</v>
      </c>
      <c r="AV11" s="13">
        <f>'Financ '!AP41</f>
        <v>5732.4197297201054</v>
      </c>
      <c r="AW11" s="13">
        <f>'Financ '!AQ41</f>
        <v>5732.4197297201054</v>
      </c>
      <c r="AX11" s="13">
        <f>'Financ '!AR41</f>
        <v>5732.4197297201054</v>
      </c>
      <c r="AY11" s="13">
        <f>'Financ '!AS41</f>
        <v>5732.4197297201054</v>
      </c>
      <c r="AZ11" s="13">
        <f>'Financ '!AT41</f>
        <v>5732.4197297201054</v>
      </c>
      <c r="BA11" s="13">
        <f>'Financ '!AU41</f>
        <v>5732.4197297201054</v>
      </c>
      <c r="BB11" s="13">
        <f>'Financ '!AV41</f>
        <v>5732.4197297201054</v>
      </c>
      <c r="BC11" s="13">
        <f>'Financ '!AW41</f>
        <v>5732.4197297201054</v>
      </c>
      <c r="BD11" s="13">
        <f>'Financ '!AX41</f>
        <v>5732.4197297201054</v>
      </c>
      <c r="BE11" s="13">
        <f>'Financ '!AY41</f>
        <v>5732.4197297201054</v>
      </c>
      <c r="BF11" s="13">
        <f>'Financ '!AZ41</f>
        <v>5732.4197297201054</v>
      </c>
      <c r="BG11" s="13">
        <f>'Financ '!BA41</f>
        <v>5732.4197297201054</v>
      </c>
      <c r="BH11" s="13">
        <f>'Financ '!BB41</f>
        <v>5732.4197297201054</v>
      </c>
      <c r="BI11" s="13">
        <f>'Financ '!BC41</f>
        <v>5732.4197297201054</v>
      </c>
      <c r="BJ11" s="13">
        <f>'Financ '!BD41</f>
        <v>5732.4197297201054</v>
      </c>
      <c r="BK11" s="13">
        <f>'Financ '!BE41</f>
        <v>5732.4197297201054</v>
      </c>
      <c r="BL11" s="13">
        <f>'Financ '!BF41</f>
        <v>5732.4197297201054</v>
      </c>
      <c r="BM11" s="13">
        <f>'Financ '!BG41</f>
        <v>5732.4197297201054</v>
      </c>
      <c r="BN11" s="13">
        <f>'Financ '!BH41</f>
        <v>5732.4197297201054</v>
      </c>
      <c r="BO11" s="13">
        <f>'Financ '!BI41</f>
        <v>5732.4197297201054</v>
      </c>
      <c r="BP11" s="13">
        <f>'Financ '!BJ41</f>
        <v>5732.4197297201054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f>'Financ '!BL88</f>
        <v>0</v>
      </c>
      <c r="BX11" s="13">
        <f>'Financ '!BM88</f>
        <v>0</v>
      </c>
      <c r="BY11" s="13">
        <f>'Financ '!BN88</f>
        <v>0</v>
      </c>
      <c r="BZ11" s="13">
        <f>'Financ '!BO88</f>
        <v>0</v>
      </c>
      <c r="CA11" s="13">
        <f>'Financ '!BP88</f>
        <v>0</v>
      </c>
      <c r="CB11" s="13">
        <f>'Financ '!BQ88</f>
        <v>0</v>
      </c>
      <c r="CC11" s="13">
        <f>'Financ '!BR88</f>
        <v>0</v>
      </c>
      <c r="CD11" s="13">
        <f>'Financ '!BS88</f>
        <v>0</v>
      </c>
      <c r="CE11" s="13">
        <f>'Financ '!BT88</f>
        <v>0</v>
      </c>
      <c r="CF11" s="13">
        <f>'Financ '!BU88</f>
        <v>0</v>
      </c>
      <c r="CG11" s="13">
        <f>'Financ '!BV88</f>
        <v>0</v>
      </c>
      <c r="CH11" s="13">
        <f>'Financ '!BW88</f>
        <v>0</v>
      </c>
      <c r="CI11" s="13">
        <f>'Financ '!BX88</f>
        <v>0</v>
      </c>
      <c r="CJ11" s="13">
        <f>'Financ '!BY88</f>
        <v>0</v>
      </c>
      <c r="CK11" s="13">
        <f>'Financ '!BZ88</f>
        <v>0</v>
      </c>
      <c r="CL11" s="13">
        <f>'Financ '!CA88</f>
        <v>0</v>
      </c>
      <c r="CM11" s="13">
        <f>'Financ '!CB88</f>
        <v>0</v>
      </c>
      <c r="CN11" s="13">
        <f>'Financ '!CB88</f>
        <v>0</v>
      </c>
      <c r="CO11" s="13">
        <f>'Financ '!CC88</f>
        <v>0</v>
      </c>
      <c r="CP11" s="13">
        <f>'Financ '!BL88</f>
        <v>0</v>
      </c>
      <c r="CQ11" s="13">
        <f>'Financ '!BM88</f>
        <v>0</v>
      </c>
      <c r="CR11" s="13">
        <f>'Financ '!BN88</f>
        <v>0</v>
      </c>
    </row>
    <row r="12" spans="1:96" x14ac:dyDescent="0.25">
      <c r="F12" s="17">
        <f t="shared" ref="F12:F76" si="106">F11+1</f>
        <v>3</v>
      </c>
      <c r="G12" s="5"/>
      <c r="H12" s="29"/>
      <c r="I12" s="28"/>
      <c r="J12" s="1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112"/>
    </row>
    <row r="13" spans="1:96" x14ac:dyDescent="0.25">
      <c r="F13" s="17">
        <f t="shared" si="106"/>
        <v>4</v>
      </c>
      <c r="G13" s="16" t="s">
        <v>86</v>
      </c>
      <c r="H13" s="24">
        <f>SUM(H14:H18)</f>
        <v>0</v>
      </c>
      <c r="I13" s="24">
        <f>SUM(I14:I18)</f>
        <v>4739.3500000000004</v>
      </c>
      <c r="J13" s="205">
        <f t="shared" ref="J13:AS13" si="107">SUM(J14:J18)</f>
        <v>0</v>
      </c>
      <c r="K13" s="24">
        <f>SUM(K14:K18)</f>
        <v>0</v>
      </c>
      <c r="L13" s="24">
        <f t="shared" si="107"/>
        <v>0</v>
      </c>
      <c r="M13" s="24">
        <f t="shared" si="107"/>
        <v>0</v>
      </c>
      <c r="N13" s="24">
        <f t="shared" si="107"/>
        <v>0</v>
      </c>
      <c r="O13" s="24">
        <f t="shared" si="107"/>
        <v>0</v>
      </c>
      <c r="P13" s="24">
        <f t="shared" si="107"/>
        <v>0</v>
      </c>
      <c r="Q13" s="24">
        <f t="shared" si="107"/>
        <v>0</v>
      </c>
      <c r="R13" s="24">
        <f t="shared" si="107"/>
        <v>0</v>
      </c>
      <c r="S13" s="24">
        <f t="shared" si="107"/>
        <v>0</v>
      </c>
      <c r="T13" s="24">
        <f t="shared" si="107"/>
        <v>0</v>
      </c>
      <c r="U13" s="24">
        <f>SUM(U14:U18)</f>
        <v>4739.3500000000004</v>
      </c>
      <c r="V13" s="24">
        <f t="shared" si="107"/>
        <v>0</v>
      </c>
      <c r="W13" s="24">
        <f>SUM(W14:W18)</f>
        <v>0</v>
      </c>
      <c r="X13" s="24">
        <f t="shared" si="107"/>
        <v>0</v>
      </c>
      <c r="Y13" s="24">
        <f t="shared" si="107"/>
        <v>0</v>
      </c>
      <c r="Z13" s="24">
        <f t="shared" si="107"/>
        <v>0</v>
      </c>
      <c r="AA13" s="24">
        <f t="shared" si="107"/>
        <v>0</v>
      </c>
      <c r="AB13" s="24">
        <f t="shared" si="107"/>
        <v>0</v>
      </c>
      <c r="AC13" s="24">
        <f t="shared" si="107"/>
        <v>0</v>
      </c>
      <c r="AD13" s="24">
        <f t="shared" si="107"/>
        <v>0</v>
      </c>
      <c r="AE13" s="24">
        <f t="shared" si="107"/>
        <v>0</v>
      </c>
      <c r="AF13" s="24">
        <f t="shared" si="107"/>
        <v>0</v>
      </c>
      <c r="AG13" s="24">
        <f>SUM(AG14:AG18)</f>
        <v>4178.4475000000002</v>
      </c>
      <c r="AH13" s="24">
        <f t="shared" si="107"/>
        <v>0</v>
      </c>
      <c r="AI13" s="24">
        <f t="shared" ref="AI13:AN13" si="108">SUM(AI14:AI18)</f>
        <v>0</v>
      </c>
      <c r="AJ13" s="24">
        <f t="shared" si="108"/>
        <v>0</v>
      </c>
      <c r="AK13" s="24">
        <f t="shared" si="108"/>
        <v>0</v>
      </c>
      <c r="AL13" s="24">
        <f t="shared" si="108"/>
        <v>0</v>
      </c>
      <c r="AM13" s="24">
        <f t="shared" si="108"/>
        <v>0</v>
      </c>
      <c r="AN13" s="24">
        <f t="shared" si="108"/>
        <v>0</v>
      </c>
      <c r="AO13" s="24">
        <f t="shared" si="107"/>
        <v>0</v>
      </c>
      <c r="AP13" s="24">
        <f t="shared" si="107"/>
        <v>0</v>
      </c>
      <c r="AQ13" s="24">
        <f t="shared" si="107"/>
        <v>0</v>
      </c>
      <c r="AR13" s="24">
        <f t="shared" si="107"/>
        <v>0</v>
      </c>
      <c r="AS13" s="24">
        <f t="shared" si="107"/>
        <v>3701.6803749999995</v>
      </c>
      <c r="AT13" s="24">
        <f t="shared" ref="AT13:BE13" si="109">SUM(AT14:AT18)</f>
        <v>0</v>
      </c>
      <c r="AU13" s="24">
        <f t="shared" si="109"/>
        <v>0</v>
      </c>
      <c r="AV13" s="24">
        <f t="shared" si="109"/>
        <v>0</v>
      </c>
      <c r="AW13" s="24">
        <f t="shared" si="109"/>
        <v>0</v>
      </c>
      <c r="AX13" s="24">
        <f t="shared" si="109"/>
        <v>0</v>
      </c>
      <c r="AY13" s="24">
        <f t="shared" si="109"/>
        <v>0</v>
      </c>
      <c r="AZ13" s="24">
        <f t="shared" si="109"/>
        <v>0</v>
      </c>
      <c r="BA13" s="24">
        <f t="shared" si="109"/>
        <v>0</v>
      </c>
      <c r="BB13" s="24">
        <f t="shared" si="109"/>
        <v>0</v>
      </c>
      <c r="BC13" s="24">
        <f t="shared" si="109"/>
        <v>0</v>
      </c>
      <c r="BD13" s="24">
        <f t="shared" si="109"/>
        <v>0</v>
      </c>
      <c r="BE13" s="24">
        <f t="shared" si="109"/>
        <v>3296.4283187499996</v>
      </c>
      <c r="BF13" s="24">
        <f t="shared" ref="BF13:BV13" si="110">SUM(BF14:BF18)</f>
        <v>0</v>
      </c>
      <c r="BG13" s="24">
        <f t="shared" si="110"/>
        <v>0</v>
      </c>
      <c r="BH13" s="24">
        <f t="shared" si="110"/>
        <v>0</v>
      </c>
      <c r="BI13" s="24">
        <f t="shared" si="110"/>
        <v>0</v>
      </c>
      <c r="BJ13" s="24">
        <f t="shared" si="110"/>
        <v>0</v>
      </c>
      <c r="BK13" s="24">
        <f t="shared" si="110"/>
        <v>0</v>
      </c>
      <c r="BL13" s="24">
        <f t="shared" si="110"/>
        <v>0</v>
      </c>
      <c r="BM13" s="24">
        <f t="shared" si="110"/>
        <v>0</v>
      </c>
      <c r="BN13" s="24">
        <f t="shared" si="110"/>
        <v>0</v>
      </c>
      <c r="BO13" s="24">
        <f t="shared" si="110"/>
        <v>0</v>
      </c>
      <c r="BP13" s="24">
        <f t="shared" ref="BP13" si="111">SUM(BP14:BP18)</f>
        <v>0</v>
      </c>
      <c r="BQ13" s="24">
        <f>SUM(BQ14:BQ18)</f>
        <v>2951.9640709374999</v>
      </c>
      <c r="BR13" s="24">
        <f t="shared" si="110"/>
        <v>0</v>
      </c>
      <c r="BS13" s="24">
        <f t="shared" ref="BS13:BT13" si="112">SUM(BS14:BS18)</f>
        <v>0</v>
      </c>
      <c r="BT13" s="24">
        <f t="shared" si="112"/>
        <v>0</v>
      </c>
      <c r="BU13" s="24">
        <f t="shared" si="110"/>
        <v>0</v>
      </c>
      <c r="BV13" s="24">
        <f t="shared" si="110"/>
        <v>0</v>
      </c>
      <c r="BW13" s="24">
        <f t="shared" ref="BW13:CH13" si="113">SUM(BW14:BW18)</f>
        <v>0</v>
      </c>
      <c r="BX13" s="24">
        <f t="shared" si="113"/>
        <v>0</v>
      </c>
      <c r="BY13" s="24">
        <f t="shared" si="113"/>
        <v>0</v>
      </c>
      <c r="BZ13" s="24">
        <f t="shared" si="113"/>
        <v>0</v>
      </c>
      <c r="CA13" s="24">
        <f t="shared" si="113"/>
        <v>0</v>
      </c>
      <c r="CB13" s="24">
        <f t="shared" si="113"/>
        <v>0</v>
      </c>
      <c r="CC13" s="24">
        <f t="shared" si="113"/>
        <v>2659.1694602968746</v>
      </c>
      <c r="CD13" s="24">
        <f t="shared" si="113"/>
        <v>0</v>
      </c>
      <c r="CE13" s="24">
        <f t="shared" si="113"/>
        <v>0</v>
      </c>
      <c r="CF13" s="24">
        <f t="shared" si="113"/>
        <v>0</v>
      </c>
      <c r="CG13" s="24">
        <f t="shared" si="113"/>
        <v>0</v>
      </c>
      <c r="CH13" s="24">
        <f t="shared" si="113"/>
        <v>0</v>
      </c>
      <c r="CI13" s="24">
        <f t="shared" ref="CI13:CO13" si="114">SUM(CI14:CI18)</f>
        <v>0</v>
      </c>
      <c r="CJ13" s="24">
        <f t="shared" si="114"/>
        <v>0</v>
      </c>
      <c r="CK13" s="24">
        <f t="shared" si="114"/>
        <v>0</v>
      </c>
      <c r="CL13" s="24">
        <f t="shared" si="114"/>
        <v>0</v>
      </c>
      <c r="CM13" s="24">
        <f t="shared" si="114"/>
        <v>0</v>
      </c>
      <c r="CN13" s="24">
        <f t="shared" ref="CN13" si="115">SUM(CN14:CN18)</f>
        <v>0</v>
      </c>
      <c r="CO13" s="24">
        <f t="shared" si="114"/>
        <v>2410.2940412523435</v>
      </c>
      <c r="CP13" s="24">
        <f t="shared" ref="CP13:CR13" si="116">SUM(CP14:CP18)</f>
        <v>0</v>
      </c>
      <c r="CQ13" s="24">
        <f t="shared" si="116"/>
        <v>0</v>
      </c>
      <c r="CR13" s="24">
        <f t="shared" si="116"/>
        <v>0</v>
      </c>
    </row>
    <row r="14" spans="1:96" x14ac:dyDescent="0.25">
      <c r="F14" s="17">
        <f t="shared" si="106"/>
        <v>5</v>
      </c>
      <c r="G14" t="s">
        <v>87</v>
      </c>
      <c r="H14" s="24"/>
      <c r="I14" s="197">
        <f>Licenciamento!E8</f>
        <v>4739.3500000000004</v>
      </c>
      <c r="J14" s="119"/>
      <c r="L14" s="11"/>
      <c r="M14" s="11"/>
      <c r="N14" s="11"/>
      <c r="O14" s="11"/>
      <c r="P14" s="11"/>
      <c r="Q14" s="11"/>
      <c r="S14" s="11"/>
      <c r="T14" s="11"/>
      <c r="U14" s="197">
        <f>Licenciamento!H8</f>
        <v>4739.3500000000004</v>
      </c>
      <c r="V14" s="11"/>
      <c r="X14" s="11"/>
      <c r="Y14" s="11"/>
      <c r="Z14" s="11"/>
      <c r="AA14" s="11"/>
      <c r="AB14" s="11"/>
      <c r="AC14" s="11"/>
      <c r="AE14" s="11"/>
      <c r="AF14" s="11"/>
      <c r="AG14" s="11">
        <f>Licenciamento!K8</f>
        <v>4178.4475000000002</v>
      </c>
      <c r="AH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>
        <f>Licenciamento!N8</f>
        <v>3701.6803749999995</v>
      </c>
      <c r="AT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>
        <f>Licenciamento!Q8</f>
        <v>3296.4283187499996</v>
      </c>
      <c r="BF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>
        <f>Licenciamento!T8</f>
        <v>2951.9640709374999</v>
      </c>
      <c r="BR14" s="11"/>
      <c r="BS14" s="11"/>
      <c r="BT14" s="11"/>
      <c r="BU14" s="11"/>
      <c r="BW14" s="11"/>
      <c r="BY14" s="11"/>
      <c r="BZ14" s="11"/>
      <c r="CA14" s="11"/>
      <c r="CB14" s="11"/>
      <c r="CC14" s="11">
        <f>Licenciamento!W8</f>
        <v>2659.1694602968746</v>
      </c>
      <c r="CD14" s="11"/>
      <c r="CE14" s="11"/>
      <c r="CF14" s="11"/>
      <c r="CG14" s="11"/>
      <c r="CH14" s="11">
        <f>Licenciamento!AI8</f>
        <v>0</v>
      </c>
      <c r="CI14" s="11"/>
      <c r="CJ14" s="11"/>
      <c r="CK14" s="11"/>
      <c r="CL14" s="11"/>
      <c r="CM14" s="11"/>
      <c r="CN14" s="11">
        <f>Licenciamento!AN8</f>
        <v>0</v>
      </c>
      <c r="CO14" s="11">
        <f>Licenciamento!Z8</f>
        <v>2410.2940412523435</v>
      </c>
      <c r="CP14" s="11"/>
      <c r="CQ14" s="11"/>
      <c r="CR14" s="45"/>
    </row>
    <row r="15" spans="1:96" s="95" customFormat="1" x14ac:dyDescent="0.25">
      <c r="F15" s="17">
        <f t="shared" si="106"/>
        <v>6</v>
      </c>
      <c r="G15" s="96" t="s">
        <v>88</v>
      </c>
      <c r="H15" s="97"/>
      <c r="I15" s="98"/>
      <c r="J15" s="120">
        <f>Dados!$C$17</f>
        <v>0</v>
      </c>
      <c r="K15" s="120">
        <f>Dados!$C$17</f>
        <v>0</v>
      </c>
      <c r="L15" s="120">
        <f>Dados!$C$17</f>
        <v>0</v>
      </c>
      <c r="M15" s="120">
        <f>Dados!$C$17</f>
        <v>0</v>
      </c>
      <c r="N15" s="120">
        <f>Dados!$C$17</f>
        <v>0</v>
      </c>
      <c r="O15" s="120">
        <f>Dados!$C$17</f>
        <v>0</v>
      </c>
      <c r="P15" s="120">
        <f>Dados!$C$17</f>
        <v>0</v>
      </c>
      <c r="Q15" s="120">
        <f>Dados!$C$17</f>
        <v>0</v>
      </c>
      <c r="R15" s="120">
        <f>Dados!$C$17</f>
        <v>0</v>
      </c>
      <c r="S15" s="120">
        <f>Dados!$C$17</f>
        <v>0</v>
      </c>
      <c r="T15" s="120">
        <f>Dados!$C$17</f>
        <v>0</v>
      </c>
      <c r="U15" s="120">
        <f>Dados!$C$17</f>
        <v>0</v>
      </c>
      <c r="V15" s="120">
        <f>Dados!$C$17</f>
        <v>0</v>
      </c>
      <c r="W15" s="120">
        <f>Dados!$C$17</f>
        <v>0</v>
      </c>
      <c r="X15" s="120">
        <f>Dados!$C$17</f>
        <v>0</v>
      </c>
      <c r="Y15" s="120">
        <f>Dados!$C$17</f>
        <v>0</v>
      </c>
      <c r="Z15" s="120">
        <f>Dados!$C$17</f>
        <v>0</v>
      </c>
      <c r="AA15" s="120">
        <f>Dados!$C$17</f>
        <v>0</v>
      </c>
      <c r="AB15" s="120">
        <f>Dados!$C$17</f>
        <v>0</v>
      </c>
      <c r="AC15" s="120">
        <f>Dados!$C$17</f>
        <v>0</v>
      </c>
      <c r="AD15" s="120">
        <f>Dados!$C$17</f>
        <v>0</v>
      </c>
      <c r="AE15" s="120">
        <f>Dados!$C$17</f>
        <v>0</v>
      </c>
      <c r="AF15" s="120">
        <f>Dados!$C$17</f>
        <v>0</v>
      </c>
      <c r="AG15" s="120">
        <f>Dados!$C$17</f>
        <v>0</v>
      </c>
      <c r="AH15" s="120">
        <f>Dados!$C$17</f>
        <v>0</v>
      </c>
      <c r="AI15" s="120">
        <f>Dados!$C$17</f>
        <v>0</v>
      </c>
      <c r="AJ15" s="120">
        <f>Dados!$C$17</f>
        <v>0</v>
      </c>
      <c r="AK15" s="120">
        <f>Dados!$C$17</f>
        <v>0</v>
      </c>
      <c r="AL15" s="120">
        <f>Dados!$C$17</f>
        <v>0</v>
      </c>
      <c r="AM15" s="120">
        <f>Dados!$C$17</f>
        <v>0</v>
      </c>
      <c r="AN15" s="120">
        <f>Dados!$C$17</f>
        <v>0</v>
      </c>
      <c r="AO15" s="120">
        <f>Dados!$C$17</f>
        <v>0</v>
      </c>
      <c r="AP15" s="120">
        <f>Dados!$C$17</f>
        <v>0</v>
      </c>
      <c r="AQ15" s="120">
        <f>Dados!$C$17</f>
        <v>0</v>
      </c>
      <c r="AR15" s="120">
        <f>Dados!$C$17</f>
        <v>0</v>
      </c>
      <c r="AS15" s="120">
        <f>Dados!$C$17</f>
        <v>0</v>
      </c>
      <c r="AT15" s="120">
        <f>Dados!$C$17</f>
        <v>0</v>
      </c>
      <c r="AU15" s="120">
        <f>Dados!$C$17</f>
        <v>0</v>
      </c>
      <c r="AV15" s="120">
        <f>Dados!$C$17</f>
        <v>0</v>
      </c>
      <c r="AW15" s="120">
        <f>Dados!$C$17</f>
        <v>0</v>
      </c>
      <c r="AX15" s="120">
        <f>Dados!$C$17</f>
        <v>0</v>
      </c>
      <c r="AY15" s="120">
        <f>Dados!$C$17</f>
        <v>0</v>
      </c>
      <c r="AZ15" s="120">
        <f>Dados!$C$17</f>
        <v>0</v>
      </c>
      <c r="BA15" s="120">
        <f>Dados!$C$17</f>
        <v>0</v>
      </c>
      <c r="BB15" s="120">
        <f>Dados!$C$17</f>
        <v>0</v>
      </c>
      <c r="BC15" s="120">
        <f>Dados!$C$17</f>
        <v>0</v>
      </c>
      <c r="BD15" s="120">
        <f>Dados!$C$17</f>
        <v>0</v>
      </c>
      <c r="BE15" s="120">
        <f>Dados!$C$17</f>
        <v>0</v>
      </c>
      <c r="BF15" s="120">
        <f>Dados!$C$17</f>
        <v>0</v>
      </c>
      <c r="BG15" s="120">
        <f>Dados!$C$17</f>
        <v>0</v>
      </c>
      <c r="BH15" s="120">
        <f>Dados!$C$17</f>
        <v>0</v>
      </c>
      <c r="BI15" s="120">
        <f>Dados!$C$17</f>
        <v>0</v>
      </c>
      <c r="BJ15" s="120">
        <f>Dados!$C$17</f>
        <v>0</v>
      </c>
      <c r="BK15" s="120">
        <f>Dados!$C$17</f>
        <v>0</v>
      </c>
      <c r="BL15" s="120">
        <f>Dados!$C$17</f>
        <v>0</v>
      </c>
      <c r="BM15" s="120">
        <f>Dados!$C$17</f>
        <v>0</v>
      </c>
      <c r="BN15" s="120">
        <f>Dados!$C$17</f>
        <v>0</v>
      </c>
      <c r="BO15" s="120">
        <f>Dados!$C$17</f>
        <v>0</v>
      </c>
      <c r="BP15" s="120">
        <f>Dados!$C$17</f>
        <v>0</v>
      </c>
      <c r="BQ15" s="120">
        <f>Dados!$C$17</f>
        <v>0</v>
      </c>
      <c r="BR15" s="120">
        <f>Dados!$C$17</f>
        <v>0</v>
      </c>
      <c r="BS15" s="120">
        <f>Dados!$C$17</f>
        <v>0</v>
      </c>
      <c r="BT15" s="120">
        <f>Dados!$C$17</f>
        <v>0</v>
      </c>
      <c r="BU15" s="120">
        <f>Dados!$C$17</f>
        <v>0</v>
      </c>
      <c r="BV15" s="120">
        <f>Dados!$C$17</f>
        <v>0</v>
      </c>
      <c r="BW15" s="120">
        <f>Dados!$C$17</f>
        <v>0</v>
      </c>
      <c r="BX15" s="120">
        <f>Dados!$C$17</f>
        <v>0</v>
      </c>
      <c r="BY15" s="120">
        <f>Dados!$C$17</f>
        <v>0</v>
      </c>
      <c r="BZ15" s="120">
        <f>Dados!$C$17</f>
        <v>0</v>
      </c>
      <c r="CA15" s="120">
        <f>Dados!$C$17</f>
        <v>0</v>
      </c>
      <c r="CB15" s="120">
        <f>Dados!$C$17</f>
        <v>0</v>
      </c>
      <c r="CC15" s="120">
        <f>Dados!$C$17</f>
        <v>0</v>
      </c>
      <c r="CD15" s="120">
        <f>Dados!$C$17</f>
        <v>0</v>
      </c>
      <c r="CE15" s="120">
        <f>Dados!$C$17</f>
        <v>0</v>
      </c>
      <c r="CF15" s="120">
        <f>Dados!$C$17</f>
        <v>0</v>
      </c>
      <c r="CG15" s="120">
        <f>Dados!$C$17</f>
        <v>0</v>
      </c>
      <c r="CH15" s="120">
        <f>Dados!$C$17</f>
        <v>0</v>
      </c>
      <c r="CI15" s="120">
        <f>Dados!$C$17</f>
        <v>0</v>
      </c>
      <c r="CJ15" s="120">
        <f>Dados!$C$17</f>
        <v>0</v>
      </c>
      <c r="CK15" s="120">
        <f>Dados!$C$17</f>
        <v>0</v>
      </c>
      <c r="CL15" s="120">
        <f>Dados!$C$17</f>
        <v>0</v>
      </c>
      <c r="CM15" s="120">
        <f>Dados!$C$17</f>
        <v>0</v>
      </c>
      <c r="CN15" s="120">
        <f>Dados!$C$17</f>
        <v>0</v>
      </c>
      <c r="CO15" s="120">
        <f>Dados!$C$17</f>
        <v>0</v>
      </c>
      <c r="CP15" s="120">
        <f>Dados!$C$17</f>
        <v>0</v>
      </c>
      <c r="CQ15" s="120">
        <f>Dados!$C$17</f>
        <v>0</v>
      </c>
      <c r="CR15" s="120">
        <f>Dados!$C$17</f>
        <v>0</v>
      </c>
    </row>
    <row r="16" spans="1:96" x14ac:dyDescent="0.25">
      <c r="F16" s="17">
        <f t="shared" si="106"/>
        <v>7</v>
      </c>
      <c r="G16" t="s">
        <v>89</v>
      </c>
      <c r="H16" s="87"/>
      <c r="I16" s="87"/>
      <c r="J16" s="121"/>
      <c r="K16" s="87">
        <f>'Seguros-Rastreamento'!$E$4</f>
        <v>0</v>
      </c>
      <c r="L16" s="87">
        <f>'Seguros-Rastreamento'!$E$4</f>
        <v>0</v>
      </c>
      <c r="M16" s="87">
        <f>'Seguros-Rastreamento'!$E$4</f>
        <v>0</v>
      </c>
      <c r="N16" s="87">
        <f>'Seguros-Rastreamento'!$E$4</f>
        <v>0</v>
      </c>
      <c r="O16" s="87">
        <f>'Seguros-Rastreamento'!$E$4</f>
        <v>0</v>
      </c>
      <c r="P16" s="87">
        <f>'Seguros-Rastreamento'!$E$4</f>
        <v>0</v>
      </c>
      <c r="Q16" s="87">
        <f>'Seguros-Rastreamento'!$E$4</f>
        <v>0</v>
      </c>
      <c r="R16" s="87">
        <f>'Seguros-Rastreamento'!$E$4</f>
        <v>0</v>
      </c>
      <c r="S16" s="87">
        <f>'Seguros-Rastreamento'!$E$4</f>
        <v>0</v>
      </c>
      <c r="T16" s="87">
        <f>'Seguros-Rastreamento'!$E$4</f>
        <v>0</v>
      </c>
      <c r="U16" s="87">
        <f>'Seguros-Rastreamento'!$E$4</f>
        <v>0</v>
      </c>
      <c r="V16" s="87">
        <f>'Seguros-Rastreamento'!$E$4</f>
        <v>0</v>
      </c>
      <c r="W16" s="87">
        <f>'Seguros-Rastreamento'!$E$5</f>
        <v>0</v>
      </c>
      <c r="X16" s="87">
        <f>'Seguros-Rastreamento'!$E$5</f>
        <v>0</v>
      </c>
      <c r="Y16" s="87">
        <f>'Seguros-Rastreamento'!$E$5</f>
        <v>0</v>
      </c>
      <c r="Z16" s="87">
        <f>'Seguros-Rastreamento'!$E$5</f>
        <v>0</v>
      </c>
      <c r="AA16" s="87">
        <f>'Seguros-Rastreamento'!$E$5</f>
        <v>0</v>
      </c>
      <c r="AB16" s="87">
        <f>'Seguros-Rastreamento'!$E$5</f>
        <v>0</v>
      </c>
      <c r="AC16" s="87">
        <f>'Seguros-Rastreamento'!$E$5</f>
        <v>0</v>
      </c>
      <c r="AD16" s="87">
        <f>'Seguros-Rastreamento'!$E$5</f>
        <v>0</v>
      </c>
      <c r="AE16" s="87">
        <f>'Seguros-Rastreamento'!$E$5</f>
        <v>0</v>
      </c>
      <c r="AF16" s="87">
        <f>'Seguros-Rastreamento'!$E$5</f>
        <v>0</v>
      </c>
      <c r="AG16" s="87">
        <f>'Seguros-Rastreamento'!$E$5</f>
        <v>0</v>
      </c>
      <c r="AH16" s="87">
        <f>'Seguros-Rastreamento'!$E$5</f>
        <v>0</v>
      </c>
      <c r="AI16" s="87">
        <f>'Seguros-Rastreamento'!$E$5</f>
        <v>0</v>
      </c>
      <c r="AJ16" s="87">
        <f>'Seguros-Rastreamento'!$E$5</f>
        <v>0</v>
      </c>
      <c r="AK16" s="87">
        <f>'Seguros-Rastreamento'!$E$5</f>
        <v>0</v>
      </c>
      <c r="AL16" s="87">
        <f>'Seguros-Rastreamento'!$E$5</f>
        <v>0</v>
      </c>
      <c r="AM16" s="87">
        <f>'Seguros-Rastreamento'!$E$5</f>
        <v>0</v>
      </c>
      <c r="AN16" s="87">
        <f>'Seguros-Rastreamento'!$E$5</f>
        <v>0</v>
      </c>
      <c r="AO16" s="87">
        <f>'Seguros-Rastreamento'!$E$5</f>
        <v>0</v>
      </c>
      <c r="AP16" s="87">
        <f>'Seguros-Rastreamento'!$E$5</f>
        <v>0</v>
      </c>
      <c r="AQ16" s="87">
        <f>'Seguros-Rastreamento'!$E$5</f>
        <v>0</v>
      </c>
      <c r="AR16" s="87">
        <f>'Seguros-Rastreamento'!$E$5</f>
        <v>0</v>
      </c>
      <c r="AS16" s="87">
        <f>'Seguros-Rastreamento'!$E$5</f>
        <v>0</v>
      </c>
      <c r="AT16" s="87">
        <f>'Seguros-Rastreamento'!$E$5</f>
        <v>0</v>
      </c>
      <c r="AU16" s="87">
        <f>'Seguros-Rastreamento'!$E$5</f>
        <v>0</v>
      </c>
      <c r="AV16" s="87">
        <f>'Seguros-Rastreamento'!$E$5</f>
        <v>0</v>
      </c>
      <c r="AW16" s="87">
        <f>'Seguros-Rastreamento'!$E$5</f>
        <v>0</v>
      </c>
      <c r="AX16" s="87">
        <f>'Seguros-Rastreamento'!$E$5</f>
        <v>0</v>
      </c>
      <c r="AY16" s="87">
        <f>'Seguros-Rastreamento'!$E$5</f>
        <v>0</v>
      </c>
      <c r="AZ16" s="87">
        <f>'Seguros-Rastreamento'!$E$5</f>
        <v>0</v>
      </c>
      <c r="BA16" s="87">
        <f>'Seguros-Rastreamento'!$E$5</f>
        <v>0</v>
      </c>
      <c r="BB16" s="87">
        <f>'Seguros-Rastreamento'!$E$5</f>
        <v>0</v>
      </c>
      <c r="BC16" s="87">
        <f>'Seguros-Rastreamento'!$E$5</f>
        <v>0</v>
      </c>
      <c r="BD16" s="87">
        <f>'Seguros-Rastreamento'!$E$5</f>
        <v>0</v>
      </c>
      <c r="BE16" s="87">
        <f>'Seguros-Rastreamento'!$E$5</f>
        <v>0</v>
      </c>
      <c r="BF16" s="87">
        <f>'Seguros-Rastreamento'!$E$5</f>
        <v>0</v>
      </c>
      <c r="BG16" s="87">
        <f>'Seguros-Rastreamento'!$E$5</f>
        <v>0</v>
      </c>
      <c r="BH16" s="87">
        <f>'Seguros-Rastreamento'!$E$5</f>
        <v>0</v>
      </c>
      <c r="BI16" s="87">
        <f>'Seguros-Rastreamento'!$E$5</f>
        <v>0</v>
      </c>
      <c r="BJ16" s="87">
        <f>'Seguros-Rastreamento'!$E$5</f>
        <v>0</v>
      </c>
      <c r="BK16" s="87">
        <f>'Seguros-Rastreamento'!$E$5</f>
        <v>0</v>
      </c>
      <c r="BL16" s="87">
        <f>'Seguros-Rastreamento'!$E$5</f>
        <v>0</v>
      </c>
      <c r="BM16" s="87">
        <f>'Seguros-Rastreamento'!$E$5</f>
        <v>0</v>
      </c>
      <c r="BN16" s="87">
        <f>'Seguros-Rastreamento'!$E$5</f>
        <v>0</v>
      </c>
      <c r="BO16" s="87">
        <f>'Seguros-Rastreamento'!$E$5</f>
        <v>0</v>
      </c>
      <c r="BP16" s="87">
        <f>'Seguros-Rastreamento'!$E$5</f>
        <v>0</v>
      </c>
      <c r="BQ16" s="87">
        <f>'Seguros-Rastreamento'!$E$5</f>
        <v>0</v>
      </c>
      <c r="BR16" s="87">
        <f>'Seguros-Rastreamento'!$E$5</f>
        <v>0</v>
      </c>
      <c r="BS16" s="87">
        <f>'Seguros-Rastreamento'!$E$5</f>
        <v>0</v>
      </c>
      <c r="BT16" s="87">
        <f>'Seguros-Rastreamento'!$E$5</f>
        <v>0</v>
      </c>
      <c r="BU16" s="87">
        <f>'Seguros-Rastreamento'!$E$5</f>
        <v>0</v>
      </c>
      <c r="BV16" s="87">
        <f>'Seguros-Rastreamento'!$E$5</f>
        <v>0</v>
      </c>
      <c r="BW16" s="87">
        <f>'Seguros-Rastreamento'!$E$5</f>
        <v>0</v>
      </c>
      <c r="BX16" s="87">
        <f>'Seguros-Rastreamento'!$E$5</f>
        <v>0</v>
      </c>
      <c r="BY16" s="87">
        <f>'Seguros-Rastreamento'!$E$5</f>
        <v>0</v>
      </c>
      <c r="BZ16" s="87">
        <f>'Seguros-Rastreamento'!$E$5</f>
        <v>0</v>
      </c>
      <c r="CA16" s="87">
        <f>'Seguros-Rastreamento'!$E$5</f>
        <v>0</v>
      </c>
      <c r="CB16" s="87">
        <f>'Seguros-Rastreamento'!$E$5</f>
        <v>0</v>
      </c>
      <c r="CC16" s="87">
        <f>'Seguros-Rastreamento'!$E$5</f>
        <v>0</v>
      </c>
      <c r="CD16" s="87">
        <f>'Seguros-Rastreamento'!$E$5</f>
        <v>0</v>
      </c>
      <c r="CE16" s="87">
        <f>'Seguros-Rastreamento'!$E$5</f>
        <v>0</v>
      </c>
      <c r="CF16" s="87">
        <f>'Seguros-Rastreamento'!$E$5</f>
        <v>0</v>
      </c>
      <c r="CG16" s="87">
        <f>'Seguros-Rastreamento'!$E$5</f>
        <v>0</v>
      </c>
      <c r="CH16" s="87">
        <f>'Seguros-Rastreamento'!$E$5</f>
        <v>0</v>
      </c>
      <c r="CI16" s="87">
        <f>'Seguros-Rastreamento'!$E$5</f>
        <v>0</v>
      </c>
      <c r="CJ16" s="87">
        <f>'Seguros-Rastreamento'!$E$5</f>
        <v>0</v>
      </c>
      <c r="CK16" s="87">
        <f>'Seguros-Rastreamento'!$E$5</f>
        <v>0</v>
      </c>
      <c r="CL16" s="87">
        <f>'Seguros-Rastreamento'!$E$5</f>
        <v>0</v>
      </c>
      <c r="CM16" s="87">
        <f>'Seguros-Rastreamento'!$E$5</f>
        <v>0</v>
      </c>
      <c r="CN16" s="87">
        <f>'Seguros-Rastreamento'!$E$5</f>
        <v>0</v>
      </c>
      <c r="CO16" s="87">
        <f>'Seguros-Rastreamento'!$E$5</f>
        <v>0</v>
      </c>
      <c r="CP16" s="87">
        <f>'Seguros-Rastreamento'!$E$5</f>
        <v>0</v>
      </c>
      <c r="CQ16" s="87"/>
      <c r="CR16" s="113"/>
    </row>
    <row r="17" spans="1:1024 1048:2047 2049:3049 3073:4075 4099:5101 5125:6127 6151:7153 7177:8179 8203:9205 9229:10231 10255:11257 11281:12283 12307:13309 13333:14335 14359:16333" x14ac:dyDescent="0.25">
      <c r="F17" s="17">
        <f t="shared" si="106"/>
        <v>8</v>
      </c>
      <c r="G17" s="20" t="s">
        <v>90</v>
      </c>
      <c r="H17" s="27"/>
      <c r="I17" s="27"/>
      <c r="J17" s="122">
        <f>'Seguros-Rastreamento'!$G$12</f>
        <v>0</v>
      </c>
      <c r="K17" s="122">
        <f>'Seguros-Rastreamento'!$G$12</f>
        <v>0</v>
      </c>
      <c r="L17" s="122">
        <f>'Seguros-Rastreamento'!$G$12</f>
        <v>0</v>
      </c>
      <c r="M17" s="122">
        <f>'Seguros-Rastreamento'!$G$12</f>
        <v>0</v>
      </c>
      <c r="N17" s="122">
        <f>'Seguros-Rastreamento'!$G$12</f>
        <v>0</v>
      </c>
      <c r="O17" s="122">
        <f>'Seguros-Rastreamento'!$G$12</f>
        <v>0</v>
      </c>
      <c r="P17" s="25"/>
      <c r="Q17" s="25"/>
      <c r="R17" s="25"/>
      <c r="S17" s="25"/>
      <c r="T17" s="25"/>
      <c r="U17" s="25"/>
      <c r="V17" s="25"/>
      <c r="W17" s="206">
        <f>'Seguros-Rastreamento'!$G$13</f>
        <v>0</v>
      </c>
      <c r="X17" s="206">
        <f>'Seguros-Rastreamento'!$G$13</f>
        <v>0</v>
      </c>
      <c r="Y17" s="206">
        <f>'Seguros-Rastreamento'!$G$13</f>
        <v>0</v>
      </c>
      <c r="Z17" s="206">
        <f>'Seguros-Rastreamento'!$G$13</f>
        <v>0</v>
      </c>
      <c r="AA17" s="206">
        <f>'Seguros-Rastreamento'!$G$13</f>
        <v>0</v>
      </c>
      <c r="AB17" s="206">
        <f>'Seguros-Rastreamento'!$G$13</f>
        <v>0</v>
      </c>
      <c r="AC17" s="25"/>
      <c r="AD17" s="25"/>
      <c r="AE17" s="25"/>
      <c r="AF17" s="25"/>
      <c r="AG17" s="25"/>
      <c r="AH17" s="206">
        <f>'Seguros-Rastreamento'!$G$14</f>
        <v>0</v>
      </c>
      <c r="AI17" s="206">
        <f>'Seguros-Rastreamento'!$G$14</f>
        <v>0</v>
      </c>
      <c r="AJ17" s="206">
        <f>'Seguros-Rastreamento'!$G$14</f>
        <v>0</v>
      </c>
      <c r="AK17" s="206">
        <f>'Seguros-Rastreamento'!$G$14</f>
        <v>0</v>
      </c>
      <c r="AL17" s="206">
        <f>'Seguros-Rastreamento'!$G$14</f>
        <v>0</v>
      </c>
      <c r="AM17" s="25"/>
      <c r="AN17" s="25"/>
      <c r="AT17" s="206">
        <f>'Seguros-Rastreamento'!$G$14</f>
        <v>0</v>
      </c>
      <c r="AU17" s="206">
        <f>'Seguros-Rastreamento'!$G$14</f>
        <v>0</v>
      </c>
      <c r="AV17" s="206">
        <f>'Seguros-Rastreamento'!$G$14</f>
        <v>0</v>
      </c>
      <c r="AW17" s="206">
        <f>'Seguros-Rastreamento'!$G$14</f>
        <v>0</v>
      </c>
      <c r="AX17" s="206">
        <f>'Seguros-Rastreamento'!$G$14</f>
        <v>0</v>
      </c>
      <c r="AY17" s="25"/>
      <c r="AZ17" s="25"/>
      <c r="BF17" s="206">
        <f>'Seguros-Rastreamento'!$G$14</f>
        <v>0</v>
      </c>
      <c r="BG17" s="206">
        <f>'Seguros-Rastreamento'!$G$14</f>
        <v>0</v>
      </c>
      <c r="BH17" s="206">
        <f>'Seguros-Rastreamento'!$G$14</f>
        <v>0</v>
      </c>
      <c r="BI17" s="206">
        <f>'Seguros-Rastreamento'!$G$14</f>
        <v>0</v>
      </c>
      <c r="BJ17" s="206">
        <f>'Seguros-Rastreamento'!$G$14</f>
        <v>0</v>
      </c>
      <c r="BK17" s="25"/>
      <c r="BL17" s="25"/>
      <c r="BW17" s="206">
        <f>'Seguros-Rastreamento'!$G$14</f>
        <v>0</v>
      </c>
      <c r="BX17" s="206">
        <f>'Seguros-Rastreamento'!$G$14</f>
        <v>0</v>
      </c>
      <c r="BY17" s="206">
        <f>'Seguros-Rastreamento'!$G$14</f>
        <v>0</v>
      </c>
      <c r="BZ17" s="206">
        <f>'Seguros-Rastreamento'!$G$14</f>
        <v>0</v>
      </c>
      <c r="CA17" s="206">
        <f>'Seguros-Rastreamento'!$G$14</f>
        <v>0</v>
      </c>
      <c r="CB17" s="25"/>
      <c r="CC17" s="25"/>
      <c r="CI17" s="25"/>
      <c r="CP17" s="25"/>
      <c r="CQ17" s="25"/>
      <c r="CR17" s="75"/>
    </row>
    <row r="18" spans="1:1024 1048:2047 2049:3049 3073:4075 4099:5101 5125:6127 6151:7153 7177:8179 8203:9205 9229:10231 10255:11257 11281:12283 12307:13309 13333:14335 14359:16333" s="95" customFormat="1" x14ac:dyDescent="0.25">
      <c r="F18" s="17">
        <f t="shared" si="106"/>
        <v>9</v>
      </c>
      <c r="G18" s="96" t="s">
        <v>91</v>
      </c>
      <c r="H18" s="97"/>
      <c r="I18" s="97"/>
      <c r="J18" s="122"/>
      <c r="K18" s="194">
        <f>Manutenção!$D$36</f>
        <v>0</v>
      </c>
      <c r="L18" s="194">
        <f>Manutenção!$D$36</f>
        <v>0</v>
      </c>
      <c r="M18" s="194">
        <f>Manutenção!$D$36</f>
        <v>0</v>
      </c>
      <c r="N18" s="194">
        <f>Manutenção!$D$36</f>
        <v>0</v>
      </c>
      <c r="O18" s="194">
        <f>Manutenção!$D$36</f>
        <v>0</v>
      </c>
      <c r="P18" s="194">
        <f>Manutenção!$D$36</f>
        <v>0</v>
      </c>
      <c r="Q18" s="194">
        <f>Manutenção!$D$36</f>
        <v>0</v>
      </c>
      <c r="R18" s="194">
        <f>Manutenção!$D$36</f>
        <v>0</v>
      </c>
      <c r="S18" s="194">
        <f>Manutenção!$D$36</f>
        <v>0</v>
      </c>
      <c r="T18" s="194">
        <f>Manutenção!$D$36</f>
        <v>0</v>
      </c>
      <c r="U18" s="194">
        <f>Manutenção!$D$36</f>
        <v>0</v>
      </c>
      <c r="V18" s="194">
        <f>Manutenção!$D$36</f>
        <v>0</v>
      </c>
      <c r="W18" s="194">
        <f>Manutenção!$F$36</f>
        <v>0</v>
      </c>
      <c r="X18" s="194">
        <f>Manutenção!$F$36</f>
        <v>0</v>
      </c>
      <c r="Y18" s="194">
        <f>Manutenção!$F$36</f>
        <v>0</v>
      </c>
      <c r="Z18" s="194">
        <f>Manutenção!$F$36</f>
        <v>0</v>
      </c>
      <c r="AA18" s="194">
        <f>Manutenção!$F$36</f>
        <v>0</v>
      </c>
      <c r="AB18" s="194">
        <f>Manutenção!$F$36</f>
        <v>0</v>
      </c>
      <c r="AC18" s="194">
        <f>Manutenção!$F$36</f>
        <v>0</v>
      </c>
      <c r="AD18" s="194">
        <f>Manutenção!$F$36</f>
        <v>0</v>
      </c>
      <c r="AE18" s="194">
        <f>Manutenção!$F$36</f>
        <v>0</v>
      </c>
      <c r="AF18" s="194">
        <f>Manutenção!$F$36</f>
        <v>0</v>
      </c>
      <c r="AG18" s="194">
        <f>Manutenção!$F$36</f>
        <v>0</v>
      </c>
      <c r="AH18" s="194">
        <f>Manutenção!$F$36</f>
        <v>0</v>
      </c>
      <c r="AI18" s="194">
        <f>Manutenção!$H$36</f>
        <v>0</v>
      </c>
      <c r="AJ18" s="194">
        <f>Manutenção!$H$36</f>
        <v>0</v>
      </c>
      <c r="AK18" s="194">
        <f>Manutenção!$H$36</f>
        <v>0</v>
      </c>
      <c r="AL18" s="194">
        <f>Manutenção!$H$36</f>
        <v>0</v>
      </c>
      <c r="AM18" s="194">
        <f>Manutenção!$H$36</f>
        <v>0</v>
      </c>
      <c r="AN18" s="194">
        <f>Manutenção!$H$36</f>
        <v>0</v>
      </c>
      <c r="AO18" s="194">
        <f>Manutenção!$H$36</f>
        <v>0</v>
      </c>
      <c r="AP18" s="194">
        <f>Manutenção!$H$36</f>
        <v>0</v>
      </c>
      <c r="AQ18" s="194">
        <f>Manutenção!$H$36</f>
        <v>0</v>
      </c>
      <c r="AR18" s="194">
        <f>Manutenção!$H$36</f>
        <v>0</v>
      </c>
      <c r="AS18" s="194">
        <f>Manutenção!$H$36</f>
        <v>0</v>
      </c>
      <c r="AT18" s="194">
        <f>Manutenção!$F$36</f>
        <v>0</v>
      </c>
      <c r="AU18" s="194">
        <f>Manutenção!$H$36</f>
        <v>0</v>
      </c>
      <c r="AV18" s="194">
        <f>Manutenção!$H$36</f>
        <v>0</v>
      </c>
      <c r="AW18" s="194">
        <f>Manutenção!$H$36</f>
        <v>0</v>
      </c>
      <c r="AX18" s="194">
        <f>Manutenção!$H$36</f>
        <v>0</v>
      </c>
      <c r="AY18" s="194">
        <f>Manutenção!$H$36</f>
        <v>0</v>
      </c>
      <c r="AZ18" s="194">
        <f>Manutenção!$H$36</f>
        <v>0</v>
      </c>
      <c r="BA18" s="194">
        <f>Manutenção!$H$36</f>
        <v>0</v>
      </c>
      <c r="BB18" s="194">
        <f>Manutenção!$H$36</f>
        <v>0</v>
      </c>
      <c r="BC18" s="194">
        <f>Manutenção!$H$36</f>
        <v>0</v>
      </c>
      <c r="BD18" s="194">
        <f>Manutenção!$H$36</f>
        <v>0</v>
      </c>
      <c r="BE18" s="194">
        <f>Manutenção!$H$36</f>
        <v>0</v>
      </c>
      <c r="BF18" s="194">
        <f>Manutenção!$F$36</f>
        <v>0</v>
      </c>
      <c r="BG18" s="194">
        <f>Manutenção!$H$36</f>
        <v>0</v>
      </c>
      <c r="BH18" s="194">
        <f>Manutenção!$H$36</f>
        <v>0</v>
      </c>
      <c r="BI18" s="194">
        <f>Manutenção!$H$36</f>
        <v>0</v>
      </c>
      <c r="BJ18" s="194">
        <f>Manutenção!$H$36</f>
        <v>0</v>
      </c>
      <c r="BK18" s="194">
        <f>Manutenção!$H$36</f>
        <v>0</v>
      </c>
      <c r="BL18" s="194">
        <f>Manutenção!$H$36</f>
        <v>0</v>
      </c>
      <c r="BM18" s="194">
        <f>Manutenção!$H$36</f>
        <v>0</v>
      </c>
      <c r="BN18" s="194">
        <f>Manutenção!$H$36</f>
        <v>0</v>
      </c>
      <c r="BO18" s="194">
        <f>Manutenção!$H$36</f>
        <v>0</v>
      </c>
      <c r="BP18" s="194">
        <f>Manutenção!$H$36</f>
        <v>0</v>
      </c>
      <c r="BQ18" s="194">
        <f>Manutenção!$H$36</f>
        <v>0</v>
      </c>
      <c r="BR18" s="194">
        <f>Manutenção!$H$36</f>
        <v>0</v>
      </c>
      <c r="BS18" s="194">
        <f>Manutenção!$H$36</f>
        <v>0</v>
      </c>
      <c r="BT18" s="194">
        <f>Manutenção!$H$36</f>
        <v>0</v>
      </c>
      <c r="BU18" s="194">
        <f>Manutenção!$H$36</f>
        <v>0</v>
      </c>
      <c r="BV18" s="194">
        <f>Manutenção!$H$36</f>
        <v>0</v>
      </c>
      <c r="BW18" s="194">
        <f>Manutenção!$F$36</f>
        <v>0</v>
      </c>
      <c r="BX18" s="194">
        <f>Manutenção!$H$36</f>
        <v>0</v>
      </c>
      <c r="BY18" s="194">
        <f>Manutenção!$H$36</f>
        <v>0</v>
      </c>
      <c r="BZ18" s="194">
        <f>Manutenção!$H$36</f>
        <v>0</v>
      </c>
      <c r="CA18" s="194">
        <f>Manutenção!$H$36</f>
        <v>0</v>
      </c>
      <c r="CB18" s="194">
        <f>Manutenção!$H$36</f>
        <v>0</v>
      </c>
      <c r="CC18" s="194">
        <f>Manutenção!$H$36</f>
        <v>0</v>
      </c>
      <c r="CD18" s="194">
        <f>Manutenção!$H$36</f>
        <v>0</v>
      </c>
      <c r="CE18" s="194">
        <f>Manutenção!$H$36</f>
        <v>0</v>
      </c>
      <c r="CF18" s="194">
        <f>Manutenção!$H$36</f>
        <v>0</v>
      </c>
      <c r="CG18" s="194">
        <f>Manutenção!$H$36</f>
        <v>0</v>
      </c>
      <c r="CH18" s="194">
        <f>Manutenção!$H$36</f>
        <v>0</v>
      </c>
      <c r="CI18" s="194">
        <f>Manutenção!$H$36</f>
        <v>0</v>
      </c>
      <c r="CJ18" s="194">
        <f>Manutenção!$H$36</f>
        <v>0</v>
      </c>
      <c r="CK18" s="194">
        <f>Manutenção!$H$36</f>
        <v>0</v>
      </c>
      <c r="CL18" s="194">
        <f>Manutenção!$H$36</f>
        <v>0</v>
      </c>
      <c r="CM18" s="194">
        <f>Manutenção!$H$36</f>
        <v>0</v>
      </c>
      <c r="CN18" s="194">
        <f>Manutenção!$H$36</f>
        <v>0</v>
      </c>
      <c r="CO18" s="194">
        <f>Manutenção!$H$36</f>
        <v>0</v>
      </c>
      <c r="CP18" s="194">
        <f>Manutenção!$J$36</f>
        <v>0</v>
      </c>
      <c r="CQ18" s="97"/>
      <c r="CR18" s="97"/>
    </row>
    <row r="19" spans="1:1024 1048:2047 2049:3049 3073:4075 4099:5101 5125:6127 6151:7153 7177:8179 8203:9205 9229:10231 10255:11257 11281:12283 12307:13309 13333:14335 14359:16333" x14ac:dyDescent="0.25">
      <c r="F19" s="17">
        <f t="shared" si="106"/>
        <v>10</v>
      </c>
      <c r="G19" s="4"/>
      <c r="H19" s="28"/>
      <c r="I19" s="28"/>
      <c r="J19" s="15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</row>
    <row r="20" spans="1:1024 1048:2047 2049:3049 3073:4075 4099:5101 5125:6127 6151:7153 7177:8179 8203:9205 9229:10231 10255:11257 11281:12283 12307:13309 13333:14335 14359:16333" ht="29.1" customHeight="1" x14ac:dyDescent="0.25">
      <c r="F20" s="17">
        <f t="shared" si="106"/>
        <v>11</v>
      </c>
      <c r="G20" s="172" t="s">
        <v>92</v>
      </c>
      <c r="H20" s="28"/>
      <c r="I20" s="28"/>
      <c r="J20" s="15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</row>
    <row r="21" spans="1:1024 1048:2047 2049:3049 3073:4075 4099:5101 5125:6127 6151:7153 7177:8179 8203:9205 9229:10231 10255:11257 11281:12283 12307:13309 13333:14335 14359:16333" x14ac:dyDescent="0.25">
      <c r="F21" s="17">
        <f t="shared" si="106"/>
        <v>12</v>
      </c>
      <c r="G21" s="12" t="s">
        <v>93</v>
      </c>
      <c r="H21" s="13"/>
      <c r="I21" s="13"/>
      <c r="J21" s="13">
        <f>Dados!$C$41</f>
        <v>5354.1666666666661</v>
      </c>
      <c r="K21" s="13">
        <f>Dados!$C$41</f>
        <v>5354.1666666666661</v>
      </c>
      <c r="L21" s="13">
        <f>Dados!$C$41</f>
        <v>5354.1666666666661</v>
      </c>
      <c r="M21" s="13">
        <f>Dados!$C$41</f>
        <v>5354.1666666666661</v>
      </c>
      <c r="N21" s="13">
        <f>Dados!$C$41</f>
        <v>5354.1666666666661</v>
      </c>
      <c r="O21" s="13">
        <f>Dados!$C$41</f>
        <v>5354.1666666666661</v>
      </c>
      <c r="P21" s="13">
        <f>Dados!$C$41</f>
        <v>5354.1666666666661</v>
      </c>
      <c r="Q21" s="13">
        <f>Dados!$C$41</f>
        <v>5354.1666666666661</v>
      </c>
      <c r="R21" s="13">
        <f>Dados!$C$41</f>
        <v>5354.1666666666661</v>
      </c>
      <c r="S21" s="13">
        <f>Dados!$C$41</f>
        <v>5354.1666666666661</v>
      </c>
      <c r="T21" s="13">
        <f>Dados!$C$41</f>
        <v>5354.1666666666661</v>
      </c>
      <c r="U21" s="13">
        <f>Dados!$C$41</f>
        <v>5354.1666666666661</v>
      </c>
      <c r="V21" s="13">
        <f>Dados!$C$41</f>
        <v>5354.1666666666661</v>
      </c>
      <c r="W21" s="13">
        <f>Dados!$C$41</f>
        <v>5354.1666666666661</v>
      </c>
      <c r="X21" s="13">
        <f>Dados!$C$41</f>
        <v>5354.1666666666661</v>
      </c>
      <c r="Y21" s="13">
        <f>Dados!$C$41</f>
        <v>5354.1666666666661</v>
      </c>
      <c r="Z21" s="13">
        <f>Dados!$C$41</f>
        <v>5354.1666666666661</v>
      </c>
      <c r="AA21" s="13">
        <f>Dados!$C$41</f>
        <v>5354.1666666666661</v>
      </c>
      <c r="AB21" s="13">
        <f>Dados!$C$41</f>
        <v>5354.1666666666661</v>
      </c>
      <c r="AC21" s="13">
        <f>Dados!$C$41</f>
        <v>5354.1666666666661</v>
      </c>
      <c r="AD21" s="13">
        <f>Dados!$C$41</f>
        <v>5354.1666666666661</v>
      </c>
      <c r="AE21" s="13">
        <f>Dados!$C$41</f>
        <v>5354.1666666666661</v>
      </c>
      <c r="AF21" s="13">
        <f>Dados!$C$41</f>
        <v>5354.1666666666661</v>
      </c>
      <c r="AG21" s="13">
        <f>Dados!$C$41</f>
        <v>5354.1666666666661</v>
      </c>
      <c r="AH21" s="13">
        <f>Dados!$C$41</f>
        <v>5354.1666666666661</v>
      </c>
      <c r="AI21" s="13">
        <f>Dados!$C$41</f>
        <v>5354.1666666666661</v>
      </c>
      <c r="AJ21" s="13">
        <f>Dados!$C$41</f>
        <v>5354.1666666666661</v>
      </c>
      <c r="AK21" s="13">
        <f>Dados!$C$41</f>
        <v>5354.1666666666661</v>
      </c>
      <c r="AL21" s="13">
        <f>Dados!$C$41</f>
        <v>5354.1666666666661</v>
      </c>
      <c r="AM21" s="13">
        <f>Dados!$C$41</f>
        <v>5354.1666666666661</v>
      </c>
      <c r="AN21" s="13">
        <f>Dados!$C$41</f>
        <v>5354.1666666666661</v>
      </c>
      <c r="AO21" s="13">
        <f>Dados!$C$41</f>
        <v>5354.1666666666661</v>
      </c>
      <c r="AP21" s="13">
        <f>Dados!$C$41</f>
        <v>5354.1666666666661</v>
      </c>
      <c r="AQ21" s="13">
        <f>Dados!$C$41</f>
        <v>5354.1666666666661</v>
      </c>
      <c r="AR21" s="13">
        <f>Dados!$C$41</f>
        <v>5354.1666666666661</v>
      </c>
      <c r="AS21" s="13">
        <f>Dados!$C$41</f>
        <v>5354.1666666666661</v>
      </c>
      <c r="AT21" s="13">
        <f>Dados!$C$41</f>
        <v>5354.1666666666661</v>
      </c>
      <c r="AU21" s="13">
        <f>Dados!$C$41</f>
        <v>5354.1666666666661</v>
      </c>
      <c r="AV21" s="13">
        <f>Dados!$C$41</f>
        <v>5354.1666666666661</v>
      </c>
      <c r="AW21" s="13">
        <f>Dados!$C$41</f>
        <v>5354.1666666666661</v>
      </c>
      <c r="AX21" s="13">
        <f>Dados!$C$41</f>
        <v>5354.1666666666661</v>
      </c>
      <c r="AY21" s="13">
        <f>Dados!$C$41</f>
        <v>5354.1666666666661</v>
      </c>
      <c r="AZ21" s="13">
        <f>Dados!$C$41</f>
        <v>5354.1666666666661</v>
      </c>
      <c r="BA21" s="13">
        <f>Dados!$C$41</f>
        <v>5354.1666666666661</v>
      </c>
      <c r="BB21" s="13">
        <f>Dados!$C$41</f>
        <v>5354.1666666666661</v>
      </c>
      <c r="BC21" s="13">
        <f>Dados!$C$41</f>
        <v>5354.1666666666661</v>
      </c>
      <c r="BD21" s="13">
        <f>Dados!$C$41</f>
        <v>5354.1666666666661</v>
      </c>
      <c r="BE21" s="13">
        <f>Dados!$C$41</f>
        <v>5354.1666666666661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</row>
    <row r="22" spans="1:1024 1048:2047 2049:3049 3073:4075 4099:5101 5125:6127 6151:7153 7177:8179 8203:9205 9229:10231 10255:11257 11281:12283 12307:13309 13333:14335 14359:16333" x14ac:dyDescent="0.25">
      <c r="F22" s="17">
        <f t="shared" si="106"/>
        <v>13</v>
      </c>
    </row>
    <row r="23" spans="1:1024 1048:2047 2049:3049 3073:4075 4099:5101 5125:6127 6151:7153 7177:8179 8203:9205 9229:10231 10255:11257 11281:12283 12307:13309 13333:14335 14359:16333" x14ac:dyDescent="0.25">
      <c r="F23" s="17">
        <f t="shared" si="106"/>
        <v>14</v>
      </c>
    </row>
    <row r="24" spans="1:1024 1048:2047 2049:3049 3073:4075 4099:5101 5125:6127 6151:7153 7177:8179 8203:9205 9229:10231 10255:11257 11281:12283 12307:13309 13333:14335 14359:16333" x14ac:dyDescent="0.25">
      <c r="F24" s="17">
        <f t="shared" si="106"/>
        <v>15</v>
      </c>
      <c r="G24" s="16" t="s">
        <v>94</v>
      </c>
    </row>
    <row r="25" spans="1:1024 1048:2047 2049:3049 3073:4075 4099:5101 5125:6127 6151:7153 7177:8179 8203:9205 9229:10231 10255:11257 11281:12283 12307:13309 13333:14335 14359:16333" s="4" customFormat="1" x14ac:dyDescent="0.25">
      <c r="A25" s="5"/>
      <c r="C25" s="28"/>
      <c r="D25" s="28"/>
      <c r="E25" s="28"/>
      <c r="F25" s="17">
        <f t="shared" si="106"/>
        <v>16</v>
      </c>
      <c r="G25" s="12" t="str">
        <f>Dados!C21</f>
        <v>IGP-M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76"/>
      <c r="CY25" s="5"/>
      <c r="DA25" s="28"/>
      <c r="DB25" s="28"/>
      <c r="DZ25" s="5"/>
      <c r="EB25" s="28"/>
      <c r="EC25" s="28"/>
      <c r="FA25" s="5"/>
      <c r="FC25" s="28"/>
      <c r="FD25" s="28"/>
      <c r="GB25" s="5"/>
      <c r="GD25" s="28"/>
      <c r="GE25" s="28"/>
      <c r="HC25" s="5"/>
      <c r="HE25" s="28"/>
      <c r="HF25" s="28"/>
      <c r="ID25" s="5"/>
      <c r="IF25" s="28"/>
      <c r="IG25" s="28"/>
      <c r="JE25" s="5"/>
      <c r="JG25" s="28"/>
      <c r="JH25" s="28"/>
      <c r="KF25" s="5"/>
      <c r="KH25" s="28"/>
      <c r="KI25" s="28"/>
      <c r="LG25" s="5"/>
      <c r="LI25" s="28"/>
      <c r="LJ25" s="28"/>
      <c r="MH25" s="5"/>
      <c r="MJ25" s="28"/>
      <c r="MK25" s="28"/>
      <c r="NI25" s="5"/>
      <c r="NK25" s="28"/>
      <c r="NL25" s="28"/>
      <c r="OJ25" s="5"/>
      <c r="OL25" s="28"/>
      <c r="OM25" s="28"/>
      <c r="PK25" s="5"/>
      <c r="PM25" s="28"/>
      <c r="PN25" s="28"/>
      <c r="QL25" s="5"/>
      <c r="QN25" s="28"/>
      <c r="QO25" s="28"/>
      <c r="RM25" s="5"/>
      <c r="RO25" s="28"/>
      <c r="RP25" s="28"/>
      <c r="SN25" s="5"/>
      <c r="SP25" s="28"/>
      <c r="SQ25" s="28"/>
      <c r="TO25" s="5"/>
      <c r="TQ25" s="28"/>
      <c r="TR25" s="28"/>
      <c r="UP25" s="5"/>
      <c r="UR25" s="28"/>
      <c r="US25" s="28"/>
      <c r="VQ25" s="5"/>
      <c r="VS25" s="28"/>
      <c r="VT25" s="28"/>
      <c r="WR25" s="5"/>
      <c r="WT25" s="28"/>
      <c r="WU25" s="28"/>
      <c r="XS25" s="5"/>
      <c r="XU25" s="28"/>
      <c r="XV25" s="28"/>
      <c r="YT25" s="5"/>
      <c r="YV25" s="28"/>
      <c r="YW25" s="28"/>
      <c r="ZU25" s="5"/>
      <c r="ZW25" s="28"/>
      <c r="ZX25" s="28"/>
      <c r="AAV25" s="5"/>
      <c r="AAX25" s="28"/>
      <c r="AAY25" s="28"/>
      <c r="ABW25" s="5"/>
      <c r="ABY25" s="28"/>
      <c r="ABZ25" s="28"/>
      <c r="ACX25" s="5"/>
      <c r="ACZ25" s="28"/>
      <c r="ADA25" s="28"/>
      <c r="ADY25" s="5"/>
      <c r="AEA25" s="28"/>
      <c r="AEB25" s="28"/>
      <c r="AEZ25" s="5"/>
      <c r="AFB25" s="28"/>
      <c r="AFC25" s="28"/>
      <c r="AGA25" s="5"/>
      <c r="AGC25" s="28"/>
      <c r="AGD25" s="28"/>
      <c r="AHB25" s="5"/>
      <c r="AHD25" s="28"/>
      <c r="AHE25" s="28"/>
      <c r="AIC25" s="5"/>
      <c r="AIE25" s="28"/>
      <c r="AIF25" s="28"/>
      <c r="AJD25" s="5"/>
      <c r="AJF25" s="28"/>
      <c r="AJG25" s="28"/>
      <c r="AKE25" s="5"/>
      <c r="AKG25" s="28"/>
      <c r="AKH25" s="28"/>
      <c r="ALF25" s="5"/>
      <c r="ALH25" s="28"/>
      <c r="ALI25" s="28"/>
      <c r="AMG25" s="5"/>
      <c r="AMI25" s="28"/>
      <c r="AMJ25" s="28"/>
      <c r="ANH25" s="5"/>
      <c r="ANJ25" s="28"/>
      <c r="ANK25" s="28"/>
      <c r="AOI25" s="5"/>
      <c r="AOK25" s="28"/>
      <c r="AOL25" s="28"/>
      <c r="APJ25" s="5"/>
      <c r="APL25" s="28"/>
      <c r="APM25" s="28"/>
      <c r="AQK25" s="5"/>
      <c r="AQM25" s="28"/>
      <c r="AQN25" s="28"/>
      <c r="ARL25" s="5"/>
      <c r="ARN25" s="28"/>
      <c r="ARO25" s="28"/>
      <c r="ASM25" s="5"/>
      <c r="ASO25" s="28"/>
      <c r="ASP25" s="28"/>
      <c r="ATN25" s="5"/>
      <c r="ATP25" s="28"/>
      <c r="ATQ25" s="28"/>
      <c r="AUO25" s="5"/>
      <c r="AUQ25" s="28"/>
      <c r="AUR25" s="28"/>
      <c r="AVP25" s="5"/>
      <c r="AVR25" s="28"/>
      <c r="AVS25" s="28"/>
      <c r="AWQ25" s="5"/>
      <c r="AWS25" s="28"/>
      <c r="AWT25" s="28"/>
      <c r="AXR25" s="5"/>
      <c r="AXT25" s="28"/>
      <c r="AXU25" s="28"/>
      <c r="AYS25" s="5"/>
      <c r="AYU25" s="28"/>
      <c r="AYV25" s="28"/>
      <c r="AZT25" s="5"/>
      <c r="AZV25" s="28"/>
      <c r="AZW25" s="28"/>
      <c r="BAU25" s="5"/>
      <c r="BAW25" s="28"/>
      <c r="BAX25" s="28"/>
      <c r="BBV25" s="5"/>
      <c r="BBX25" s="28"/>
      <c r="BBY25" s="28"/>
      <c r="BCW25" s="5"/>
      <c r="BCY25" s="28"/>
      <c r="BCZ25" s="28"/>
      <c r="BDX25" s="5"/>
      <c r="BDZ25" s="28"/>
      <c r="BEA25" s="28"/>
      <c r="BEY25" s="5"/>
      <c r="BFA25" s="28"/>
      <c r="BFB25" s="28"/>
      <c r="BFZ25" s="5"/>
      <c r="BGB25" s="28"/>
      <c r="BGC25" s="28"/>
      <c r="BHA25" s="5"/>
      <c r="BHC25" s="28"/>
      <c r="BHD25" s="28"/>
      <c r="BIB25" s="5"/>
      <c r="BID25" s="28"/>
      <c r="BIE25" s="28"/>
      <c r="BJC25" s="5"/>
      <c r="BJE25" s="28"/>
      <c r="BJF25" s="28"/>
      <c r="BKD25" s="5"/>
      <c r="BKF25" s="28"/>
      <c r="BKG25" s="28"/>
      <c r="BLE25" s="5"/>
      <c r="BLG25" s="28"/>
      <c r="BLH25" s="28"/>
      <c r="BMF25" s="5"/>
      <c r="BMH25" s="28"/>
      <c r="BMI25" s="28"/>
      <c r="BNG25" s="5"/>
      <c r="BNI25" s="28"/>
      <c r="BNJ25" s="28"/>
      <c r="BOH25" s="5"/>
      <c r="BOJ25" s="28"/>
      <c r="BOK25" s="28"/>
      <c r="BPI25" s="5"/>
      <c r="BPK25" s="28"/>
      <c r="BPL25" s="28"/>
      <c r="BQJ25" s="5"/>
      <c r="BQL25" s="28"/>
      <c r="BQM25" s="28"/>
      <c r="BRK25" s="5"/>
      <c r="BRM25" s="28"/>
      <c r="BRN25" s="28"/>
      <c r="BSL25" s="5"/>
      <c r="BSN25" s="28"/>
      <c r="BSO25" s="28"/>
      <c r="BTM25" s="5"/>
      <c r="BTO25" s="28"/>
      <c r="BTP25" s="28"/>
      <c r="BUN25" s="5"/>
      <c r="BUP25" s="28"/>
      <c r="BUQ25" s="28"/>
      <c r="BVO25" s="5"/>
      <c r="BVQ25" s="28"/>
      <c r="BVR25" s="28"/>
      <c r="BWP25" s="5"/>
      <c r="BWR25" s="28"/>
      <c r="BWS25" s="28"/>
      <c r="BXQ25" s="5"/>
      <c r="BXS25" s="28"/>
      <c r="BXT25" s="28"/>
      <c r="BYR25" s="5"/>
      <c r="BYT25" s="28"/>
      <c r="BYU25" s="28"/>
      <c r="BZS25" s="5"/>
      <c r="BZU25" s="28"/>
      <c r="BZV25" s="28"/>
      <c r="CAT25" s="5"/>
      <c r="CAV25" s="28"/>
      <c r="CAW25" s="28"/>
      <c r="CBU25" s="5"/>
      <c r="CBW25" s="28"/>
      <c r="CBX25" s="28"/>
      <c r="CCV25" s="5"/>
      <c r="CCX25" s="28"/>
      <c r="CCY25" s="28"/>
      <c r="CDW25" s="5"/>
      <c r="CDY25" s="28"/>
      <c r="CDZ25" s="28"/>
      <c r="CEX25" s="5"/>
      <c r="CEZ25" s="28"/>
      <c r="CFA25" s="28"/>
      <c r="CFY25" s="5"/>
      <c r="CGA25" s="28"/>
      <c r="CGB25" s="28"/>
      <c r="CGZ25" s="5"/>
      <c r="CHB25" s="28"/>
      <c r="CHC25" s="28"/>
      <c r="CIA25" s="5"/>
      <c r="CIC25" s="28"/>
      <c r="CID25" s="28"/>
      <c r="CJB25" s="5"/>
      <c r="CJD25" s="28"/>
      <c r="CJE25" s="28"/>
      <c r="CKC25" s="5"/>
      <c r="CKE25" s="28"/>
      <c r="CKF25" s="28"/>
      <c r="CLD25" s="5"/>
      <c r="CLF25" s="28"/>
      <c r="CLG25" s="28"/>
      <c r="CME25" s="5"/>
      <c r="CMG25" s="28"/>
      <c r="CMH25" s="28"/>
      <c r="CNF25" s="5"/>
      <c r="CNH25" s="28"/>
      <c r="CNI25" s="28"/>
      <c r="COG25" s="5"/>
      <c r="COI25" s="28"/>
      <c r="COJ25" s="28"/>
      <c r="CPH25" s="5"/>
      <c r="CPJ25" s="28"/>
      <c r="CPK25" s="28"/>
      <c r="CQI25" s="5"/>
      <c r="CQK25" s="28"/>
      <c r="CQL25" s="28"/>
      <c r="CRJ25" s="5"/>
      <c r="CRL25" s="28"/>
      <c r="CRM25" s="28"/>
      <c r="CSK25" s="5"/>
      <c r="CSM25" s="28"/>
      <c r="CSN25" s="28"/>
      <c r="CTL25" s="5"/>
      <c r="CTN25" s="28"/>
      <c r="CTO25" s="28"/>
      <c r="CUM25" s="5"/>
      <c r="CUO25" s="28"/>
      <c r="CUP25" s="28"/>
      <c r="CVN25" s="5"/>
      <c r="CVP25" s="28"/>
      <c r="CVQ25" s="28"/>
      <c r="CWO25" s="5"/>
      <c r="CWQ25" s="28"/>
      <c r="CWR25" s="28"/>
      <c r="CXP25" s="5"/>
      <c r="CXR25" s="28"/>
      <c r="CXS25" s="28"/>
      <c r="CYQ25" s="5"/>
      <c r="CYS25" s="28"/>
      <c r="CYT25" s="28"/>
      <c r="CZR25" s="5"/>
      <c r="CZT25" s="28"/>
      <c r="CZU25" s="28"/>
      <c r="DAS25" s="5"/>
      <c r="DAU25" s="28"/>
      <c r="DAV25" s="28"/>
      <c r="DBT25" s="5"/>
      <c r="DBV25" s="28"/>
      <c r="DBW25" s="28"/>
      <c r="DCU25" s="5"/>
      <c r="DCW25" s="28"/>
      <c r="DCX25" s="28"/>
      <c r="DDV25" s="5"/>
      <c r="DDX25" s="28"/>
      <c r="DDY25" s="28"/>
      <c r="DEW25" s="5"/>
      <c r="DEY25" s="28"/>
      <c r="DEZ25" s="28"/>
      <c r="DFX25" s="5"/>
      <c r="DFZ25" s="28"/>
      <c r="DGA25" s="28"/>
      <c r="DGY25" s="5"/>
      <c r="DHA25" s="28"/>
      <c r="DHB25" s="28"/>
      <c r="DHZ25" s="5"/>
      <c r="DIB25" s="28"/>
      <c r="DIC25" s="28"/>
      <c r="DJA25" s="5"/>
      <c r="DJC25" s="28"/>
      <c r="DJD25" s="28"/>
      <c r="DKB25" s="5"/>
      <c r="DKD25" s="28"/>
      <c r="DKE25" s="28"/>
      <c r="DLC25" s="5"/>
      <c r="DLE25" s="28"/>
      <c r="DLF25" s="28"/>
      <c r="DMD25" s="5"/>
      <c r="DMF25" s="28"/>
      <c r="DMG25" s="28"/>
      <c r="DNE25" s="5"/>
      <c r="DNG25" s="28"/>
      <c r="DNH25" s="28"/>
      <c r="DOF25" s="5"/>
      <c r="DOH25" s="28"/>
      <c r="DOI25" s="28"/>
      <c r="DPG25" s="5"/>
      <c r="DPI25" s="28"/>
      <c r="DPJ25" s="28"/>
      <c r="DQH25" s="5"/>
      <c r="DQJ25" s="28"/>
      <c r="DQK25" s="28"/>
      <c r="DRI25" s="5"/>
      <c r="DRK25" s="28"/>
      <c r="DRL25" s="28"/>
      <c r="DSJ25" s="5"/>
      <c r="DSL25" s="28"/>
      <c r="DSM25" s="28"/>
      <c r="DTK25" s="5"/>
      <c r="DTM25" s="28"/>
      <c r="DTN25" s="28"/>
      <c r="DUL25" s="5"/>
      <c r="DUN25" s="28"/>
      <c r="DUO25" s="28"/>
      <c r="DVM25" s="5"/>
      <c r="DVO25" s="28"/>
      <c r="DVP25" s="28"/>
      <c r="DWN25" s="5"/>
      <c r="DWP25" s="28"/>
      <c r="DWQ25" s="28"/>
      <c r="DXO25" s="5"/>
      <c r="DXQ25" s="28"/>
      <c r="DXR25" s="28"/>
      <c r="DYP25" s="5"/>
      <c r="DYR25" s="28"/>
      <c r="DYS25" s="28"/>
      <c r="DZQ25" s="5"/>
      <c r="DZS25" s="28"/>
      <c r="DZT25" s="28"/>
      <c r="EAR25" s="5"/>
      <c r="EAT25" s="28"/>
      <c r="EAU25" s="28"/>
      <c r="EBS25" s="5"/>
      <c r="EBU25" s="28"/>
      <c r="EBV25" s="28"/>
      <c r="ECT25" s="5"/>
      <c r="ECV25" s="28"/>
      <c r="ECW25" s="28"/>
      <c r="EDU25" s="5"/>
      <c r="EDW25" s="28"/>
      <c r="EDX25" s="28"/>
      <c r="EEV25" s="5"/>
      <c r="EEX25" s="28"/>
      <c r="EEY25" s="28"/>
      <c r="EFW25" s="5"/>
      <c r="EFY25" s="28"/>
      <c r="EFZ25" s="28"/>
      <c r="EGX25" s="5"/>
      <c r="EGZ25" s="28"/>
      <c r="EHA25" s="28"/>
      <c r="EHY25" s="5"/>
      <c r="EIA25" s="28"/>
      <c r="EIB25" s="28"/>
      <c r="EIZ25" s="5"/>
      <c r="EJB25" s="28"/>
      <c r="EJC25" s="28"/>
      <c r="EKA25" s="5"/>
      <c r="EKC25" s="28"/>
      <c r="EKD25" s="28"/>
      <c r="ELB25" s="5"/>
      <c r="ELD25" s="28"/>
      <c r="ELE25" s="28"/>
      <c r="EMC25" s="5"/>
      <c r="EME25" s="28"/>
      <c r="EMF25" s="28"/>
      <c r="END25" s="5"/>
      <c r="ENF25" s="28"/>
      <c r="ENG25" s="28"/>
      <c r="EOE25" s="5"/>
      <c r="EOG25" s="28"/>
      <c r="EOH25" s="28"/>
      <c r="EPF25" s="5"/>
      <c r="EPH25" s="28"/>
      <c r="EPI25" s="28"/>
      <c r="EQG25" s="5"/>
      <c r="EQI25" s="28"/>
      <c r="EQJ25" s="28"/>
      <c r="ERH25" s="5"/>
      <c r="ERJ25" s="28"/>
      <c r="ERK25" s="28"/>
      <c r="ESI25" s="5"/>
      <c r="ESK25" s="28"/>
      <c r="ESL25" s="28"/>
      <c r="ETJ25" s="5"/>
      <c r="ETL25" s="28"/>
      <c r="ETM25" s="28"/>
      <c r="EUK25" s="5"/>
      <c r="EUM25" s="28"/>
      <c r="EUN25" s="28"/>
      <c r="EVL25" s="5"/>
      <c r="EVN25" s="28"/>
      <c r="EVO25" s="28"/>
      <c r="EWM25" s="5"/>
      <c r="EWO25" s="28"/>
      <c r="EWP25" s="28"/>
      <c r="EXN25" s="5"/>
      <c r="EXP25" s="28"/>
      <c r="EXQ25" s="28"/>
      <c r="EYO25" s="5"/>
      <c r="EYQ25" s="28"/>
      <c r="EYR25" s="28"/>
      <c r="EZP25" s="5"/>
      <c r="EZR25" s="28"/>
      <c r="EZS25" s="28"/>
      <c r="FAQ25" s="5"/>
      <c r="FAS25" s="28"/>
      <c r="FAT25" s="28"/>
      <c r="FBR25" s="5"/>
      <c r="FBT25" s="28"/>
      <c r="FBU25" s="28"/>
      <c r="FCS25" s="5"/>
      <c r="FCU25" s="28"/>
      <c r="FCV25" s="28"/>
      <c r="FDT25" s="5"/>
      <c r="FDV25" s="28"/>
      <c r="FDW25" s="28"/>
      <c r="FEU25" s="5"/>
      <c r="FEW25" s="28"/>
      <c r="FEX25" s="28"/>
      <c r="FFV25" s="5"/>
      <c r="FFX25" s="28"/>
      <c r="FFY25" s="28"/>
      <c r="FGW25" s="5"/>
      <c r="FGY25" s="28"/>
      <c r="FGZ25" s="28"/>
      <c r="FHX25" s="5"/>
      <c r="FHZ25" s="28"/>
      <c r="FIA25" s="28"/>
      <c r="FIY25" s="5"/>
      <c r="FJA25" s="28"/>
      <c r="FJB25" s="28"/>
      <c r="FJZ25" s="5"/>
      <c r="FKB25" s="28"/>
      <c r="FKC25" s="28"/>
      <c r="FLA25" s="5"/>
      <c r="FLC25" s="28"/>
      <c r="FLD25" s="28"/>
      <c r="FMB25" s="5"/>
      <c r="FMD25" s="28"/>
      <c r="FME25" s="28"/>
      <c r="FNC25" s="5"/>
      <c r="FNE25" s="28"/>
      <c r="FNF25" s="28"/>
      <c r="FOD25" s="5"/>
      <c r="FOF25" s="28"/>
      <c r="FOG25" s="28"/>
      <c r="FPE25" s="5"/>
      <c r="FPG25" s="28"/>
      <c r="FPH25" s="28"/>
      <c r="FQF25" s="5"/>
      <c r="FQH25" s="28"/>
      <c r="FQI25" s="28"/>
      <c r="FRG25" s="5"/>
      <c r="FRI25" s="28"/>
      <c r="FRJ25" s="28"/>
      <c r="FSH25" s="5"/>
      <c r="FSJ25" s="28"/>
      <c r="FSK25" s="28"/>
      <c r="FTI25" s="5"/>
      <c r="FTK25" s="28"/>
      <c r="FTL25" s="28"/>
      <c r="FUJ25" s="5"/>
      <c r="FUL25" s="28"/>
      <c r="FUM25" s="28"/>
      <c r="FVK25" s="5"/>
      <c r="FVM25" s="28"/>
      <c r="FVN25" s="28"/>
      <c r="FWL25" s="5"/>
      <c r="FWN25" s="28"/>
      <c r="FWO25" s="28"/>
      <c r="FXM25" s="5"/>
      <c r="FXO25" s="28"/>
      <c r="FXP25" s="28"/>
      <c r="FYN25" s="5"/>
      <c r="FYP25" s="28"/>
      <c r="FYQ25" s="28"/>
      <c r="FZO25" s="5"/>
      <c r="FZQ25" s="28"/>
      <c r="FZR25" s="28"/>
      <c r="GAP25" s="5"/>
      <c r="GAR25" s="28"/>
      <c r="GAS25" s="28"/>
      <c r="GBQ25" s="5"/>
      <c r="GBS25" s="28"/>
      <c r="GBT25" s="28"/>
      <c r="GCR25" s="5"/>
      <c r="GCT25" s="28"/>
      <c r="GCU25" s="28"/>
      <c r="GDS25" s="5"/>
      <c r="GDU25" s="28"/>
      <c r="GDV25" s="28"/>
      <c r="GET25" s="5"/>
      <c r="GEV25" s="28"/>
      <c r="GEW25" s="28"/>
      <c r="GFU25" s="5"/>
      <c r="GFW25" s="28"/>
      <c r="GFX25" s="28"/>
      <c r="GGV25" s="5"/>
      <c r="GGX25" s="28"/>
      <c r="GGY25" s="28"/>
      <c r="GHW25" s="5"/>
      <c r="GHY25" s="28"/>
      <c r="GHZ25" s="28"/>
      <c r="GIX25" s="5"/>
      <c r="GIZ25" s="28"/>
      <c r="GJA25" s="28"/>
      <c r="GJY25" s="5"/>
      <c r="GKA25" s="28"/>
      <c r="GKB25" s="28"/>
      <c r="GKZ25" s="5"/>
      <c r="GLB25" s="28"/>
      <c r="GLC25" s="28"/>
      <c r="GMA25" s="5"/>
      <c r="GMC25" s="28"/>
      <c r="GMD25" s="28"/>
      <c r="GNB25" s="5"/>
      <c r="GND25" s="28"/>
      <c r="GNE25" s="28"/>
      <c r="GOC25" s="5"/>
      <c r="GOE25" s="28"/>
      <c r="GOF25" s="28"/>
      <c r="GPD25" s="5"/>
      <c r="GPF25" s="28"/>
      <c r="GPG25" s="28"/>
      <c r="GQE25" s="5"/>
      <c r="GQG25" s="28"/>
      <c r="GQH25" s="28"/>
      <c r="GRF25" s="5"/>
      <c r="GRH25" s="28"/>
      <c r="GRI25" s="28"/>
      <c r="GSG25" s="5"/>
      <c r="GSI25" s="28"/>
      <c r="GSJ25" s="28"/>
      <c r="GTH25" s="5"/>
      <c r="GTJ25" s="28"/>
      <c r="GTK25" s="28"/>
      <c r="GUI25" s="5"/>
      <c r="GUK25" s="28"/>
      <c r="GUL25" s="28"/>
      <c r="GVJ25" s="5"/>
      <c r="GVL25" s="28"/>
      <c r="GVM25" s="28"/>
      <c r="GWK25" s="5"/>
      <c r="GWM25" s="28"/>
      <c r="GWN25" s="28"/>
      <c r="GXL25" s="5"/>
      <c r="GXN25" s="28"/>
      <c r="GXO25" s="28"/>
      <c r="GYM25" s="5"/>
      <c r="GYO25" s="28"/>
      <c r="GYP25" s="28"/>
      <c r="GZN25" s="5"/>
      <c r="GZP25" s="28"/>
      <c r="GZQ25" s="28"/>
      <c r="HAO25" s="5"/>
      <c r="HAQ25" s="28"/>
      <c r="HAR25" s="28"/>
      <c r="HBP25" s="5"/>
      <c r="HBR25" s="28"/>
      <c r="HBS25" s="28"/>
      <c r="HCQ25" s="5"/>
      <c r="HCS25" s="28"/>
      <c r="HCT25" s="28"/>
      <c r="HDR25" s="5"/>
      <c r="HDT25" s="28"/>
      <c r="HDU25" s="28"/>
      <c r="HES25" s="5"/>
      <c r="HEU25" s="28"/>
      <c r="HEV25" s="28"/>
      <c r="HFT25" s="5"/>
      <c r="HFV25" s="28"/>
      <c r="HFW25" s="28"/>
      <c r="HGU25" s="5"/>
      <c r="HGW25" s="28"/>
      <c r="HGX25" s="28"/>
      <c r="HHV25" s="5"/>
      <c r="HHX25" s="28"/>
      <c r="HHY25" s="28"/>
      <c r="HIW25" s="5"/>
      <c r="HIY25" s="28"/>
      <c r="HIZ25" s="28"/>
      <c r="HJX25" s="5"/>
      <c r="HJZ25" s="28"/>
      <c r="HKA25" s="28"/>
      <c r="HKY25" s="5"/>
      <c r="HLA25" s="28"/>
      <c r="HLB25" s="28"/>
      <c r="HLZ25" s="5"/>
      <c r="HMB25" s="28"/>
      <c r="HMC25" s="28"/>
      <c r="HNA25" s="5"/>
      <c r="HNC25" s="28"/>
      <c r="HND25" s="28"/>
      <c r="HOB25" s="5"/>
      <c r="HOD25" s="28"/>
      <c r="HOE25" s="28"/>
      <c r="HPC25" s="5"/>
      <c r="HPE25" s="28"/>
      <c r="HPF25" s="28"/>
      <c r="HQD25" s="5"/>
      <c r="HQF25" s="28"/>
      <c r="HQG25" s="28"/>
      <c r="HRE25" s="5"/>
      <c r="HRG25" s="28"/>
      <c r="HRH25" s="28"/>
      <c r="HSF25" s="5"/>
      <c r="HSH25" s="28"/>
      <c r="HSI25" s="28"/>
      <c r="HTG25" s="5"/>
      <c r="HTI25" s="28"/>
      <c r="HTJ25" s="28"/>
      <c r="HUH25" s="5"/>
      <c r="HUJ25" s="28"/>
      <c r="HUK25" s="28"/>
      <c r="HVI25" s="5"/>
      <c r="HVK25" s="28"/>
      <c r="HVL25" s="28"/>
      <c r="HWJ25" s="5"/>
      <c r="HWL25" s="28"/>
      <c r="HWM25" s="28"/>
      <c r="HXK25" s="5"/>
      <c r="HXM25" s="28"/>
      <c r="HXN25" s="28"/>
      <c r="HYL25" s="5"/>
      <c r="HYN25" s="28"/>
      <c r="HYO25" s="28"/>
      <c r="HZM25" s="5"/>
      <c r="HZO25" s="28"/>
      <c r="HZP25" s="28"/>
      <c r="IAN25" s="5"/>
      <c r="IAP25" s="28"/>
      <c r="IAQ25" s="28"/>
      <c r="IBO25" s="5"/>
      <c r="IBQ25" s="28"/>
      <c r="IBR25" s="28"/>
      <c r="ICP25" s="5"/>
      <c r="ICR25" s="28"/>
      <c r="ICS25" s="28"/>
      <c r="IDQ25" s="5"/>
      <c r="IDS25" s="28"/>
      <c r="IDT25" s="28"/>
      <c r="IER25" s="5"/>
      <c r="IET25" s="28"/>
      <c r="IEU25" s="28"/>
      <c r="IFS25" s="5"/>
      <c r="IFU25" s="28"/>
      <c r="IFV25" s="28"/>
      <c r="IGT25" s="5"/>
      <c r="IGV25" s="28"/>
      <c r="IGW25" s="28"/>
      <c r="IHU25" s="5"/>
      <c r="IHW25" s="28"/>
      <c r="IHX25" s="28"/>
      <c r="IIV25" s="5"/>
      <c r="IIX25" s="28"/>
      <c r="IIY25" s="28"/>
      <c r="IJW25" s="5"/>
      <c r="IJY25" s="28"/>
      <c r="IJZ25" s="28"/>
      <c r="IKX25" s="5"/>
      <c r="IKZ25" s="28"/>
      <c r="ILA25" s="28"/>
      <c r="ILY25" s="5"/>
      <c r="IMA25" s="28"/>
      <c r="IMB25" s="28"/>
      <c r="IMZ25" s="5"/>
      <c r="INB25" s="28"/>
      <c r="INC25" s="28"/>
      <c r="IOA25" s="5"/>
      <c r="IOC25" s="28"/>
      <c r="IOD25" s="28"/>
      <c r="IPB25" s="5"/>
      <c r="IPD25" s="28"/>
      <c r="IPE25" s="28"/>
      <c r="IQC25" s="5"/>
      <c r="IQE25" s="28"/>
      <c r="IQF25" s="28"/>
      <c r="IRD25" s="5"/>
      <c r="IRF25" s="28"/>
      <c r="IRG25" s="28"/>
      <c r="ISE25" s="5"/>
      <c r="ISG25" s="28"/>
      <c r="ISH25" s="28"/>
      <c r="ITF25" s="5"/>
      <c r="ITH25" s="28"/>
      <c r="ITI25" s="28"/>
      <c r="IUG25" s="5"/>
      <c r="IUI25" s="28"/>
      <c r="IUJ25" s="28"/>
      <c r="IVH25" s="5"/>
      <c r="IVJ25" s="28"/>
      <c r="IVK25" s="28"/>
      <c r="IWI25" s="5"/>
      <c r="IWK25" s="28"/>
      <c r="IWL25" s="28"/>
      <c r="IXJ25" s="5"/>
      <c r="IXL25" s="28"/>
      <c r="IXM25" s="28"/>
      <c r="IYK25" s="5"/>
      <c r="IYM25" s="28"/>
      <c r="IYN25" s="28"/>
      <c r="IZL25" s="5"/>
      <c r="IZN25" s="28"/>
      <c r="IZO25" s="28"/>
      <c r="JAM25" s="5"/>
      <c r="JAO25" s="28"/>
      <c r="JAP25" s="28"/>
      <c r="JBN25" s="5"/>
      <c r="JBP25" s="28"/>
      <c r="JBQ25" s="28"/>
      <c r="JCO25" s="5"/>
      <c r="JCQ25" s="28"/>
      <c r="JCR25" s="28"/>
      <c r="JDP25" s="5"/>
      <c r="JDR25" s="28"/>
      <c r="JDS25" s="28"/>
      <c r="JEQ25" s="5"/>
      <c r="JES25" s="28"/>
      <c r="JET25" s="28"/>
      <c r="JFR25" s="5"/>
      <c r="JFT25" s="28"/>
      <c r="JFU25" s="28"/>
      <c r="JGS25" s="5"/>
      <c r="JGU25" s="28"/>
      <c r="JGV25" s="28"/>
      <c r="JHT25" s="5"/>
      <c r="JHV25" s="28"/>
      <c r="JHW25" s="28"/>
      <c r="JIU25" s="5"/>
      <c r="JIW25" s="28"/>
      <c r="JIX25" s="28"/>
      <c r="JJV25" s="5"/>
      <c r="JJX25" s="28"/>
      <c r="JJY25" s="28"/>
      <c r="JKW25" s="5"/>
      <c r="JKY25" s="28"/>
      <c r="JKZ25" s="28"/>
      <c r="JLX25" s="5"/>
      <c r="JLZ25" s="28"/>
      <c r="JMA25" s="28"/>
      <c r="JMY25" s="5"/>
      <c r="JNA25" s="28"/>
      <c r="JNB25" s="28"/>
      <c r="JNZ25" s="5"/>
      <c r="JOB25" s="28"/>
      <c r="JOC25" s="28"/>
      <c r="JPA25" s="5"/>
      <c r="JPC25" s="28"/>
      <c r="JPD25" s="28"/>
      <c r="JQB25" s="5"/>
      <c r="JQD25" s="28"/>
      <c r="JQE25" s="28"/>
      <c r="JRC25" s="5"/>
      <c r="JRE25" s="28"/>
      <c r="JRF25" s="28"/>
      <c r="JSD25" s="5"/>
      <c r="JSF25" s="28"/>
      <c r="JSG25" s="28"/>
      <c r="JTE25" s="5"/>
      <c r="JTG25" s="28"/>
      <c r="JTH25" s="28"/>
      <c r="JUF25" s="5"/>
      <c r="JUH25" s="28"/>
      <c r="JUI25" s="28"/>
      <c r="JVG25" s="5"/>
      <c r="JVI25" s="28"/>
      <c r="JVJ25" s="28"/>
      <c r="JWH25" s="5"/>
      <c r="JWJ25" s="28"/>
      <c r="JWK25" s="28"/>
      <c r="JXI25" s="5"/>
      <c r="JXK25" s="28"/>
      <c r="JXL25" s="28"/>
      <c r="JYJ25" s="5"/>
      <c r="JYL25" s="28"/>
      <c r="JYM25" s="28"/>
      <c r="JZK25" s="5"/>
      <c r="JZM25" s="28"/>
      <c r="JZN25" s="28"/>
      <c r="KAL25" s="5"/>
      <c r="KAN25" s="28"/>
      <c r="KAO25" s="28"/>
      <c r="KBM25" s="5"/>
      <c r="KBO25" s="28"/>
      <c r="KBP25" s="28"/>
      <c r="KCN25" s="5"/>
      <c r="KCP25" s="28"/>
      <c r="KCQ25" s="28"/>
      <c r="KDO25" s="5"/>
      <c r="KDQ25" s="28"/>
      <c r="KDR25" s="28"/>
      <c r="KEP25" s="5"/>
      <c r="KER25" s="28"/>
      <c r="KES25" s="28"/>
      <c r="KFQ25" s="5"/>
      <c r="KFS25" s="28"/>
      <c r="KFT25" s="28"/>
      <c r="KGR25" s="5"/>
      <c r="KGT25" s="28"/>
      <c r="KGU25" s="28"/>
      <c r="KHS25" s="5"/>
      <c r="KHU25" s="28"/>
      <c r="KHV25" s="28"/>
      <c r="KIT25" s="5"/>
      <c r="KIV25" s="28"/>
      <c r="KIW25" s="28"/>
      <c r="KJU25" s="5"/>
      <c r="KJW25" s="28"/>
      <c r="KJX25" s="28"/>
      <c r="KKV25" s="5"/>
      <c r="KKX25" s="28"/>
      <c r="KKY25" s="28"/>
      <c r="KLW25" s="5"/>
      <c r="KLY25" s="28"/>
      <c r="KLZ25" s="28"/>
      <c r="KMX25" s="5"/>
      <c r="KMZ25" s="28"/>
      <c r="KNA25" s="28"/>
      <c r="KNY25" s="5"/>
      <c r="KOA25" s="28"/>
      <c r="KOB25" s="28"/>
      <c r="KOZ25" s="5"/>
      <c r="KPB25" s="28"/>
      <c r="KPC25" s="28"/>
      <c r="KQA25" s="5"/>
      <c r="KQC25" s="28"/>
      <c r="KQD25" s="28"/>
      <c r="KRB25" s="5"/>
      <c r="KRD25" s="28"/>
      <c r="KRE25" s="28"/>
      <c r="KSC25" s="5"/>
      <c r="KSE25" s="28"/>
      <c r="KSF25" s="28"/>
      <c r="KTD25" s="5"/>
      <c r="KTF25" s="28"/>
      <c r="KTG25" s="28"/>
      <c r="KUE25" s="5"/>
      <c r="KUG25" s="28"/>
      <c r="KUH25" s="28"/>
      <c r="KVF25" s="5"/>
      <c r="KVH25" s="28"/>
      <c r="KVI25" s="28"/>
      <c r="KWG25" s="5"/>
      <c r="KWI25" s="28"/>
      <c r="KWJ25" s="28"/>
      <c r="KXH25" s="5"/>
      <c r="KXJ25" s="28"/>
      <c r="KXK25" s="28"/>
      <c r="KYI25" s="5"/>
      <c r="KYK25" s="28"/>
      <c r="KYL25" s="28"/>
      <c r="KZJ25" s="5"/>
      <c r="KZL25" s="28"/>
      <c r="KZM25" s="28"/>
      <c r="LAK25" s="5"/>
      <c r="LAM25" s="28"/>
      <c r="LAN25" s="28"/>
      <c r="LBL25" s="5"/>
      <c r="LBN25" s="28"/>
      <c r="LBO25" s="28"/>
      <c r="LCM25" s="5"/>
      <c r="LCO25" s="28"/>
      <c r="LCP25" s="28"/>
      <c r="LDN25" s="5"/>
      <c r="LDP25" s="28"/>
      <c r="LDQ25" s="28"/>
      <c r="LEO25" s="5"/>
      <c r="LEQ25" s="28"/>
      <c r="LER25" s="28"/>
      <c r="LFP25" s="5"/>
      <c r="LFR25" s="28"/>
      <c r="LFS25" s="28"/>
      <c r="LGQ25" s="5"/>
      <c r="LGS25" s="28"/>
      <c r="LGT25" s="28"/>
      <c r="LHR25" s="5"/>
      <c r="LHT25" s="28"/>
      <c r="LHU25" s="28"/>
      <c r="LIS25" s="5"/>
      <c r="LIU25" s="28"/>
      <c r="LIV25" s="28"/>
      <c r="LJT25" s="5"/>
      <c r="LJV25" s="28"/>
      <c r="LJW25" s="28"/>
      <c r="LKU25" s="5"/>
      <c r="LKW25" s="28"/>
      <c r="LKX25" s="28"/>
      <c r="LLV25" s="5"/>
      <c r="LLX25" s="28"/>
      <c r="LLY25" s="28"/>
      <c r="LMW25" s="5"/>
      <c r="LMY25" s="28"/>
      <c r="LMZ25" s="28"/>
      <c r="LNX25" s="5"/>
      <c r="LNZ25" s="28"/>
      <c r="LOA25" s="28"/>
      <c r="LOY25" s="5"/>
      <c r="LPA25" s="28"/>
      <c r="LPB25" s="28"/>
      <c r="LPZ25" s="5"/>
      <c r="LQB25" s="28"/>
      <c r="LQC25" s="28"/>
      <c r="LRA25" s="5"/>
      <c r="LRC25" s="28"/>
      <c r="LRD25" s="28"/>
      <c r="LSB25" s="5"/>
      <c r="LSD25" s="28"/>
      <c r="LSE25" s="28"/>
      <c r="LTC25" s="5"/>
      <c r="LTE25" s="28"/>
      <c r="LTF25" s="28"/>
      <c r="LUD25" s="5"/>
      <c r="LUF25" s="28"/>
      <c r="LUG25" s="28"/>
      <c r="LVE25" s="5"/>
      <c r="LVG25" s="28"/>
      <c r="LVH25" s="28"/>
      <c r="LWF25" s="5"/>
      <c r="LWH25" s="28"/>
      <c r="LWI25" s="28"/>
      <c r="LXG25" s="5"/>
      <c r="LXI25" s="28"/>
      <c r="LXJ25" s="28"/>
      <c r="LYH25" s="5"/>
      <c r="LYJ25" s="28"/>
      <c r="LYK25" s="28"/>
      <c r="LZI25" s="5"/>
      <c r="LZK25" s="28"/>
      <c r="LZL25" s="28"/>
      <c r="MAJ25" s="5"/>
      <c r="MAL25" s="28"/>
      <c r="MAM25" s="28"/>
      <c r="MBK25" s="5"/>
      <c r="MBM25" s="28"/>
      <c r="MBN25" s="28"/>
      <c r="MCL25" s="5"/>
      <c r="MCN25" s="28"/>
      <c r="MCO25" s="28"/>
      <c r="MDM25" s="5"/>
      <c r="MDO25" s="28"/>
      <c r="MDP25" s="28"/>
      <c r="MEN25" s="5"/>
      <c r="MEP25" s="28"/>
      <c r="MEQ25" s="28"/>
      <c r="MFO25" s="5"/>
      <c r="MFQ25" s="28"/>
      <c r="MFR25" s="28"/>
      <c r="MGP25" s="5"/>
      <c r="MGR25" s="28"/>
      <c r="MGS25" s="28"/>
      <c r="MHQ25" s="5"/>
      <c r="MHS25" s="28"/>
      <c r="MHT25" s="28"/>
      <c r="MIR25" s="5"/>
      <c r="MIT25" s="28"/>
      <c r="MIU25" s="28"/>
      <c r="MJS25" s="5"/>
      <c r="MJU25" s="28"/>
      <c r="MJV25" s="28"/>
      <c r="MKT25" s="5"/>
      <c r="MKV25" s="28"/>
      <c r="MKW25" s="28"/>
      <c r="MLU25" s="5"/>
      <c r="MLW25" s="28"/>
      <c r="MLX25" s="28"/>
      <c r="MMV25" s="5"/>
      <c r="MMX25" s="28"/>
      <c r="MMY25" s="28"/>
      <c r="MNW25" s="5"/>
      <c r="MNY25" s="28"/>
      <c r="MNZ25" s="28"/>
      <c r="MOX25" s="5"/>
      <c r="MOZ25" s="28"/>
      <c r="MPA25" s="28"/>
      <c r="MPY25" s="5"/>
      <c r="MQA25" s="28"/>
      <c r="MQB25" s="28"/>
      <c r="MQZ25" s="5"/>
      <c r="MRB25" s="28"/>
      <c r="MRC25" s="28"/>
      <c r="MSA25" s="5"/>
      <c r="MSC25" s="28"/>
      <c r="MSD25" s="28"/>
      <c r="MTB25" s="5"/>
      <c r="MTD25" s="28"/>
      <c r="MTE25" s="28"/>
      <c r="MUC25" s="5"/>
      <c r="MUE25" s="28"/>
      <c r="MUF25" s="28"/>
      <c r="MVD25" s="5"/>
      <c r="MVF25" s="28"/>
      <c r="MVG25" s="28"/>
      <c r="MWE25" s="5"/>
      <c r="MWG25" s="28"/>
      <c r="MWH25" s="28"/>
      <c r="MXF25" s="5"/>
      <c r="MXH25" s="28"/>
      <c r="MXI25" s="28"/>
      <c r="MYG25" s="5"/>
      <c r="MYI25" s="28"/>
      <c r="MYJ25" s="28"/>
      <c r="MZH25" s="5"/>
      <c r="MZJ25" s="28"/>
      <c r="MZK25" s="28"/>
      <c r="NAI25" s="5"/>
      <c r="NAK25" s="28"/>
      <c r="NAL25" s="28"/>
      <c r="NBJ25" s="5"/>
      <c r="NBL25" s="28"/>
      <c r="NBM25" s="28"/>
      <c r="NCK25" s="5"/>
      <c r="NCM25" s="28"/>
      <c r="NCN25" s="28"/>
      <c r="NDL25" s="5"/>
      <c r="NDN25" s="28"/>
      <c r="NDO25" s="28"/>
      <c r="NEM25" s="5"/>
      <c r="NEO25" s="28"/>
      <c r="NEP25" s="28"/>
      <c r="NFN25" s="5"/>
      <c r="NFP25" s="28"/>
      <c r="NFQ25" s="28"/>
      <c r="NGO25" s="5"/>
      <c r="NGQ25" s="28"/>
      <c r="NGR25" s="28"/>
      <c r="NHP25" s="5"/>
      <c r="NHR25" s="28"/>
      <c r="NHS25" s="28"/>
      <c r="NIQ25" s="5"/>
      <c r="NIS25" s="28"/>
      <c r="NIT25" s="28"/>
      <c r="NJR25" s="5"/>
      <c r="NJT25" s="28"/>
      <c r="NJU25" s="28"/>
      <c r="NKS25" s="5"/>
      <c r="NKU25" s="28"/>
      <c r="NKV25" s="28"/>
      <c r="NLT25" s="5"/>
      <c r="NLV25" s="28"/>
      <c r="NLW25" s="28"/>
      <c r="NMU25" s="5"/>
      <c r="NMW25" s="28"/>
      <c r="NMX25" s="28"/>
      <c r="NNV25" s="5"/>
      <c r="NNX25" s="28"/>
      <c r="NNY25" s="28"/>
      <c r="NOW25" s="5"/>
      <c r="NOY25" s="28"/>
      <c r="NOZ25" s="28"/>
      <c r="NPX25" s="5"/>
      <c r="NPZ25" s="28"/>
      <c r="NQA25" s="28"/>
      <c r="NQY25" s="5"/>
      <c r="NRA25" s="28"/>
      <c r="NRB25" s="28"/>
      <c r="NRZ25" s="5"/>
      <c r="NSB25" s="28"/>
      <c r="NSC25" s="28"/>
      <c r="NTA25" s="5"/>
      <c r="NTC25" s="28"/>
      <c r="NTD25" s="28"/>
      <c r="NUB25" s="5"/>
      <c r="NUD25" s="28"/>
      <c r="NUE25" s="28"/>
      <c r="NVC25" s="5"/>
      <c r="NVE25" s="28"/>
      <c r="NVF25" s="28"/>
      <c r="NWD25" s="5"/>
      <c r="NWF25" s="28"/>
      <c r="NWG25" s="28"/>
      <c r="NXE25" s="5"/>
      <c r="NXG25" s="28"/>
      <c r="NXH25" s="28"/>
      <c r="NYF25" s="5"/>
      <c r="NYH25" s="28"/>
      <c r="NYI25" s="28"/>
      <c r="NZG25" s="5"/>
      <c r="NZI25" s="28"/>
      <c r="NZJ25" s="28"/>
      <c r="OAH25" s="5"/>
      <c r="OAJ25" s="28"/>
      <c r="OAK25" s="28"/>
      <c r="OBI25" s="5"/>
      <c r="OBK25" s="28"/>
      <c r="OBL25" s="28"/>
      <c r="OCJ25" s="5"/>
      <c r="OCL25" s="28"/>
      <c r="OCM25" s="28"/>
      <c r="ODK25" s="5"/>
      <c r="ODM25" s="28"/>
      <c r="ODN25" s="28"/>
      <c r="OEL25" s="5"/>
      <c r="OEN25" s="28"/>
      <c r="OEO25" s="28"/>
      <c r="OFM25" s="5"/>
      <c r="OFO25" s="28"/>
      <c r="OFP25" s="28"/>
      <c r="OGN25" s="5"/>
      <c r="OGP25" s="28"/>
      <c r="OGQ25" s="28"/>
      <c r="OHO25" s="5"/>
      <c r="OHQ25" s="28"/>
      <c r="OHR25" s="28"/>
      <c r="OIP25" s="5"/>
      <c r="OIR25" s="28"/>
      <c r="OIS25" s="28"/>
      <c r="OJQ25" s="5"/>
      <c r="OJS25" s="28"/>
      <c r="OJT25" s="28"/>
      <c r="OKR25" s="5"/>
      <c r="OKT25" s="28"/>
      <c r="OKU25" s="28"/>
      <c r="OLS25" s="5"/>
      <c r="OLU25" s="28"/>
      <c r="OLV25" s="28"/>
      <c r="OMT25" s="5"/>
      <c r="OMV25" s="28"/>
      <c r="OMW25" s="28"/>
      <c r="ONU25" s="5"/>
      <c r="ONW25" s="28"/>
      <c r="ONX25" s="28"/>
      <c r="OOV25" s="5"/>
      <c r="OOX25" s="28"/>
      <c r="OOY25" s="28"/>
      <c r="OPW25" s="5"/>
      <c r="OPY25" s="28"/>
      <c r="OPZ25" s="28"/>
      <c r="OQX25" s="5"/>
      <c r="OQZ25" s="28"/>
      <c r="ORA25" s="28"/>
      <c r="ORY25" s="5"/>
      <c r="OSA25" s="28"/>
      <c r="OSB25" s="28"/>
      <c r="OSZ25" s="5"/>
      <c r="OTB25" s="28"/>
      <c r="OTC25" s="28"/>
      <c r="OUA25" s="5"/>
      <c r="OUC25" s="28"/>
      <c r="OUD25" s="28"/>
      <c r="OVB25" s="5"/>
      <c r="OVD25" s="28"/>
      <c r="OVE25" s="28"/>
      <c r="OWC25" s="5"/>
      <c r="OWE25" s="28"/>
      <c r="OWF25" s="28"/>
      <c r="OXD25" s="5"/>
      <c r="OXF25" s="28"/>
      <c r="OXG25" s="28"/>
      <c r="OYE25" s="5"/>
      <c r="OYG25" s="28"/>
      <c r="OYH25" s="28"/>
      <c r="OZF25" s="5"/>
      <c r="OZH25" s="28"/>
      <c r="OZI25" s="28"/>
      <c r="PAG25" s="5"/>
      <c r="PAI25" s="28"/>
      <c r="PAJ25" s="28"/>
      <c r="PBH25" s="5"/>
      <c r="PBJ25" s="28"/>
      <c r="PBK25" s="28"/>
      <c r="PCI25" s="5"/>
      <c r="PCK25" s="28"/>
      <c r="PCL25" s="28"/>
      <c r="PDJ25" s="5"/>
      <c r="PDL25" s="28"/>
      <c r="PDM25" s="28"/>
      <c r="PEK25" s="5"/>
      <c r="PEM25" s="28"/>
      <c r="PEN25" s="28"/>
      <c r="PFL25" s="5"/>
      <c r="PFN25" s="28"/>
      <c r="PFO25" s="28"/>
      <c r="PGM25" s="5"/>
      <c r="PGO25" s="28"/>
      <c r="PGP25" s="28"/>
      <c r="PHN25" s="5"/>
      <c r="PHP25" s="28"/>
      <c r="PHQ25" s="28"/>
      <c r="PIO25" s="5"/>
      <c r="PIQ25" s="28"/>
      <c r="PIR25" s="28"/>
      <c r="PJP25" s="5"/>
      <c r="PJR25" s="28"/>
      <c r="PJS25" s="28"/>
      <c r="PKQ25" s="5"/>
      <c r="PKS25" s="28"/>
      <c r="PKT25" s="28"/>
      <c r="PLR25" s="5"/>
      <c r="PLT25" s="28"/>
      <c r="PLU25" s="28"/>
      <c r="PMS25" s="5"/>
      <c r="PMU25" s="28"/>
      <c r="PMV25" s="28"/>
      <c r="PNT25" s="5"/>
      <c r="PNV25" s="28"/>
      <c r="PNW25" s="28"/>
      <c r="POU25" s="5"/>
      <c r="POW25" s="28"/>
      <c r="POX25" s="28"/>
      <c r="PPV25" s="5"/>
      <c r="PPX25" s="28"/>
      <c r="PPY25" s="28"/>
      <c r="PQW25" s="5"/>
      <c r="PQY25" s="28"/>
      <c r="PQZ25" s="28"/>
      <c r="PRX25" s="5"/>
      <c r="PRZ25" s="28"/>
      <c r="PSA25" s="28"/>
      <c r="PSY25" s="5"/>
      <c r="PTA25" s="28"/>
      <c r="PTB25" s="28"/>
      <c r="PTZ25" s="5"/>
      <c r="PUB25" s="28"/>
      <c r="PUC25" s="28"/>
      <c r="PVA25" s="5"/>
      <c r="PVC25" s="28"/>
      <c r="PVD25" s="28"/>
      <c r="PWB25" s="5"/>
      <c r="PWD25" s="28"/>
      <c r="PWE25" s="28"/>
      <c r="PXC25" s="5"/>
      <c r="PXE25" s="28"/>
      <c r="PXF25" s="28"/>
      <c r="PYD25" s="5"/>
      <c r="PYF25" s="28"/>
      <c r="PYG25" s="28"/>
      <c r="PZE25" s="5"/>
      <c r="PZG25" s="28"/>
      <c r="PZH25" s="28"/>
      <c r="QAF25" s="5"/>
      <c r="QAH25" s="28"/>
      <c r="QAI25" s="28"/>
      <c r="QBG25" s="5"/>
      <c r="QBI25" s="28"/>
      <c r="QBJ25" s="28"/>
      <c r="QCH25" s="5"/>
      <c r="QCJ25" s="28"/>
      <c r="QCK25" s="28"/>
      <c r="QDI25" s="5"/>
      <c r="QDK25" s="28"/>
      <c r="QDL25" s="28"/>
      <c r="QEJ25" s="5"/>
      <c r="QEL25" s="28"/>
      <c r="QEM25" s="28"/>
      <c r="QFK25" s="5"/>
      <c r="QFM25" s="28"/>
      <c r="QFN25" s="28"/>
      <c r="QGL25" s="5"/>
      <c r="QGN25" s="28"/>
      <c r="QGO25" s="28"/>
      <c r="QHM25" s="5"/>
      <c r="QHO25" s="28"/>
      <c r="QHP25" s="28"/>
      <c r="QIN25" s="5"/>
      <c r="QIP25" s="28"/>
      <c r="QIQ25" s="28"/>
      <c r="QJO25" s="5"/>
      <c r="QJQ25" s="28"/>
      <c r="QJR25" s="28"/>
      <c r="QKP25" s="5"/>
      <c r="QKR25" s="28"/>
      <c r="QKS25" s="28"/>
      <c r="QLQ25" s="5"/>
      <c r="QLS25" s="28"/>
      <c r="QLT25" s="28"/>
      <c r="QMR25" s="5"/>
      <c r="QMT25" s="28"/>
      <c r="QMU25" s="28"/>
      <c r="QNS25" s="5"/>
      <c r="QNU25" s="28"/>
      <c r="QNV25" s="28"/>
      <c r="QOT25" s="5"/>
      <c r="QOV25" s="28"/>
      <c r="QOW25" s="28"/>
      <c r="QPU25" s="5"/>
      <c r="QPW25" s="28"/>
      <c r="QPX25" s="28"/>
      <c r="QQV25" s="5"/>
      <c r="QQX25" s="28"/>
      <c r="QQY25" s="28"/>
      <c r="QRW25" s="5"/>
      <c r="QRY25" s="28"/>
      <c r="QRZ25" s="28"/>
      <c r="QSX25" s="5"/>
      <c r="QSZ25" s="28"/>
      <c r="QTA25" s="28"/>
      <c r="QTY25" s="5"/>
      <c r="QUA25" s="28"/>
      <c r="QUB25" s="28"/>
      <c r="QUZ25" s="5"/>
      <c r="QVB25" s="28"/>
      <c r="QVC25" s="28"/>
      <c r="QWA25" s="5"/>
      <c r="QWC25" s="28"/>
      <c r="QWD25" s="28"/>
      <c r="QXB25" s="5"/>
      <c r="QXD25" s="28"/>
      <c r="QXE25" s="28"/>
      <c r="QYC25" s="5"/>
      <c r="QYE25" s="28"/>
      <c r="QYF25" s="28"/>
      <c r="QZD25" s="5"/>
      <c r="QZF25" s="28"/>
      <c r="QZG25" s="28"/>
      <c r="RAE25" s="5"/>
      <c r="RAG25" s="28"/>
      <c r="RAH25" s="28"/>
      <c r="RBF25" s="5"/>
      <c r="RBH25" s="28"/>
      <c r="RBI25" s="28"/>
      <c r="RCG25" s="5"/>
      <c r="RCI25" s="28"/>
      <c r="RCJ25" s="28"/>
      <c r="RDH25" s="5"/>
      <c r="RDJ25" s="28"/>
      <c r="RDK25" s="28"/>
      <c r="REI25" s="5"/>
      <c r="REK25" s="28"/>
      <c r="REL25" s="28"/>
      <c r="RFJ25" s="5"/>
      <c r="RFL25" s="28"/>
      <c r="RFM25" s="28"/>
      <c r="RGK25" s="5"/>
      <c r="RGM25" s="28"/>
      <c r="RGN25" s="28"/>
      <c r="RHL25" s="5"/>
      <c r="RHN25" s="28"/>
      <c r="RHO25" s="28"/>
      <c r="RIM25" s="5"/>
      <c r="RIO25" s="28"/>
      <c r="RIP25" s="28"/>
      <c r="RJN25" s="5"/>
      <c r="RJP25" s="28"/>
      <c r="RJQ25" s="28"/>
      <c r="RKO25" s="5"/>
      <c r="RKQ25" s="28"/>
      <c r="RKR25" s="28"/>
      <c r="RLP25" s="5"/>
      <c r="RLR25" s="28"/>
      <c r="RLS25" s="28"/>
      <c r="RMQ25" s="5"/>
      <c r="RMS25" s="28"/>
      <c r="RMT25" s="28"/>
      <c r="RNR25" s="5"/>
      <c r="RNT25" s="28"/>
      <c r="RNU25" s="28"/>
      <c r="ROS25" s="5"/>
      <c r="ROU25" s="28"/>
      <c r="ROV25" s="28"/>
      <c r="RPT25" s="5"/>
      <c r="RPV25" s="28"/>
      <c r="RPW25" s="28"/>
      <c r="RQU25" s="5"/>
      <c r="RQW25" s="28"/>
      <c r="RQX25" s="28"/>
      <c r="RRV25" s="5"/>
      <c r="RRX25" s="28"/>
      <c r="RRY25" s="28"/>
      <c r="RSW25" s="5"/>
      <c r="RSY25" s="28"/>
      <c r="RSZ25" s="28"/>
      <c r="RTX25" s="5"/>
      <c r="RTZ25" s="28"/>
      <c r="RUA25" s="28"/>
      <c r="RUY25" s="5"/>
      <c r="RVA25" s="28"/>
      <c r="RVB25" s="28"/>
      <c r="RVZ25" s="5"/>
      <c r="RWB25" s="28"/>
      <c r="RWC25" s="28"/>
      <c r="RXA25" s="5"/>
      <c r="RXC25" s="28"/>
      <c r="RXD25" s="28"/>
      <c r="RYB25" s="5"/>
      <c r="RYD25" s="28"/>
      <c r="RYE25" s="28"/>
      <c r="RZC25" s="5"/>
      <c r="RZE25" s="28"/>
      <c r="RZF25" s="28"/>
      <c r="SAD25" s="5"/>
      <c r="SAF25" s="28"/>
      <c r="SAG25" s="28"/>
      <c r="SBE25" s="5"/>
      <c r="SBG25" s="28"/>
      <c r="SBH25" s="28"/>
      <c r="SCF25" s="5"/>
      <c r="SCH25" s="28"/>
      <c r="SCI25" s="28"/>
      <c r="SDG25" s="5"/>
      <c r="SDI25" s="28"/>
      <c r="SDJ25" s="28"/>
      <c r="SEH25" s="5"/>
      <c r="SEJ25" s="28"/>
      <c r="SEK25" s="28"/>
      <c r="SFI25" s="5"/>
      <c r="SFK25" s="28"/>
      <c r="SFL25" s="28"/>
      <c r="SGJ25" s="5"/>
      <c r="SGL25" s="28"/>
      <c r="SGM25" s="28"/>
      <c r="SHK25" s="5"/>
      <c r="SHM25" s="28"/>
      <c r="SHN25" s="28"/>
      <c r="SIL25" s="5"/>
      <c r="SIN25" s="28"/>
      <c r="SIO25" s="28"/>
      <c r="SJM25" s="5"/>
      <c r="SJO25" s="28"/>
      <c r="SJP25" s="28"/>
      <c r="SKN25" s="5"/>
      <c r="SKP25" s="28"/>
      <c r="SKQ25" s="28"/>
      <c r="SLO25" s="5"/>
      <c r="SLQ25" s="28"/>
      <c r="SLR25" s="28"/>
      <c r="SMP25" s="5"/>
      <c r="SMR25" s="28"/>
      <c r="SMS25" s="28"/>
      <c r="SNQ25" s="5"/>
      <c r="SNS25" s="28"/>
      <c r="SNT25" s="28"/>
      <c r="SOR25" s="5"/>
      <c r="SOT25" s="28"/>
      <c r="SOU25" s="28"/>
      <c r="SPS25" s="5"/>
      <c r="SPU25" s="28"/>
      <c r="SPV25" s="28"/>
      <c r="SQT25" s="5"/>
      <c r="SQV25" s="28"/>
      <c r="SQW25" s="28"/>
      <c r="SRU25" s="5"/>
      <c r="SRW25" s="28"/>
      <c r="SRX25" s="28"/>
      <c r="SSV25" s="5"/>
      <c r="SSX25" s="28"/>
      <c r="SSY25" s="28"/>
      <c r="STW25" s="5"/>
      <c r="STY25" s="28"/>
      <c r="STZ25" s="28"/>
      <c r="SUX25" s="5"/>
      <c r="SUZ25" s="28"/>
      <c r="SVA25" s="28"/>
      <c r="SVY25" s="5"/>
      <c r="SWA25" s="28"/>
      <c r="SWB25" s="28"/>
      <c r="SWZ25" s="5"/>
      <c r="SXB25" s="28"/>
      <c r="SXC25" s="28"/>
      <c r="SYA25" s="5"/>
      <c r="SYC25" s="28"/>
      <c r="SYD25" s="28"/>
      <c r="SZB25" s="5"/>
      <c r="SZD25" s="28"/>
      <c r="SZE25" s="28"/>
      <c r="TAC25" s="5"/>
      <c r="TAE25" s="28"/>
      <c r="TAF25" s="28"/>
      <c r="TBD25" s="5"/>
      <c r="TBF25" s="28"/>
      <c r="TBG25" s="28"/>
      <c r="TCE25" s="5"/>
      <c r="TCG25" s="28"/>
      <c r="TCH25" s="28"/>
      <c r="TDF25" s="5"/>
      <c r="TDH25" s="28"/>
      <c r="TDI25" s="28"/>
      <c r="TEG25" s="5"/>
      <c r="TEI25" s="28"/>
      <c r="TEJ25" s="28"/>
      <c r="TFH25" s="5"/>
      <c r="TFJ25" s="28"/>
      <c r="TFK25" s="28"/>
      <c r="TGI25" s="5"/>
      <c r="TGK25" s="28"/>
      <c r="TGL25" s="28"/>
      <c r="THJ25" s="5"/>
      <c r="THL25" s="28"/>
      <c r="THM25" s="28"/>
      <c r="TIK25" s="5"/>
      <c r="TIM25" s="28"/>
      <c r="TIN25" s="28"/>
      <c r="TJL25" s="5"/>
      <c r="TJN25" s="28"/>
      <c r="TJO25" s="28"/>
      <c r="TKM25" s="5"/>
      <c r="TKO25" s="28"/>
      <c r="TKP25" s="28"/>
      <c r="TLN25" s="5"/>
      <c r="TLP25" s="28"/>
      <c r="TLQ25" s="28"/>
      <c r="TMO25" s="5"/>
      <c r="TMQ25" s="28"/>
      <c r="TMR25" s="28"/>
      <c r="TNP25" s="5"/>
      <c r="TNR25" s="28"/>
      <c r="TNS25" s="28"/>
      <c r="TOQ25" s="5"/>
      <c r="TOS25" s="28"/>
      <c r="TOT25" s="28"/>
      <c r="TPR25" s="5"/>
      <c r="TPT25" s="28"/>
      <c r="TPU25" s="28"/>
      <c r="TQS25" s="5"/>
      <c r="TQU25" s="28"/>
      <c r="TQV25" s="28"/>
      <c r="TRT25" s="5"/>
      <c r="TRV25" s="28"/>
      <c r="TRW25" s="28"/>
      <c r="TSU25" s="5"/>
      <c r="TSW25" s="28"/>
      <c r="TSX25" s="28"/>
      <c r="TTV25" s="5"/>
      <c r="TTX25" s="28"/>
      <c r="TTY25" s="28"/>
      <c r="TUW25" s="5"/>
      <c r="TUY25" s="28"/>
      <c r="TUZ25" s="28"/>
      <c r="TVX25" s="5"/>
      <c r="TVZ25" s="28"/>
      <c r="TWA25" s="28"/>
      <c r="TWY25" s="5"/>
      <c r="TXA25" s="28"/>
      <c r="TXB25" s="28"/>
      <c r="TXZ25" s="5"/>
      <c r="TYB25" s="28"/>
      <c r="TYC25" s="28"/>
      <c r="TZA25" s="5"/>
      <c r="TZC25" s="28"/>
      <c r="TZD25" s="28"/>
      <c r="UAB25" s="5"/>
      <c r="UAD25" s="28"/>
      <c r="UAE25" s="28"/>
      <c r="UBC25" s="5"/>
      <c r="UBE25" s="28"/>
      <c r="UBF25" s="28"/>
      <c r="UCD25" s="5"/>
      <c r="UCF25" s="28"/>
      <c r="UCG25" s="28"/>
      <c r="UDE25" s="5"/>
      <c r="UDG25" s="28"/>
      <c r="UDH25" s="28"/>
      <c r="UEF25" s="5"/>
      <c r="UEH25" s="28"/>
      <c r="UEI25" s="28"/>
      <c r="UFG25" s="5"/>
      <c r="UFI25" s="28"/>
      <c r="UFJ25" s="28"/>
      <c r="UGH25" s="5"/>
      <c r="UGJ25" s="28"/>
      <c r="UGK25" s="28"/>
      <c r="UHI25" s="5"/>
      <c r="UHK25" s="28"/>
      <c r="UHL25" s="28"/>
      <c r="UIJ25" s="5"/>
      <c r="UIL25" s="28"/>
      <c r="UIM25" s="28"/>
      <c r="UJK25" s="5"/>
      <c r="UJM25" s="28"/>
      <c r="UJN25" s="28"/>
      <c r="UKL25" s="5"/>
      <c r="UKN25" s="28"/>
      <c r="UKO25" s="28"/>
      <c r="ULM25" s="5"/>
      <c r="ULO25" s="28"/>
      <c r="ULP25" s="28"/>
      <c r="UMN25" s="5"/>
      <c r="UMP25" s="28"/>
      <c r="UMQ25" s="28"/>
      <c r="UNO25" s="5"/>
      <c r="UNQ25" s="28"/>
      <c r="UNR25" s="28"/>
      <c r="UOP25" s="5"/>
      <c r="UOR25" s="28"/>
      <c r="UOS25" s="28"/>
      <c r="UPQ25" s="5"/>
      <c r="UPS25" s="28"/>
      <c r="UPT25" s="28"/>
      <c r="UQR25" s="5"/>
      <c r="UQT25" s="28"/>
      <c r="UQU25" s="28"/>
      <c r="URS25" s="5"/>
      <c r="URU25" s="28"/>
      <c r="URV25" s="28"/>
      <c r="UST25" s="5"/>
      <c r="USV25" s="28"/>
      <c r="USW25" s="28"/>
      <c r="UTU25" s="5"/>
      <c r="UTW25" s="28"/>
      <c r="UTX25" s="28"/>
      <c r="UUV25" s="5"/>
      <c r="UUX25" s="28"/>
      <c r="UUY25" s="28"/>
      <c r="UVW25" s="5"/>
      <c r="UVY25" s="28"/>
      <c r="UVZ25" s="28"/>
      <c r="UWX25" s="5"/>
      <c r="UWZ25" s="28"/>
      <c r="UXA25" s="28"/>
      <c r="UXY25" s="5"/>
      <c r="UYA25" s="28"/>
      <c r="UYB25" s="28"/>
      <c r="UYZ25" s="5"/>
      <c r="UZB25" s="28"/>
      <c r="UZC25" s="28"/>
      <c r="VAA25" s="5"/>
      <c r="VAC25" s="28"/>
      <c r="VAD25" s="28"/>
      <c r="VBB25" s="5"/>
      <c r="VBD25" s="28"/>
      <c r="VBE25" s="28"/>
      <c r="VCC25" s="5"/>
      <c r="VCE25" s="28"/>
      <c r="VCF25" s="28"/>
      <c r="VDD25" s="5"/>
      <c r="VDF25" s="28"/>
      <c r="VDG25" s="28"/>
      <c r="VEE25" s="5"/>
      <c r="VEG25" s="28"/>
      <c r="VEH25" s="28"/>
      <c r="VFF25" s="5"/>
      <c r="VFH25" s="28"/>
      <c r="VFI25" s="28"/>
      <c r="VGG25" s="5"/>
      <c r="VGI25" s="28"/>
      <c r="VGJ25" s="28"/>
      <c r="VHH25" s="5"/>
      <c r="VHJ25" s="28"/>
      <c r="VHK25" s="28"/>
      <c r="VII25" s="5"/>
      <c r="VIK25" s="28"/>
      <c r="VIL25" s="28"/>
      <c r="VJJ25" s="5"/>
      <c r="VJL25" s="28"/>
      <c r="VJM25" s="28"/>
      <c r="VKK25" s="5"/>
      <c r="VKM25" s="28"/>
      <c r="VKN25" s="28"/>
      <c r="VLL25" s="5"/>
      <c r="VLN25" s="28"/>
      <c r="VLO25" s="28"/>
      <c r="VMM25" s="5"/>
      <c r="VMO25" s="28"/>
      <c r="VMP25" s="28"/>
      <c r="VNN25" s="5"/>
      <c r="VNP25" s="28"/>
      <c r="VNQ25" s="28"/>
      <c r="VOO25" s="5"/>
      <c r="VOQ25" s="28"/>
      <c r="VOR25" s="28"/>
      <c r="VPP25" s="5"/>
      <c r="VPR25" s="28"/>
      <c r="VPS25" s="28"/>
      <c r="VQQ25" s="5"/>
      <c r="VQS25" s="28"/>
      <c r="VQT25" s="28"/>
      <c r="VRR25" s="5"/>
      <c r="VRT25" s="28"/>
      <c r="VRU25" s="28"/>
      <c r="VSS25" s="5"/>
      <c r="VSU25" s="28"/>
      <c r="VSV25" s="28"/>
      <c r="VTT25" s="5"/>
      <c r="VTV25" s="28"/>
      <c r="VTW25" s="28"/>
      <c r="VUU25" s="5"/>
      <c r="VUW25" s="28"/>
      <c r="VUX25" s="28"/>
      <c r="VVV25" s="5"/>
      <c r="VVX25" s="28"/>
      <c r="VVY25" s="28"/>
      <c r="VWW25" s="5"/>
      <c r="VWY25" s="28"/>
      <c r="VWZ25" s="28"/>
      <c r="VXX25" s="5"/>
      <c r="VXZ25" s="28"/>
      <c r="VYA25" s="28"/>
      <c r="VYY25" s="5"/>
      <c r="VZA25" s="28"/>
      <c r="VZB25" s="28"/>
      <c r="VZZ25" s="5"/>
      <c r="WAB25" s="28"/>
      <c r="WAC25" s="28"/>
      <c r="WBA25" s="5"/>
      <c r="WBC25" s="28"/>
      <c r="WBD25" s="28"/>
      <c r="WCB25" s="5"/>
      <c r="WCD25" s="28"/>
      <c r="WCE25" s="28"/>
      <c r="WDC25" s="5"/>
      <c r="WDE25" s="28"/>
      <c r="WDF25" s="28"/>
      <c r="WED25" s="5"/>
      <c r="WEF25" s="28"/>
      <c r="WEG25" s="28"/>
      <c r="WFE25" s="5"/>
      <c r="WFG25" s="28"/>
      <c r="WFH25" s="28"/>
      <c r="WGF25" s="5"/>
      <c r="WGH25" s="28"/>
      <c r="WGI25" s="28"/>
      <c r="WHG25" s="5"/>
      <c r="WHI25" s="28"/>
      <c r="WHJ25" s="28"/>
      <c r="WIH25" s="5"/>
      <c r="WIJ25" s="28"/>
      <c r="WIK25" s="28"/>
      <c r="WJI25" s="5"/>
      <c r="WJK25" s="28"/>
      <c r="WJL25" s="28"/>
      <c r="WKJ25" s="5"/>
      <c r="WKL25" s="28"/>
      <c r="WKM25" s="28"/>
      <c r="WLK25" s="5"/>
      <c r="WLM25" s="28"/>
      <c r="WLN25" s="28"/>
      <c r="WML25" s="5"/>
      <c r="WMN25" s="28"/>
      <c r="WMO25" s="28"/>
      <c r="WNM25" s="5"/>
      <c r="WNO25" s="28"/>
      <c r="WNP25" s="28"/>
      <c r="WON25" s="5"/>
      <c r="WOP25" s="28"/>
      <c r="WOQ25" s="28"/>
      <c r="WPO25" s="5"/>
      <c r="WPQ25" s="28"/>
      <c r="WPR25" s="28"/>
      <c r="WQP25" s="5"/>
      <c r="WQR25" s="28"/>
      <c r="WQS25" s="28"/>
      <c r="WRQ25" s="5"/>
      <c r="WRS25" s="28"/>
      <c r="WRT25" s="28"/>
      <c r="WSR25" s="5"/>
      <c r="WST25" s="28"/>
      <c r="WSU25" s="28"/>
      <c r="WTS25" s="5"/>
      <c r="WTU25" s="28"/>
      <c r="WTV25" s="28"/>
      <c r="WUT25" s="5"/>
      <c r="WUV25" s="28"/>
      <c r="WUW25" s="28"/>
      <c r="WVU25" s="5"/>
      <c r="WVW25" s="28"/>
      <c r="WVX25" s="28"/>
      <c r="WWV25" s="5"/>
      <c r="WWX25" s="28"/>
      <c r="WWY25" s="28"/>
      <c r="WXW25" s="5"/>
      <c r="WXY25" s="28"/>
      <c r="WXZ25" s="28"/>
      <c r="WYX25" s="5"/>
      <c r="WYZ25" s="28"/>
      <c r="WZA25" s="28"/>
      <c r="WZY25" s="5"/>
      <c r="XAA25" s="28"/>
      <c r="XAB25" s="28"/>
      <c r="XAZ25" s="5"/>
      <c r="XBB25" s="28"/>
      <c r="XBC25" s="28"/>
      <c r="XCA25" s="5"/>
      <c r="XCC25" s="28"/>
      <c r="XCD25" s="28"/>
      <c r="XDB25" s="5"/>
      <c r="XDD25" s="28"/>
      <c r="XDE25" s="28"/>
    </row>
    <row r="26" spans="1:1024 1048:2047 2049:3049 3073:4075 4099:5101 5125:6127 6151:7153 7177:8179 8203:9205 9229:10231 10255:11257 11281:12283 12307:13309 13333:14335 14359:16333" s="4" customFormat="1" x14ac:dyDescent="0.25">
      <c r="A26" s="5"/>
      <c r="C26" s="28"/>
      <c r="D26" s="28"/>
      <c r="E26" s="28"/>
      <c r="F26" s="17">
        <f t="shared" si="106"/>
        <v>17</v>
      </c>
      <c r="CY26" s="5"/>
      <c r="DA26" s="28"/>
      <c r="DB26" s="28"/>
      <c r="DZ26" s="5"/>
      <c r="EB26" s="28"/>
      <c r="EC26" s="28"/>
      <c r="FA26" s="5"/>
      <c r="FC26" s="28"/>
      <c r="FD26" s="28"/>
      <c r="GB26" s="5"/>
      <c r="GD26" s="28"/>
      <c r="GE26" s="28"/>
      <c r="HC26" s="5"/>
      <c r="HE26" s="28"/>
      <c r="HF26" s="28"/>
      <c r="ID26" s="5"/>
      <c r="IF26" s="28"/>
      <c r="IG26" s="28"/>
      <c r="JE26" s="5"/>
      <c r="JG26" s="28"/>
      <c r="JH26" s="28"/>
      <c r="KF26" s="5"/>
      <c r="KH26" s="28"/>
      <c r="KI26" s="28"/>
      <c r="LG26" s="5"/>
      <c r="LI26" s="28"/>
      <c r="LJ26" s="28"/>
      <c r="MH26" s="5"/>
      <c r="MJ26" s="28"/>
      <c r="MK26" s="28"/>
      <c r="NI26" s="5"/>
      <c r="NK26" s="28"/>
      <c r="NL26" s="28"/>
      <c r="OJ26" s="5"/>
      <c r="OL26" s="28"/>
      <c r="OM26" s="28"/>
      <c r="PK26" s="5"/>
      <c r="PM26" s="28"/>
      <c r="PN26" s="28"/>
      <c r="QL26" s="5"/>
      <c r="QN26" s="28"/>
      <c r="QO26" s="28"/>
      <c r="RM26" s="5"/>
      <c r="RO26" s="28"/>
      <c r="RP26" s="28"/>
      <c r="SN26" s="5"/>
      <c r="SP26" s="28"/>
      <c r="SQ26" s="28"/>
      <c r="TO26" s="5"/>
      <c r="TQ26" s="28"/>
      <c r="TR26" s="28"/>
      <c r="UP26" s="5"/>
      <c r="UR26" s="28"/>
      <c r="US26" s="28"/>
      <c r="VQ26" s="5"/>
      <c r="VS26" s="28"/>
      <c r="VT26" s="28"/>
      <c r="WR26" s="5"/>
      <c r="WT26" s="28"/>
      <c r="WU26" s="28"/>
      <c r="XS26" s="5"/>
      <c r="XU26" s="28"/>
      <c r="XV26" s="28"/>
      <c r="YT26" s="5"/>
      <c r="YV26" s="28"/>
      <c r="YW26" s="28"/>
      <c r="ZU26" s="5"/>
      <c r="ZW26" s="28"/>
      <c r="ZX26" s="28"/>
      <c r="AAV26" s="5"/>
      <c r="AAX26" s="28"/>
      <c r="AAY26" s="28"/>
      <c r="ABW26" s="5"/>
      <c r="ABY26" s="28"/>
      <c r="ABZ26" s="28"/>
      <c r="ACX26" s="5"/>
      <c r="ACZ26" s="28"/>
      <c r="ADA26" s="28"/>
      <c r="ADY26" s="5"/>
      <c r="AEA26" s="28"/>
      <c r="AEB26" s="28"/>
      <c r="AEZ26" s="5"/>
      <c r="AFB26" s="28"/>
      <c r="AFC26" s="28"/>
      <c r="AGA26" s="5"/>
      <c r="AGC26" s="28"/>
      <c r="AGD26" s="28"/>
      <c r="AHB26" s="5"/>
      <c r="AHD26" s="28"/>
      <c r="AHE26" s="28"/>
      <c r="AIC26" s="5"/>
      <c r="AIE26" s="28"/>
      <c r="AIF26" s="28"/>
      <c r="AJD26" s="5"/>
      <c r="AJF26" s="28"/>
      <c r="AJG26" s="28"/>
      <c r="AKE26" s="5"/>
      <c r="AKG26" s="28"/>
      <c r="AKH26" s="28"/>
      <c r="ALF26" s="5"/>
      <c r="ALH26" s="28"/>
      <c r="ALI26" s="28"/>
      <c r="AMG26" s="5"/>
      <c r="AMI26" s="28"/>
      <c r="AMJ26" s="28"/>
      <c r="ANH26" s="5"/>
      <c r="ANJ26" s="28"/>
      <c r="ANK26" s="28"/>
      <c r="AOI26" s="5"/>
      <c r="AOK26" s="28"/>
      <c r="AOL26" s="28"/>
      <c r="APJ26" s="5"/>
      <c r="APL26" s="28"/>
      <c r="APM26" s="28"/>
      <c r="AQK26" s="5"/>
      <c r="AQM26" s="28"/>
      <c r="AQN26" s="28"/>
      <c r="ARL26" s="5"/>
      <c r="ARN26" s="28"/>
      <c r="ARO26" s="28"/>
      <c r="ASM26" s="5"/>
      <c r="ASO26" s="28"/>
      <c r="ASP26" s="28"/>
      <c r="ATN26" s="5"/>
      <c r="ATP26" s="28"/>
      <c r="ATQ26" s="28"/>
      <c r="AUO26" s="5"/>
      <c r="AUQ26" s="28"/>
      <c r="AUR26" s="28"/>
      <c r="AVP26" s="5"/>
      <c r="AVR26" s="28"/>
      <c r="AVS26" s="28"/>
      <c r="AWQ26" s="5"/>
      <c r="AWS26" s="28"/>
      <c r="AWT26" s="28"/>
      <c r="AXR26" s="5"/>
      <c r="AXT26" s="28"/>
      <c r="AXU26" s="28"/>
      <c r="AYS26" s="5"/>
      <c r="AYU26" s="28"/>
      <c r="AYV26" s="28"/>
      <c r="AZT26" s="5"/>
      <c r="AZV26" s="28"/>
      <c r="AZW26" s="28"/>
      <c r="BAU26" s="5"/>
      <c r="BAW26" s="28"/>
      <c r="BAX26" s="28"/>
      <c r="BBV26" s="5"/>
      <c r="BBX26" s="28"/>
      <c r="BBY26" s="28"/>
      <c r="BCW26" s="5"/>
      <c r="BCY26" s="28"/>
      <c r="BCZ26" s="28"/>
      <c r="BDX26" s="5"/>
      <c r="BDZ26" s="28"/>
      <c r="BEA26" s="28"/>
      <c r="BEY26" s="5"/>
      <c r="BFA26" s="28"/>
      <c r="BFB26" s="28"/>
      <c r="BFZ26" s="5"/>
      <c r="BGB26" s="28"/>
      <c r="BGC26" s="28"/>
      <c r="BHA26" s="5"/>
      <c r="BHC26" s="28"/>
      <c r="BHD26" s="28"/>
      <c r="BIB26" s="5"/>
      <c r="BID26" s="28"/>
      <c r="BIE26" s="28"/>
      <c r="BJC26" s="5"/>
      <c r="BJE26" s="28"/>
      <c r="BJF26" s="28"/>
      <c r="BKD26" s="5"/>
      <c r="BKF26" s="28"/>
      <c r="BKG26" s="28"/>
      <c r="BLE26" s="5"/>
      <c r="BLG26" s="28"/>
      <c r="BLH26" s="28"/>
      <c r="BMF26" s="5"/>
      <c r="BMH26" s="28"/>
      <c r="BMI26" s="28"/>
      <c r="BNG26" s="5"/>
      <c r="BNI26" s="28"/>
      <c r="BNJ26" s="28"/>
      <c r="BOH26" s="5"/>
      <c r="BOJ26" s="28"/>
      <c r="BOK26" s="28"/>
      <c r="BPI26" s="5"/>
      <c r="BPK26" s="28"/>
      <c r="BPL26" s="28"/>
      <c r="BQJ26" s="5"/>
      <c r="BQL26" s="28"/>
      <c r="BQM26" s="28"/>
      <c r="BRK26" s="5"/>
      <c r="BRM26" s="28"/>
      <c r="BRN26" s="28"/>
      <c r="BSL26" s="5"/>
      <c r="BSN26" s="28"/>
      <c r="BSO26" s="28"/>
      <c r="BTM26" s="5"/>
      <c r="BTO26" s="28"/>
      <c r="BTP26" s="28"/>
      <c r="BUN26" s="5"/>
      <c r="BUP26" s="28"/>
      <c r="BUQ26" s="28"/>
      <c r="BVO26" s="5"/>
      <c r="BVQ26" s="28"/>
      <c r="BVR26" s="28"/>
      <c r="BWP26" s="5"/>
      <c r="BWR26" s="28"/>
      <c r="BWS26" s="28"/>
      <c r="BXQ26" s="5"/>
      <c r="BXS26" s="28"/>
      <c r="BXT26" s="28"/>
      <c r="BYR26" s="5"/>
      <c r="BYT26" s="28"/>
      <c r="BYU26" s="28"/>
      <c r="BZS26" s="5"/>
      <c r="BZU26" s="28"/>
      <c r="BZV26" s="28"/>
      <c r="CAT26" s="5"/>
      <c r="CAV26" s="28"/>
      <c r="CAW26" s="28"/>
      <c r="CBU26" s="5"/>
      <c r="CBW26" s="28"/>
      <c r="CBX26" s="28"/>
      <c r="CCV26" s="5"/>
      <c r="CCX26" s="28"/>
      <c r="CCY26" s="28"/>
      <c r="CDW26" s="5"/>
      <c r="CDY26" s="28"/>
      <c r="CDZ26" s="28"/>
      <c r="CEX26" s="5"/>
      <c r="CEZ26" s="28"/>
      <c r="CFA26" s="28"/>
      <c r="CFY26" s="5"/>
      <c r="CGA26" s="28"/>
      <c r="CGB26" s="28"/>
      <c r="CGZ26" s="5"/>
      <c r="CHB26" s="28"/>
      <c r="CHC26" s="28"/>
      <c r="CIA26" s="5"/>
      <c r="CIC26" s="28"/>
      <c r="CID26" s="28"/>
      <c r="CJB26" s="5"/>
      <c r="CJD26" s="28"/>
      <c r="CJE26" s="28"/>
      <c r="CKC26" s="5"/>
      <c r="CKE26" s="28"/>
      <c r="CKF26" s="28"/>
      <c r="CLD26" s="5"/>
      <c r="CLF26" s="28"/>
      <c r="CLG26" s="28"/>
      <c r="CME26" s="5"/>
      <c r="CMG26" s="28"/>
      <c r="CMH26" s="28"/>
      <c r="CNF26" s="5"/>
      <c r="CNH26" s="28"/>
      <c r="CNI26" s="28"/>
      <c r="COG26" s="5"/>
      <c r="COI26" s="28"/>
      <c r="COJ26" s="28"/>
      <c r="CPH26" s="5"/>
      <c r="CPJ26" s="28"/>
      <c r="CPK26" s="28"/>
      <c r="CQI26" s="5"/>
      <c r="CQK26" s="28"/>
      <c r="CQL26" s="28"/>
      <c r="CRJ26" s="5"/>
      <c r="CRL26" s="28"/>
      <c r="CRM26" s="28"/>
      <c r="CSK26" s="5"/>
      <c r="CSM26" s="28"/>
      <c r="CSN26" s="28"/>
      <c r="CTL26" s="5"/>
      <c r="CTN26" s="28"/>
      <c r="CTO26" s="28"/>
      <c r="CUM26" s="5"/>
      <c r="CUO26" s="28"/>
      <c r="CUP26" s="28"/>
      <c r="CVN26" s="5"/>
      <c r="CVP26" s="28"/>
      <c r="CVQ26" s="28"/>
      <c r="CWO26" s="5"/>
      <c r="CWQ26" s="28"/>
      <c r="CWR26" s="28"/>
      <c r="CXP26" s="5"/>
      <c r="CXR26" s="28"/>
      <c r="CXS26" s="28"/>
      <c r="CYQ26" s="5"/>
      <c r="CYS26" s="28"/>
      <c r="CYT26" s="28"/>
      <c r="CZR26" s="5"/>
      <c r="CZT26" s="28"/>
      <c r="CZU26" s="28"/>
      <c r="DAS26" s="5"/>
      <c r="DAU26" s="28"/>
      <c r="DAV26" s="28"/>
      <c r="DBT26" s="5"/>
      <c r="DBV26" s="28"/>
      <c r="DBW26" s="28"/>
      <c r="DCU26" s="5"/>
      <c r="DCW26" s="28"/>
      <c r="DCX26" s="28"/>
      <c r="DDV26" s="5"/>
      <c r="DDX26" s="28"/>
      <c r="DDY26" s="28"/>
      <c r="DEW26" s="5"/>
      <c r="DEY26" s="28"/>
      <c r="DEZ26" s="28"/>
      <c r="DFX26" s="5"/>
      <c r="DFZ26" s="28"/>
      <c r="DGA26" s="28"/>
      <c r="DGY26" s="5"/>
      <c r="DHA26" s="28"/>
      <c r="DHB26" s="28"/>
      <c r="DHZ26" s="5"/>
      <c r="DIB26" s="28"/>
      <c r="DIC26" s="28"/>
      <c r="DJA26" s="5"/>
      <c r="DJC26" s="28"/>
      <c r="DJD26" s="28"/>
      <c r="DKB26" s="5"/>
      <c r="DKD26" s="28"/>
      <c r="DKE26" s="28"/>
      <c r="DLC26" s="5"/>
      <c r="DLE26" s="28"/>
      <c r="DLF26" s="28"/>
      <c r="DMD26" s="5"/>
      <c r="DMF26" s="28"/>
      <c r="DMG26" s="28"/>
      <c r="DNE26" s="5"/>
      <c r="DNG26" s="28"/>
      <c r="DNH26" s="28"/>
      <c r="DOF26" s="5"/>
      <c r="DOH26" s="28"/>
      <c r="DOI26" s="28"/>
      <c r="DPG26" s="5"/>
      <c r="DPI26" s="28"/>
      <c r="DPJ26" s="28"/>
      <c r="DQH26" s="5"/>
      <c r="DQJ26" s="28"/>
      <c r="DQK26" s="28"/>
      <c r="DRI26" s="5"/>
      <c r="DRK26" s="28"/>
      <c r="DRL26" s="28"/>
      <c r="DSJ26" s="5"/>
      <c r="DSL26" s="28"/>
      <c r="DSM26" s="28"/>
      <c r="DTK26" s="5"/>
      <c r="DTM26" s="28"/>
      <c r="DTN26" s="28"/>
      <c r="DUL26" s="5"/>
      <c r="DUN26" s="28"/>
      <c r="DUO26" s="28"/>
      <c r="DVM26" s="5"/>
      <c r="DVO26" s="28"/>
      <c r="DVP26" s="28"/>
      <c r="DWN26" s="5"/>
      <c r="DWP26" s="28"/>
      <c r="DWQ26" s="28"/>
      <c r="DXO26" s="5"/>
      <c r="DXQ26" s="28"/>
      <c r="DXR26" s="28"/>
      <c r="DYP26" s="5"/>
      <c r="DYR26" s="28"/>
      <c r="DYS26" s="28"/>
      <c r="DZQ26" s="5"/>
      <c r="DZS26" s="28"/>
      <c r="DZT26" s="28"/>
      <c r="EAR26" s="5"/>
      <c r="EAT26" s="28"/>
      <c r="EAU26" s="28"/>
      <c r="EBS26" s="5"/>
      <c r="EBU26" s="28"/>
      <c r="EBV26" s="28"/>
      <c r="ECT26" s="5"/>
      <c r="ECV26" s="28"/>
      <c r="ECW26" s="28"/>
      <c r="EDU26" s="5"/>
      <c r="EDW26" s="28"/>
      <c r="EDX26" s="28"/>
      <c r="EEV26" s="5"/>
      <c r="EEX26" s="28"/>
      <c r="EEY26" s="28"/>
      <c r="EFW26" s="5"/>
      <c r="EFY26" s="28"/>
      <c r="EFZ26" s="28"/>
      <c r="EGX26" s="5"/>
      <c r="EGZ26" s="28"/>
      <c r="EHA26" s="28"/>
      <c r="EHY26" s="5"/>
      <c r="EIA26" s="28"/>
      <c r="EIB26" s="28"/>
      <c r="EIZ26" s="5"/>
      <c r="EJB26" s="28"/>
      <c r="EJC26" s="28"/>
      <c r="EKA26" s="5"/>
      <c r="EKC26" s="28"/>
      <c r="EKD26" s="28"/>
      <c r="ELB26" s="5"/>
      <c r="ELD26" s="28"/>
      <c r="ELE26" s="28"/>
      <c r="EMC26" s="5"/>
      <c r="EME26" s="28"/>
      <c r="EMF26" s="28"/>
      <c r="END26" s="5"/>
      <c r="ENF26" s="28"/>
      <c r="ENG26" s="28"/>
      <c r="EOE26" s="5"/>
      <c r="EOG26" s="28"/>
      <c r="EOH26" s="28"/>
      <c r="EPF26" s="5"/>
      <c r="EPH26" s="28"/>
      <c r="EPI26" s="28"/>
      <c r="EQG26" s="5"/>
      <c r="EQI26" s="28"/>
      <c r="EQJ26" s="28"/>
      <c r="ERH26" s="5"/>
      <c r="ERJ26" s="28"/>
      <c r="ERK26" s="28"/>
      <c r="ESI26" s="5"/>
      <c r="ESK26" s="28"/>
      <c r="ESL26" s="28"/>
      <c r="ETJ26" s="5"/>
      <c r="ETL26" s="28"/>
      <c r="ETM26" s="28"/>
      <c r="EUK26" s="5"/>
      <c r="EUM26" s="28"/>
      <c r="EUN26" s="28"/>
      <c r="EVL26" s="5"/>
      <c r="EVN26" s="28"/>
      <c r="EVO26" s="28"/>
      <c r="EWM26" s="5"/>
      <c r="EWO26" s="28"/>
      <c r="EWP26" s="28"/>
      <c r="EXN26" s="5"/>
      <c r="EXP26" s="28"/>
      <c r="EXQ26" s="28"/>
      <c r="EYO26" s="5"/>
      <c r="EYQ26" s="28"/>
      <c r="EYR26" s="28"/>
      <c r="EZP26" s="5"/>
      <c r="EZR26" s="28"/>
      <c r="EZS26" s="28"/>
      <c r="FAQ26" s="5"/>
      <c r="FAS26" s="28"/>
      <c r="FAT26" s="28"/>
      <c r="FBR26" s="5"/>
      <c r="FBT26" s="28"/>
      <c r="FBU26" s="28"/>
      <c r="FCS26" s="5"/>
      <c r="FCU26" s="28"/>
      <c r="FCV26" s="28"/>
      <c r="FDT26" s="5"/>
      <c r="FDV26" s="28"/>
      <c r="FDW26" s="28"/>
      <c r="FEU26" s="5"/>
      <c r="FEW26" s="28"/>
      <c r="FEX26" s="28"/>
      <c r="FFV26" s="5"/>
      <c r="FFX26" s="28"/>
      <c r="FFY26" s="28"/>
      <c r="FGW26" s="5"/>
      <c r="FGY26" s="28"/>
      <c r="FGZ26" s="28"/>
      <c r="FHX26" s="5"/>
      <c r="FHZ26" s="28"/>
      <c r="FIA26" s="28"/>
      <c r="FIY26" s="5"/>
      <c r="FJA26" s="28"/>
      <c r="FJB26" s="28"/>
      <c r="FJZ26" s="5"/>
      <c r="FKB26" s="28"/>
      <c r="FKC26" s="28"/>
      <c r="FLA26" s="5"/>
      <c r="FLC26" s="28"/>
      <c r="FLD26" s="28"/>
      <c r="FMB26" s="5"/>
      <c r="FMD26" s="28"/>
      <c r="FME26" s="28"/>
      <c r="FNC26" s="5"/>
      <c r="FNE26" s="28"/>
      <c r="FNF26" s="28"/>
      <c r="FOD26" s="5"/>
      <c r="FOF26" s="28"/>
      <c r="FOG26" s="28"/>
      <c r="FPE26" s="5"/>
      <c r="FPG26" s="28"/>
      <c r="FPH26" s="28"/>
      <c r="FQF26" s="5"/>
      <c r="FQH26" s="28"/>
      <c r="FQI26" s="28"/>
      <c r="FRG26" s="5"/>
      <c r="FRI26" s="28"/>
      <c r="FRJ26" s="28"/>
      <c r="FSH26" s="5"/>
      <c r="FSJ26" s="28"/>
      <c r="FSK26" s="28"/>
      <c r="FTI26" s="5"/>
      <c r="FTK26" s="28"/>
      <c r="FTL26" s="28"/>
      <c r="FUJ26" s="5"/>
      <c r="FUL26" s="28"/>
      <c r="FUM26" s="28"/>
      <c r="FVK26" s="5"/>
      <c r="FVM26" s="28"/>
      <c r="FVN26" s="28"/>
      <c r="FWL26" s="5"/>
      <c r="FWN26" s="28"/>
      <c r="FWO26" s="28"/>
      <c r="FXM26" s="5"/>
      <c r="FXO26" s="28"/>
      <c r="FXP26" s="28"/>
      <c r="FYN26" s="5"/>
      <c r="FYP26" s="28"/>
      <c r="FYQ26" s="28"/>
      <c r="FZO26" s="5"/>
      <c r="FZQ26" s="28"/>
      <c r="FZR26" s="28"/>
      <c r="GAP26" s="5"/>
      <c r="GAR26" s="28"/>
      <c r="GAS26" s="28"/>
      <c r="GBQ26" s="5"/>
      <c r="GBS26" s="28"/>
      <c r="GBT26" s="28"/>
      <c r="GCR26" s="5"/>
      <c r="GCT26" s="28"/>
      <c r="GCU26" s="28"/>
      <c r="GDS26" s="5"/>
      <c r="GDU26" s="28"/>
      <c r="GDV26" s="28"/>
      <c r="GET26" s="5"/>
      <c r="GEV26" s="28"/>
      <c r="GEW26" s="28"/>
      <c r="GFU26" s="5"/>
      <c r="GFW26" s="28"/>
      <c r="GFX26" s="28"/>
      <c r="GGV26" s="5"/>
      <c r="GGX26" s="28"/>
      <c r="GGY26" s="28"/>
      <c r="GHW26" s="5"/>
      <c r="GHY26" s="28"/>
      <c r="GHZ26" s="28"/>
      <c r="GIX26" s="5"/>
      <c r="GIZ26" s="28"/>
      <c r="GJA26" s="28"/>
      <c r="GJY26" s="5"/>
      <c r="GKA26" s="28"/>
      <c r="GKB26" s="28"/>
      <c r="GKZ26" s="5"/>
      <c r="GLB26" s="28"/>
      <c r="GLC26" s="28"/>
      <c r="GMA26" s="5"/>
      <c r="GMC26" s="28"/>
      <c r="GMD26" s="28"/>
      <c r="GNB26" s="5"/>
      <c r="GND26" s="28"/>
      <c r="GNE26" s="28"/>
      <c r="GOC26" s="5"/>
      <c r="GOE26" s="28"/>
      <c r="GOF26" s="28"/>
      <c r="GPD26" s="5"/>
      <c r="GPF26" s="28"/>
      <c r="GPG26" s="28"/>
      <c r="GQE26" s="5"/>
      <c r="GQG26" s="28"/>
      <c r="GQH26" s="28"/>
      <c r="GRF26" s="5"/>
      <c r="GRH26" s="28"/>
      <c r="GRI26" s="28"/>
      <c r="GSG26" s="5"/>
      <c r="GSI26" s="28"/>
      <c r="GSJ26" s="28"/>
      <c r="GTH26" s="5"/>
      <c r="GTJ26" s="28"/>
      <c r="GTK26" s="28"/>
      <c r="GUI26" s="5"/>
      <c r="GUK26" s="28"/>
      <c r="GUL26" s="28"/>
      <c r="GVJ26" s="5"/>
      <c r="GVL26" s="28"/>
      <c r="GVM26" s="28"/>
      <c r="GWK26" s="5"/>
      <c r="GWM26" s="28"/>
      <c r="GWN26" s="28"/>
      <c r="GXL26" s="5"/>
      <c r="GXN26" s="28"/>
      <c r="GXO26" s="28"/>
      <c r="GYM26" s="5"/>
      <c r="GYO26" s="28"/>
      <c r="GYP26" s="28"/>
      <c r="GZN26" s="5"/>
      <c r="GZP26" s="28"/>
      <c r="GZQ26" s="28"/>
      <c r="HAO26" s="5"/>
      <c r="HAQ26" s="28"/>
      <c r="HAR26" s="28"/>
      <c r="HBP26" s="5"/>
      <c r="HBR26" s="28"/>
      <c r="HBS26" s="28"/>
      <c r="HCQ26" s="5"/>
      <c r="HCS26" s="28"/>
      <c r="HCT26" s="28"/>
      <c r="HDR26" s="5"/>
      <c r="HDT26" s="28"/>
      <c r="HDU26" s="28"/>
      <c r="HES26" s="5"/>
      <c r="HEU26" s="28"/>
      <c r="HEV26" s="28"/>
      <c r="HFT26" s="5"/>
      <c r="HFV26" s="28"/>
      <c r="HFW26" s="28"/>
      <c r="HGU26" s="5"/>
      <c r="HGW26" s="28"/>
      <c r="HGX26" s="28"/>
      <c r="HHV26" s="5"/>
      <c r="HHX26" s="28"/>
      <c r="HHY26" s="28"/>
      <c r="HIW26" s="5"/>
      <c r="HIY26" s="28"/>
      <c r="HIZ26" s="28"/>
      <c r="HJX26" s="5"/>
      <c r="HJZ26" s="28"/>
      <c r="HKA26" s="28"/>
      <c r="HKY26" s="5"/>
      <c r="HLA26" s="28"/>
      <c r="HLB26" s="28"/>
      <c r="HLZ26" s="5"/>
      <c r="HMB26" s="28"/>
      <c r="HMC26" s="28"/>
      <c r="HNA26" s="5"/>
      <c r="HNC26" s="28"/>
      <c r="HND26" s="28"/>
      <c r="HOB26" s="5"/>
      <c r="HOD26" s="28"/>
      <c r="HOE26" s="28"/>
      <c r="HPC26" s="5"/>
      <c r="HPE26" s="28"/>
      <c r="HPF26" s="28"/>
      <c r="HQD26" s="5"/>
      <c r="HQF26" s="28"/>
      <c r="HQG26" s="28"/>
      <c r="HRE26" s="5"/>
      <c r="HRG26" s="28"/>
      <c r="HRH26" s="28"/>
      <c r="HSF26" s="5"/>
      <c r="HSH26" s="28"/>
      <c r="HSI26" s="28"/>
      <c r="HTG26" s="5"/>
      <c r="HTI26" s="28"/>
      <c r="HTJ26" s="28"/>
      <c r="HUH26" s="5"/>
      <c r="HUJ26" s="28"/>
      <c r="HUK26" s="28"/>
      <c r="HVI26" s="5"/>
      <c r="HVK26" s="28"/>
      <c r="HVL26" s="28"/>
      <c r="HWJ26" s="5"/>
      <c r="HWL26" s="28"/>
      <c r="HWM26" s="28"/>
      <c r="HXK26" s="5"/>
      <c r="HXM26" s="28"/>
      <c r="HXN26" s="28"/>
      <c r="HYL26" s="5"/>
      <c r="HYN26" s="28"/>
      <c r="HYO26" s="28"/>
      <c r="HZM26" s="5"/>
      <c r="HZO26" s="28"/>
      <c r="HZP26" s="28"/>
      <c r="IAN26" s="5"/>
      <c r="IAP26" s="28"/>
      <c r="IAQ26" s="28"/>
      <c r="IBO26" s="5"/>
      <c r="IBQ26" s="28"/>
      <c r="IBR26" s="28"/>
      <c r="ICP26" s="5"/>
      <c r="ICR26" s="28"/>
      <c r="ICS26" s="28"/>
      <c r="IDQ26" s="5"/>
      <c r="IDS26" s="28"/>
      <c r="IDT26" s="28"/>
      <c r="IER26" s="5"/>
      <c r="IET26" s="28"/>
      <c r="IEU26" s="28"/>
      <c r="IFS26" s="5"/>
      <c r="IFU26" s="28"/>
      <c r="IFV26" s="28"/>
      <c r="IGT26" s="5"/>
      <c r="IGV26" s="28"/>
      <c r="IGW26" s="28"/>
      <c r="IHU26" s="5"/>
      <c r="IHW26" s="28"/>
      <c r="IHX26" s="28"/>
      <c r="IIV26" s="5"/>
      <c r="IIX26" s="28"/>
      <c r="IIY26" s="28"/>
      <c r="IJW26" s="5"/>
      <c r="IJY26" s="28"/>
      <c r="IJZ26" s="28"/>
      <c r="IKX26" s="5"/>
      <c r="IKZ26" s="28"/>
      <c r="ILA26" s="28"/>
      <c r="ILY26" s="5"/>
      <c r="IMA26" s="28"/>
      <c r="IMB26" s="28"/>
      <c r="IMZ26" s="5"/>
      <c r="INB26" s="28"/>
      <c r="INC26" s="28"/>
      <c r="IOA26" s="5"/>
      <c r="IOC26" s="28"/>
      <c r="IOD26" s="28"/>
      <c r="IPB26" s="5"/>
      <c r="IPD26" s="28"/>
      <c r="IPE26" s="28"/>
      <c r="IQC26" s="5"/>
      <c r="IQE26" s="28"/>
      <c r="IQF26" s="28"/>
      <c r="IRD26" s="5"/>
      <c r="IRF26" s="28"/>
      <c r="IRG26" s="28"/>
      <c r="ISE26" s="5"/>
      <c r="ISG26" s="28"/>
      <c r="ISH26" s="28"/>
      <c r="ITF26" s="5"/>
      <c r="ITH26" s="28"/>
      <c r="ITI26" s="28"/>
      <c r="IUG26" s="5"/>
      <c r="IUI26" s="28"/>
      <c r="IUJ26" s="28"/>
      <c r="IVH26" s="5"/>
      <c r="IVJ26" s="28"/>
      <c r="IVK26" s="28"/>
      <c r="IWI26" s="5"/>
      <c r="IWK26" s="28"/>
      <c r="IWL26" s="28"/>
      <c r="IXJ26" s="5"/>
      <c r="IXL26" s="28"/>
      <c r="IXM26" s="28"/>
      <c r="IYK26" s="5"/>
      <c r="IYM26" s="28"/>
      <c r="IYN26" s="28"/>
      <c r="IZL26" s="5"/>
      <c r="IZN26" s="28"/>
      <c r="IZO26" s="28"/>
      <c r="JAM26" s="5"/>
      <c r="JAO26" s="28"/>
      <c r="JAP26" s="28"/>
      <c r="JBN26" s="5"/>
      <c r="JBP26" s="28"/>
      <c r="JBQ26" s="28"/>
      <c r="JCO26" s="5"/>
      <c r="JCQ26" s="28"/>
      <c r="JCR26" s="28"/>
      <c r="JDP26" s="5"/>
      <c r="JDR26" s="28"/>
      <c r="JDS26" s="28"/>
      <c r="JEQ26" s="5"/>
      <c r="JES26" s="28"/>
      <c r="JET26" s="28"/>
      <c r="JFR26" s="5"/>
      <c r="JFT26" s="28"/>
      <c r="JFU26" s="28"/>
      <c r="JGS26" s="5"/>
      <c r="JGU26" s="28"/>
      <c r="JGV26" s="28"/>
      <c r="JHT26" s="5"/>
      <c r="JHV26" s="28"/>
      <c r="JHW26" s="28"/>
      <c r="JIU26" s="5"/>
      <c r="JIW26" s="28"/>
      <c r="JIX26" s="28"/>
      <c r="JJV26" s="5"/>
      <c r="JJX26" s="28"/>
      <c r="JJY26" s="28"/>
      <c r="JKW26" s="5"/>
      <c r="JKY26" s="28"/>
      <c r="JKZ26" s="28"/>
      <c r="JLX26" s="5"/>
      <c r="JLZ26" s="28"/>
      <c r="JMA26" s="28"/>
      <c r="JMY26" s="5"/>
      <c r="JNA26" s="28"/>
      <c r="JNB26" s="28"/>
      <c r="JNZ26" s="5"/>
      <c r="JOB26" s="28"/>
      <c r="JOC26" s="28"/>
      <c r="JPA26" s="5"/>
      <c r="JPC26" s="28"/>
      <c r="JPD26" s="28"/>
      <c r="JQB26" s="5"/>
      <c r="JQD26" s="28"/>
      <c r="JQE26" s="28"/>
      <c r="JRC26" s="5"/>
      <c r="JRE26" s="28"/>
      <c r="JRF26" s="28"/>
      <c r="JSD26" s="5"/>
      <c r="JSF26" s="28"/>
      <c r="JSG26" s="28"/>
      <c r="JTE26" s="5"/>
      <c r="JTG26" s="28"/>
      <c r="JTH26" s="28"/>
      <c r="JUF26" s="5"/>
      <c r="JUH26" s="28"/>
      <c r="JUI26" s="28"/>
      <c r="JVG26" s="5"/>
      <c r="JVI26" s="28"/>
      <c r="JVJ26" s="28"/>
      <c r="JWH26" s="5"/>
      <c r="JWJ26" s="28"/>
      <c r="JWK26" s="28"/>
      <c r="JXI26" s="5"/>
      <c r="JXK26" s="28"/>
      <c r="JXL26" s="28"/>
      <c r="JYJ26" s="5"/>
      <c r="JYL26" s="28"/>
      <c r="JYM26" s="28"/>
      <c r="JZK26" s="5"/>
      <c r="JZM26" s="28"/>
      <c r="JZN26" s="28"/>
      <c r="KAL26" s="5"/>
      <c r="KAN26" s="28"/>
      <c r="KAO26" s="28"/>
      <c r="KBM26" s="5"/>
      <c r="KBO26" s="28"/>
      <c r="KBP26" s="28"/>
      <c r="KCN26" s="5"/>
      <c r="KCP26" s="28"/>
      <c r="KCQ26" s="28"/>
      <c r="KDO26" s="5"/>
      <c r="KDQ26" s="28"/>
      <c r="KDR26" s="28"/>
      <c r="KEP26" s="5"/>
      <c r="KER26" s="28"/>
      <c r="KES26" s="28"/>
      <c r="KFQ26" s="5"/>
      <c r="KFS26" s="28"/>
      <c r="KFT26" s="28"/>
      <c r="KGR26" s="5"/>
      <c r="KGT26" s="28"/>
      <c r="KGU26" s="28"/>
      <c r="KHS26" s="5"/>
      <c r="KHU26" s="28"/>
      <c r="KHV26" s="28"/>
      <c r="KIT26" s="5"/>
      <c r="KIV26" s="28"/>
      <c r="KIW26" s="28"/>
      <c r="KJU26" s="5"/>
      <c r="KJW26" s="28"/>
      <c r="KJX26" s="28"/>
      <c r="KKV26" s="5"/>
      <c r="KKX26" s="28"/>
      <c r="KKY26" s="28"/>
      <c r="KLW26" s="5"/>
      <c r="KLY26" s="28"/>
      <c r="KLZ26" s="28"/>
      <c r="KMX26" s="5"/>
      <c r="KMZ26" s="28"/>
      <c r="KNA26" s="28"/>
      <c r="KNY26" s="5"/>
      <c r="KOA26" s="28"/>
      <c r="KOB26" s="28"/>
      <c r="KOZ26" s="5"/>
      <c r="KPB26" s="28"/>
      <c r="KPC26" s="28"/>
      <c r="KQA26" s="5"/>
      <c r="KQC26" s="28"/>
      <c r="KQD26" s="28"/>
      <c r="KRB26" s="5"/>
      <c r="KRD26" s="28"/>
      <c r="KRE26" s="28"/>
      <c r="KSC26" s="5"/>
      <c r="KSE26" s="28"/>
      <c r="KSF26" s="28"/>
      <c r="KTD26" s="5"/>
      <c r="KTF26" s="28"/>
      <c r="KTG26" s="28"/>
      <c r="KUE26" s="5"/>
      <c r="KUG26" s="28"/>
      <c r="KUH26" s="28"/>
      <c r="KVF26" s="5"/>
      <c r="KVH26" s="28"/>
      <c r="KVI26" s="28"/>
      <c r="KWG26" s="5"/>
      <c r="KWI26" s="28"/>
      <c r="KWJ26" s="28"/>
      <c r="KXH26" s="5"/>
      <c r="KXJ26" s="28"/>
      <c r="KXK26" s="28"/>
      <c r="KYI26" s="5"/>
      <c r="KYK26" s="28"/>
      <c r="KYL26" s="28"/>
      <c r="KZJ26" s="5"/>
      <c r="KZL26" s="28"/>
      <c r="KZM26" s="28"/>
      <c r="LAK26" s="5"/>
      <c r="LAM26" s="28"/>
      <c r="LAN26" s="28"/>
      <c r="LBL26" s="5"/>
      <c r="LBN26" s="28"/>
      <c r="LBO26" s="28"/>
      <c r="LCM26" s="5"/>
      <c r="LCO26" s="28"/>
      <c r="LCP26" s="28"/>
      <c r="LDN26" s="5"/>
      <c r="LDP26" s="28"/>
      <c r="LDQ26" s="28"/>
      <c r="LEO26" s="5"/>
      <c r="LEQ26" s="28"/>
      <c r="LER26" s="28"/>
      <c r="LFP26" s="5"/>
      <c r="LFR26" s="28"/>
      <c r="LFS26" s="28"/>
      <c r="LGQ26" s="5"/>
      <c r="LGS26" s="28"/>
      <c r="LGT26" s="28"/>
      <c r="LHR26" s="5"/>
      <c r="LHT26" s="28"/>
      <c r="LHU26" s="28"/>
      <c r="LIS26" s="5"/>
      <c r="LIU26" s="28"/>
      <c r="LIV26" s="28"/>
      <c r="LJT26" s="5"/>
      <c r="LJV26" s="28"/>
      <c r="LJW26" s="28"/>
      <c r="LKU26" s="5"/>
      <c r="LKW26" s="28"/>
      <c r="LKX26" s="28"/>
      <c r="LLV26" s="5"/>
      <c r="LLX26" s="28"/>
      <c r="LLY26" s="28"/>
      <c r="LMW26" s="5"/>
      <c r="LMY26" s="28"/>
      <c r="LMZ26" s="28"/>
      <c r="LNX26" s="5"/>
      <c r="LNZ26" s="28"/>
      <c r="LOA26" s="28"/>
      <c r="LOY26" s="5"/>
      <c r="LPA26" s="28"/>
      <c r="LPB26" s="28"/>
      <c r="LPZ26" s="5"/>
      <c r="LQB26" s="28"/>
      <c r="LQC26" s="28"/>
      <c r="LRA26" s="5"/>
      <c r="LRC26" s="28"/>
      <c r="LRD26" s="28"/>
      <c r="LSB26" s="5"/>
      <c r="LSD26" s="28"/>
      <c r="LSE26" s="28"/>
      <c r="LTC26" s="5"/>
      <c r="LTE26" s="28"/>
      <c r="LTF26" s="28"/>
      <c r="LUD26" s="5"/>
      <c r="LUF26" s="28"/>
      <c r="LUG26" s="28"/>
      <c r="LVE26" s="5"/>
      <c r="LVG26" s="28"/>
      <c r="LVH26" s="28"/>
      <c r="LWF26" s="5"/>
      <c r="LWH26" s="28"/>
      <c r="LWI26" s="28"/>
      <c r="LXG26" s="5"/>
      <c r="LXI26" s="28"/>
      <c r="LXJ26" s="28"/>
      <c r="LYH26" s="5"/>
      <c r="LYJ26" s="28"/>
      <c r="LYK26" s="28"/>
      <c r="LZI26" s="5"/>
      <c r="LZK26" s="28"/>
      <c r="LZL26" s="28"/>
      <c r="MAJ26" s="5"/>
      <c r="MAL26" s="28"/>
      <c r="MAM26" s="28"/>
      <c r="MBK26" s="5"/>
      <c r="MBM26" s="28"/>
      <c r="MBN26" s="28"/>
      <c r="MCL26" s="5"/>
      <c r="MCN26" s="28"/>
      <c r="MCO26" s="28"/>
      <c r="MDM26" s="5"/>
      <c r="MDO26" s="28"/>
      <c r="MDP26" s="28"/>
      <c r="MEN26" s="5"/>
      <c r="MEP26" s="28"/>
      <c r="MEQ26" s="28"/>
      <c r="MFO26" s="5"/>
      <c r="MFQ26" s="28"/>
      <c r="MFR26" s="28"/>
      <c r="MGP26" s="5"/>
      <c r="MGR26" s="28"/>
      <c r="MGS26" s="28"/>
      <c r="MHQ26" s="5"/>
      <c r="MHS26" s="28"/>
      <c r="MHT26" s="28"/>
      <c r="MIR26" s="5"/>
      <c r="MIT26" s="28"/>
      <c r="MIU26" s="28"/>
      <c r="MJS26" s="5"/>
      <c r="MJU26" s="28"/>
      <c r="MJV26" s="28"/>
      <c r="MKT26" s="5"/>
      <c r="MKV26" s="28"/>
      <c r="MKW26" s="28"/>
      <c r="MLU26" s="5"/>
      <c r="MLW26" s="28"/>
      <c r="MLX26" s="28"/>
      <c r="MMV26" s="5"/>
      <c r="MMX26" s="28"/>
      <c r="MMY26" s="28"/>
      <c r="MNW26" s="5"/>
      <c r="MNY26" s="28"/>
      <c r="MNZ26" s="28"/>
      <c r="MOX26" s="5"/>
      <c r="MOZ26" s="28"/>
      <c r="MPA26" s="28"/>
      <c r="MPY26" s="5"/>
      <c r="MQA26" s="28"/>
      <c r="MQB26" s="28"/>
      <c r="MQZ26" s="5"/>
      <c r="MRB26" s="28"/>
      <c r="MRC26" s="28"/>
      <c r="MSA26" s="5"/>
      <c r="MSC26" s="28"/>
      <c r="MSD26" s="28"/>
      <c r="MTB26" s="5"/>
      <c r="MTD26" s="28"/>
      <c r="MTE26" s="28"/>
      <c r="MUC26" s="5"/>
      <c r="MUE26" s="28"/>
      <c r="MUF26" s="28"/>
      <c r="MVD26" s="5"/>
      <c r="MVF26" s="28"/>
      <c r="MVG26" s="28"/>
      <c r="MWE26" s="5"/>
      <c r="MWG26" s="28"/>
      <c r="MWH26" s="28"/>
      <c r="MXF26" s="5"/>
      <c r="MXH26" s="28"/>
      <c r="MXI26" s="28"/>
      <c r="MYG26" s="5"/>
      <c r="MYI26" s="28"/>
      <c r="MYJ26" s="28"/>
      <c r="MZH26" s="5"/>
      <c r="MZJ26" s="28"/>
      <c r="MZK26" s="28"/>
      <c r="NAI26" s="5"/>
      <c r="NAK26" s="28"/>
      <c r="NAL26" s="28"/>
      <c r="NBJ26" s="5"/>
      <c r="NBL26" s="28"/>
      <c r="NBM26" s="28"/>
      <c r="NCK26" s="5"/>
      <c r="NCM26" s="28"/>
      <c r="NCN26" s="28"/>
      <c r="NDL26" s="5"/>
      <c r="NDN26" s="28"/>
      <c r="NDO26" s="28"/>
      <c r="NEM26" s="5"/>
      <c r="NEO26" s="28"/>
      <c r="NEP26" s="28"/>
      <c r="NFN26" s="5"/>
      <c r="NFP26" s="28"/>
      <c r="NFQ26" s="28"/>
      <c r="NGO26" s="5"/>
      <c r="NGQ26" s="28"/>
      <c r="NGR26" s="28"/>
      <c r="NHP26" s="5"/>
      <c r="NHR26" s="28"/>
      <c r="NHS26" s="28"/>
      <c r="NIQ26" s="5"/>
      <c r="NIS26" s="28"/>
      <c r="NIT26" s="28"/>
      <c r="NJR26" s="5"/>
      <c r="NJT26" s="28"/>
      <c r="NJU26" s="28"/>
      <c r="NKS26" s="5"/>
      <c r="NKU26" s="28"/>
      <c r="NKV26" s="28"/>
      <c r="NLT26" s="5"/>
      <c r="NLV26" s="28"/>
      <c r="NLW26" s="28"/>
      <c r="NMU26" s="5"/>
      <c r="NMW26" s="28"/>
      <c r="NMX26" s="28"/>
      <c r="NNV26" s="5"/>
      <c r="NNX26" s="28"/>
      <c r="NNY26" s="28"/>
      <c r="NOW26" s="5"/>
      <c r="NOY26" s="28"/>
      <c r="NOZ26" s="28"/>
      <c r="NPX26" s="5"/>
      <c r="NPZ26" s="28"/>
      <c r="NQA26" s="28"/>
      <c r="NQY26" s="5"/>
      <c r="NRA26" s="28"/>
      <c r="NRB26" s="28"/>
      <c r="NRZ26" s="5"/>
      <c r="NSB26" s="28"/>
      <c r="NSC26" s="28"/>
      <c r="NTA26" s="5"/>
      <c r="NTC26" s="28"/>
      <c r="NTD26" s="28"/>
      <c r="NUB26" s="5"/>
      <c r="NUD26" s="28"/>
      <c r="NUE26" s="28"/>
      <c r="NVC26" s="5"/>
      <c r="NVE26" s="28"/>
      <c r="NVF26" s="28"/>
      <c r="NWD26" s="5"/>
      <c r="NWF26" s="28"/>
      <c r="NWG26" s="28"/>
      <c r="NXE26" s="5"/>
      <c r="NXG26" s="28"/>
      <c r="NXH26" s="28"/>
      <c r="NYF26" s="5"/>
      <c r="NYH26" s="28"/>
      <c r="NYI26" s="28"/>
      <c r="NZG26" s="5"/>
      <c r="NZI26" s="28"/>
      <c r="NZJ26" s="28"/>
      <c r="OAH26" s="5"/>
      <c r="OAJ26" s="28"/>
      <c r="OAK26" s="28"/>
      <c r="OBI26" s="5"/>
      <c r="OBK26" s="28"/>
      <c r="OBL26" s="28"/>
      <c r="OCJ26" s="5"/>
      <c r="OCL26" s="28"/>
      <c r="OCM26" s="28"/>
      <c r="ODK26" s="5"/>
      <c r="ODM26" s="28"/>
      <c r="ODN26" s="28"/>
      <c r="OEL26" s="5"/>
      <c r="OEN26" s="28"/>
      <c r="OEO26" s="28"/>
      <c r="OFM26" s="5"/>
      <c r="OFO26" s="28"/>
      <c r="OFP26" s="28"/>
      <c r="OGN26" s="5"/>
      <c r="OGP26" s="28"/>
      <c r="OGQ26" s="28"/>
      <c r="OHO26" s="5"/>
      <c r="OHQ26" s="28"/>
      <c r="OHR26" s="28"/>
      <c r="OIP26" s="5"/>
      <c r="OIR26" s="28"/>
      <c r="OIS26" s="28"/>
      <c r="OJQ26" s="5"/>
      <c r="OJS26" s="28"/>
      <c r="OJT26" s="28"/>
      <c r="OKR26" s="5"/>
      <c r="OKT26" s="28"/>
      <c r="OKU26" s="28"/>
      <c r="OLS26" s="5"/>
      <c r="OLU26" s="28"/>
      <c r="OLV26" s="28"/>
      <c r="OMT26" s="5"/>
      <c r="OMV26" s="28"/>
      <c r="OMW26" s="28"/>
      <c r="ONU26" s="5"/>
      <c r="ONW26" s="28"/>
      <c r="ONX26" s="28"/>
      <c r="OOV26" s="5"/>
      <c r="OOX26" s="28"/>
      <c r="OOY26" s="28"/>
      <c r="OPW26" s="5"/>
      <c r="OPY26" s="28"/>
      <c r="OPZ26" s="28"/>
      <c r="OQX26" s="5"/>
      <c r="OQZ26" s="28"/>
      <c r="ORA26" s="28"/>
      <c r="ORY26" s="5"/>
      <c r="OSA26" s="28"/>
      <c r="OSB26" s="28"/>
      <c r="OSZ26" s="5"/>
      <c r="OTB26" s="28"/>
      <c r="OTC26" s="28"/>
      <c r="OUA26" s="5"/>
      <c r="OUC26" s="28"/>
      <c r="OUD26" s="28"/>
      <c r="OVB26" s="5"/>
      <c r="OVD26" s="28"/>
      <c r="OVE26" s="28"/>
      <c r="OWC26" s="5"/>
      <c r="OWE26" s="28"/>
      <c r="OWF26" s="28"/>
      <c r="OXD26" s="5"/>
      <c r="OXF26" s="28"/>
      <c r="OXG26" s="28"/>
      <c r="OYE26" s="5"/>
      <c r="OYG26" s="28"/>
      <c r="OYH26" s="28"/>
      <c r="OZF26" s="5"/>
      <c r="OZH26" s="28"/>
      <c r="OZI26" s="28"/>
      <c r="PAG26" s="5"/>
      <c r="PAI26" s="28"/>
      <c r="PAJ26" s="28"/>
      <c r="PBH26" s="5"/>
      <c r="PBJ26" s="28"/>
      <c r="PBK26" s="28"/>
      <c r="PCI26" s="5"/>
      <c r="PCK26" s="28"/>
      <c r="PCL26" s="28"/>
      <c r="PDJ26" s="5"/>
      <c r="PDL26" s="28"/>
      <c r="PDM26" s="28"/>
      <c r="PEK26" s="5"/>
      <c r="PEM26" s="28"/>
      <c r="PEN26" s="28"/>
      <c r="PFL26" s="5"/>
      <c r="PFN26" s="28"/>
      <c r="PFO26" s="28"/>
      <c r="PGM26" s="5"/>
      <c r="PGO26" s="28"/>
      <c r="PGP26" s="28"/>
      <c r="PHN26" s="5"/>
      <c r="PHP26" s="28"/>
      <c r="PHQ26" s="28"/>
      <c r="PIO26" s="5"/>
      <c r="PIQ26" s="28"/>
      <c r="PIR26" s="28"/>
      <c r="PJP26" s="5"/>
      <c r="PJR26" s="28"/>
      <c r="PJS26" s="28"/>
      <c r="PKQ26" s="5"/>
      <c r="PKS26" s="28"/>
      <c r="PKT26" s="28"/>
      <c r="PLR26" s="5"/>
      <c r="PLT26" s="28"/>
      <c r="PLU26" s="28"/>
      <c r="PMS26" s="5"/>
      <c r="PMU26" s="28"/>
      <c r="PMV26" s="28"/>
      <c r="PNT26" s="5"/>
      <c r="PNV26" s="28"/>
      <c r="PNW26" s="28"/>
      <c r="POU26" s="5"/>
      <c r="POW26" s="28"/>
      <c r="POX26" s="28"/>
      <c r="PPV26" s="5"/>
      <c r="PPX26" s="28"/>
      <c r="PPY26" s="28"/>
      <c r="PQW26" s="5"/>
      <c r="PQY26" s="28"/>
      <c r="PQZ26" s="28"/>
      <c r="PRX26" s="5"/>
      <c r="PRZ26" s="28"/>
      <c r="PSA26" s="28"/>
      <c r="PSY26" s="5"/>
      <c r="PTA26" s="28"/>
      <c r="PTB26" s="28"/>
      <c r="PTZ26" s="5"/>
      <c r="PUB26" s="28"/>
      <c r="PUC26" s="28"/>
      <c r="PVA26" s="5"/>
      <c r="PVC26" s="28"/>
      <c r="PVD26" s="28"/>
      <c r="PWB26" s="5"/>
      <c r="PWD26" s="28"/>
      <c r="PWE26" s="28"/>
      <c r="PXC26" s="5"/>
      <c r="PXE26" s="28"/>
      <c r="PXF26" s="28"/>
      <c r="PYD26" s="5"/>
      <c r="PYF26" s="28"/>
      <c r="PYG26" s="28"/>
      <c r="PZE26" s="5"/>
      <c r="PZG26" s="28"/>
      <c r="PZH26" s="28"/>
      <c r="QAF26" s="5"/>
      <c r="QAH26" s="28"/>
      <c r="QAI26" s="28"/>
      <c r="QBG26" s="5"/>
      <c r="QBI26" s="28"/>
      <c r="QBJ26" s="28"/>
      <c r="QCH26" s="5"/>
      <c r="QCJ26" s="28"/>
      <c r="QCK26" s="28"/>
      <c r="QDI26" s="5"/>
      <c r="QDK26" s="28"/>
      <c r="QDL26" s="28"/>
      <c r="QEJ26" s="5"/>
      <c r="QEL26" s="28"/>
      <c r="QEM26" s="28"/>
      <c r="QFK26" s="5"/>
      <c r="QFM26" s="28"/>
      <c r="QFN26" s="28"/>
      <c r="QGL26" s="5"/>
      <c r="QGN26" s="28"/>
      <c r="QGO26" s="28"/>
      <c r="QHM26" s="5"/>
      <c r="QHO26" s="28"/>
      <c r="QHP26" s="28"/>
      <c r="QIN26" s="5"/>
      <c r="QIP26" s="28"/>
      <c r="QIQ26" s="28"/>
      <c r="QJO26" s="5"/>
      <c r="QJQ26" s="28"/>
      <c r="QJR26" s="28"/>
      <c r="QKP26" s="5"/>
      <c r="QKR26" s="28"/>
      <c r="QKS26" s="28"/>
      <c r="QLQ26" s="5"/>
      <c r="QLS26" s="28"/>
      <c r="QLT26" s="28"/>
      <c r="QMR26" s="5"/>
      <c r="QMT26" s="28"/>
      <c r="QMU26" s="28"/>
      <c r="QNS26" s="5"/>
      <c r="QNU26" s="28"/>
      <c r="QNV26" s="28"/>
      <c r="QOT26" s="5"/>
      <c r="QOV26" s="28"/>
      <c r="QOW26" s="28"/>
      <c r="QPU26" s="5"/>
      <c r="QPW26" s="28"/>
      <c r="QPX26" s="28"/>
      <c r="QQV26" s="5"/>
      <c r="QQX26" s="28"/>
      <c r="QQY26" s="28"/>
      <c r="QRW26" s="5"/>
      <c r="QRY26" s="28"/>
      <c r="QRZ26" s="28"/>
      <c r="QSX26" s="5"/>
      <c r="QSZ26" s="28"/>
      <c r="QTA26" s="28"/>
      <c r="QTY26" s="5"/>
      <c r="QUA26" s="28"/>
      <c r="QUB26" s="28"/>
      <c r="QUZ26" s="5"/>
      <c r="QVB26" s="28"/>
      <c r="QVC26" s="28"/>
      <c r="QWA26" s="5"/>
      <c r="QWC26" s="28"/>
      <c r="QWD26" s="28"/>
      <c r="QXB26" s="5"/>
      <c r="QXD26" s="28"/>
      <c r="QXE26" s="28"/>
      <c r="QYC26" s="5"/>
      <c r="QYE26" s="28"/>
      <c r="QYF26" s="28"/>
      <c r="QZD26" s="5"/>
      <c r="QZF26" s="28"/>
      <c r="QZG26" s="28"/>
      <c r="RAE26" s="5"/>
      <c r="RAG26" s="28"/>
      <c r="RAH26" s="28"/>
      <c r="RBF26" s="5"/>
      <c r="RBH26" s="28"/>
      <c r="RBI26" s="28"/>
      <c r="RCG26" s="5"/>
      <c r="RCI26" s="28"/>
      <c r="RCJ26" s="28"/>
      <c r="RDH26" s="5"/>
      <c r="RDJ26" s="28"/>
      <c r="RDK26" s="28"/>
      <c r="REI26" s="5"/>
      <c r="REK26" s="28"/>
      <c r="REL26" s="28"/>
      <c r="RFJ26" s="5"/>
      <c r="RFL26" s="28"/>
      <c r="RFM26" s="28"/>
      <c r="RGK26" s="5"/>
      <c r="RGM26" s="28"/>
      <c r="RGN26" s="28"/>
      <c r="RHL26" s="5"/>
      <c r="RHN26" s="28"/>
      <c r="RHO26" s="28"/>
      <c r="RIM26" s="5"/>
      <c r="RIO26" s="28"/>
      <c r="RIP26" s="28"/>
      <c r="RJN26" s="5"/>
      <c r="RJP26" s="28"/>
      <c r="RJQ26" s="28"/>
      <c r="RKO26" s="5"/>
      <c r="RKQ26" s="28"/>
      <c r="RKR26" s="28"/>
      <c r="RLP26" s="5"/>
      <c r="RLR26" s="28"/>
      <c r="RLS26" s="28"/>
      <c r="RMQ26" s="5"/>
      <c r="RMS26" s="28"/>
      <c r="RMT26" s="28"/>
      <c r="RNR26" s="5"/>
      <c r="RNT26" s="28"/>
      <c r="RNU26" s="28"/>
      <c r="ROS26" s="5"/>
      <c r="ROU26" s="28"/>
      <c r="ROV26" s="28"/>
      <c r="RPT26" s="5"/>
      <c r="RPV26" s="28"/>
      <c r="RPW26" s="28"/>
      <c r="RQU26" s="5"/>
      <c r="RQW26" s="28"/>
      <c r="RQX26" s="28"/>
      <c r="RRV26" s="5"/>
      <c r="RRX26" s="28"/>
      <c r="RRY26" s="28"/>
      <c r="RSW26" s="5"/>
      <c r="RSY26" s="28"/>
      <c r="RSZ26" s="28"/>
      <c r="RTX26" s="5"/>
      <c r="RTZ26" s="28"/>
      <c r="RUA26" s="28"/>
      <c r="RUY26" s="5"/>
      <c r="RVA26" s="28"/>
      <c r="RVB26" s="28"/>
      <c r="RVZ26" s="5"/>
      <c r="RWB26" s="28"/>
      <c r="RWC26" s="28"/>
      <c r="RXA26" s="5"/>
      <c r="RXC26" s="28"/>
      <c r="RXD26" s="28"/>
      <c r="RYB26" s="5"/>
      <c r="RYD26" s="28"/>
      <c r="RYE26" s="28"/>
      <c r="RZC26" s="5"/>
      <c r="RZE26" s="28"/>
      <c r="RZF26" s="28"/>
      <c r="SAD26" s="5"/>
      <c r="SAF26" s="28"/>
      <c r="SAG26" s="28"/>
      <c r="SBE26" s="5"/>
      <c r="SBG26" s="28"/>
      <c r="SBH26" s="28"/>
      <c r="SCF26" s="5"/>
      <c r="SCH26" s="28"/>
      <c r="SCI26" s="28"/>
      <c r="SDG26" s="5"/>
      <c r="SDI26" s="28"/>
      <c r="SDJ26" s="28"/>
      <c r="SEH26" s="5"/>
      <c r="SEJ26" s="28"/>
      <c r="SEK26" s="28"/>
      <c r="SFI26" s="5"/>
      <c r="SFK26" s="28"/>
      <c r="SFL26" s="28"/>
      <c r="SGJ26" s="5"/>
      <c r="SGL26" s="28"/>
      <c r="SGM26" s="28"/>
      <c r="SHK26" s="5"/>
      <c r="SHM26" s="28"/>
      <c r="SHN26" s="28"/>
      <c r="SIL26" s="5"/>
      <c r="SIN26" s="28"/>
      <c r="SIO26" s="28"/>
      <c r="SJM26" s="5"/>
      <c r="SJO26" s="28"/>
      <c r="SJP26" s="28"/>
      <c r="SKN26" s="5"/>
      <c r="SKP26" s="28"/>
      <c r="SKQ26" s="28"/>
      <c r="SLO26" s="5"/>
      <c r="SLQ26" s="28"/>
      <c r="SLR26" s="28"/>
      <c r="SMP26" s="5"/>
      <c r="SMR26" s="28"/>
      <c r="SMS26" s="28"/>
      <c r="SNQ26" s="5"/>
      <c r="SNS26" s="28"/>
      <c r="SNT26" s="28"/>
      <c r="SOR26" s="5"/>
      <c r="SOT26" s="28"/>
      <c r="SOU26" s="28"/>
      <c r="SPS26" s="5"/>
      <c r="SPU26" s="28"/>
      <c r="SPV26" s="28"/>
      <c r="SQT26" s="5"/>
      <c r="SQV26" s="28"/>
      <c r="SQW26" s="28"/>
      <c r="SRU26" s="5"/>
      <c r="SRW26" s="28"/>
      <c r="SRX26" s="28"/>
      <c r="SSV26" s="5"/>
      <c r="SSX26" s="28"/>
      <c r="SSY26" s="28"/>
      <c r="STW26" s="5"/>
      <c r="STY26" s="28"/>
      <c r="STZ26" s="28"/>
      <c r="SUX26" s="5"/>
      <c r="SUZ26" s="28"/>
      <c r="SVA26" s="28"/>
      <c r="SVY26" s="5"/>
      <c r="SWA26" s="28"/>
      <c r="SWB26" s="28"/>
      <c r="SWZ26" s="5"/>
      <c r="SXB26" s="28"/>
      <c r="SXC26" s="28"/>
      <c r="SYA26" s="5"/>
      <c r="SYC26" s="28"/>
      <c r="SYD26" s="28"/>
      <c r="SZB26" s="5"/>
      <c r="SZD26" s="28"/>
      <c r="SZE26" s="28"/>
      <c r="TAC26" s="5"/>
      <c r="TAE26" s="28"/>
      <c r="TAF26" s="28"/>
      <c r="TBD26" s="5"/>
      <c r="TBF26" s="28"/>
      <c r="TBG26" s="28"/>
      <c r="TCE26" s="5"/>
      <c r="TCG26" s="28"/>
      <c r="TCH26" s="28"/>
      <c r="TDF26" s="5"/>
      <c r="TDH26" s="28"/>
      <c r="TDI26" s="28"/>
      <c r="TEG26" s="5"/>
      <c r="TEI26" s="28"/>
      <c r="TEJ26" s="28"/>
      <c r="TFH26" s="5"/>
      <c r="TFJ26" s="28"/>
      <c r="TFK26" s="28"/>
      <c r="TGI26" s="5"/>
      <c r="TGK26" s="28"/>
      <c r="TGL26" s="28"/>
      <c r="THJ26" s="5"/>
      <c r="THL26" s="28"/>
      <c r="THM26" s="28"/>
      <c r="TIK26" s="5"/>
      <c r="TIM26" s="28"/>
      <c r="TIN26" s="28"/>
      <c r="TJL26" s="5"/>
      <c r="TJN26" s="28"/>
      <c r="TJO26" s="28"/>
      <c r="TKM26" s="5"/>
      <c r="TKO26" s="28"/>
      <c r="TKP26" s="28"/>
      <c r="TLN26" s="5"/>
      <c r="TLP26" s="28"/>
      <c r="TLQ26" s="28"/>
      <c r="TMO26" s="5"/>
      <c r="TMQ26" s="28"/>
      <c r="TMR26" s="28"/>
      <c r="TNP26" s="5"/>
      <c r="TNR26" s="28"/>
      <c r="TNS26" s="28"/>
      <c r="TOQ26" s="5"/>
      <c r="TOS26" s="28"/>
      <c r="TOT26" s="28"/>
      <c r="TPR26" s="5"/>
      <c r="TPT26" s="28"/>
      <c r="TPU26" s="28"/>
      <c r="TQS26" s="5"/>
      <c r="TQU26" s="28"/>
      <c r="TQV26" s="28"/>
      <c r="TRT26" s="5"/>
      <c r="TRV26" s="28"/>
      <c r="TRW26" s="28"/>
      <c r="TSU26" s="5"/>
      <c r="TSW26" s="28"/>
      <c r="TSX26" s="28"/>
      <c r="TTV26" s="5"/>
      <c r="TTX26" s="28"/>
      <c r="TTY26" s="28"/>
      <c r="TUW26" s="5"/>
      <c r="TUY26" s="28"/>
      <c r="TUZ26" s="28"/>
      <c r="TVX26" s="5"/>
      <c r="TVZ26" s="28"/>
      <c r="TWA26" s="28"/>
      <c r="TWY26" s="5"/>
      <c r="TXA26" s="28"/>
      <c r="TXB26" s="28"/>
      <c r="TXZ26" s="5"/>
      <c r="TYB26" s="28"/>
      <c r="TYC26" s="28"/>
      <c r="TZA26" s="5"/>
      <c r="TZC26" s="28"/>
      <c r="TZD26" s="28"/>
      <c r="UAB26" s="5"/>
      <c r="UAD26" s="28"/>
      <c r="UAE26" s="28"/>
      <c r="UBC26" s="5"/>
      <c r="UBE26" s="28"/>
      <c r="UBF26" s="28"/>
      <c r="UCD26" s="5"/>
      <c r="UCF26" s="28"/>
      <c r="UCG26" s="28"/>
      <c r="UDE26" s="5"/>
      <c r="UDG26" s="28"/>
      <c r="UDH26" s="28"/>
      <c r="UEF26" s="5"/>
      <c r="UEH26" s="28"/>
      <c r="UEI26" s="28"/>
      <c r="UFG26" s="5"/>
      <c r="UFI26" s="28"/>
      <c r="UFJ26" s="28"/>
      <c r="UGH26" s="5"/>
      <c r="UGJ26" s="28"/>
      <c r="UGK26" s="28"/>
      <c r="UHI26" s="5"/>
      <c r="UHK26" s="28"/>
      <c r="UHL26" s="28"/>
      <c r="UIJ26" s="5"/>
      <c r="UIL26" s="28"/>
      <c r="UIM26" s="28"/>
      <c r="UJK26" s="5"/>
      <c r="UJM26" s="28"/>
      <c r="UJN26" s="28"/>
      <c r="UKL26" s="5"/>
      <c r="UKN26" s="28"/>
      <c r="UKO26" s="28"/>
      <c r="ULM26" s="5"/>
      <c r="ULO26" s="28"/>
      <c r="ULP26" s="28"/>
      <c r="UMN26" s="5"/>
      <c r="UMP26" s="28"/>
      <c r="UMQ26" s="28"/>
      <c r="UNO26" s="5"/>
      <c r="UNQ26" s="28"/>
      <c r="UNR26" s="28"/>
      <c r="UOP26" s="5"/>
      <c r="UOR26" s="28"/>
      <c r="UOS26" s="28"/>
      <c r="UPQ26" s="5"/>
      <c r="UPS26" s="28"/>
      <c r="UPT26" s="28"/>
      <c r="UQR26" s="5"/>
      <c r="UQT26" s="28"/>
      <c r="UQU26" s="28"/>
      <c r="URS26" s="5"/>
      <c r="URU26" s="28"/>
      <c r="URV26" s="28"/>
      <c r="UST26" s="5"/>
      <c r="USV26" s="28"/>
      <c r="USW26" s="28"/>
      <c r="UTU26" s="5"/>
      <c r="UTW26" s="28"/>
      <c r="UTX26" s="28"/>
      <c r="UUV26" s="5"/>
      <c r="UUX26" s="28"/>
      <c r="UUY26" s="28"/>
      <c r="UVW26" s="5"/>
      <c r="UVY26" s="28"/>
      <c r="UVZ26" s="28"/>
      <c r="UWX26" s="5"/>
      <c r="UWZ26" s="28"/>
      <c r="UXA26" s="28"/>
      <c r="UXY26" s="5"/>
      <c r="UYA26" s="28"/>
      <c r="UYB26" s="28"/>
      <c r="UYZ26" s="5"/>
      <c r="UZB26" s="28"/>
      <c r="UZC26" s="28"/>
      <c r="VAA26" s="5"/>
      <c r="VAC26" s="28"/>
      <c r="VAD26" s="28"/>
      <c r="VBB26" s="5"/>
      <c r="VBD26" s="28"/>
      <c r="VBE26" s="28"/>
      <c r="VCC26" s="5"/>
      <c r="VCE26" s="28"/>
      <c r="VCF26" s="28"/>
      <c r="VDD26" s="5"/>
      <c r="VDF26" s="28"/>
      <c r="VDG26" s="28"/>
      <c r="VEE26" s="5"/>
      <c r="VEG26" s="28"/>
      <c r="VEH26" s="28"/>
      <c r="VFF26" s="5"/>
      <c r="VFH26" s="28"/>
      <c r="VFI26" s="28"/>
      <c r="VGG26" s="5"/>
      <c r="VGI26" s="28"/>
      <c r="VGJ26" s="28"/>
      <c r="VHH26" s="5"/>
      <c r="VHJ26" s="28"/>
      <c r="VHK26" s="28"/>
      <c r="VII26" s="5"/>
      <c r="VIK26" s="28"/>
      <c r="VIL26" s="28"/>
      <c r="VJJ26" s="5"/>
      <c r="VJL26" s="28"/>
      <c r="VJM26" s="28"/>
      <c r="VKK26" s="5"/>
      <c r="VKM26" s="28"/>
      <c r="VKN26" s="28"/>
      <c r="VLL26" s="5"/>
      <c r="VLN26" s="28"/>
      <c r="VLO26" s="28"/>
      <c r="VMM26" s="5"/>
      <c r="VMO26" s="28"/>
      <c r="VMP26" s="28"/>
      <c r="VNN26" s="5"/>
      <c r="VNP26" s="28"/>
      <c r="VNQ26" s="28"/>
      <c r="VOO26" s="5"/>
      <c r="VOQ26" s="28"/>
      <c r="VOR26" s="28"/>
      <c r="VPP26" s="5"/>
      <c r="VPR26" s="28"/>
      <c r="VPS26" s="28"/>
      <c r="VQQ26" s="5"/>
      <c r="VQS26" s="28"/>
      <c r="VQT26" s="28"/>
      <c r="VRR26" s="5"/>
      <c r="VRT26" s="28"/>
      <c r="VRU26" s="28"/>
      <c r="VSS26" s="5"/>
      <c r="VSU26" s="28"/>
      <c r="VSV26" s="28"/>
      <c r="VTT26" s="5"/>
      <c r="VTV26" s="28"/>
      <c r="VTW26" s="28"/>
      <c r="VUU26" s="5"/>
      <c r="VUW26" s="28"/>
      <c r="VUX26" s="28"/>
      <c r="VVV26" s="5"/>
      <c r="VVX26" s="28"/>
      <c r="VVY26" s="28"/>
      <c r="VWW26" s="5"/>
      <c r="VWY26" s="28"/>
      <c r="VWZ26" s="28"/>
      <c r="VXX26" s="5"/>
      <c r="VXZ26" s="28"/>
      <c r="VYA26" s="28"/>
      <c r="VYY26" s="5"/>
      <c r="VZA26" s="28"/>
      <c r="VZB26" s="28"/>
      <c r="VZZ26" s="5"/>
      <c r="WAB26" s="28"/>
      <c r="WAC26" s="28"/>
      <c r="WBA26" s="5"/>
      <c r="WBC26" s="28"/>
      <c r="WBD26" s="28"/>
      <c r="WCB26" s="5"/>
      <c r="WCD26" s="28"/>
      <c r="WCE26" s="28"/>
      <c r="WDC26" s="5"/>
      <c r="WDE26" s="28"/>
      <c r="WDF26" s="28"/>
      <c r="WED26" s="5"/>
      <c r="WEF26" s="28"/>
      <c r="WEG26" s="28"/>
      <c r="WFE26" s="5"/>
      <c r="WFG26" s="28"/>
      <c r="WFH26" s="28"/>
      <c r="WGF26" s="5"/>
      <c r="WGH26" s="28"/>
      <c r="WGI26" s="28"/>
      <c r="WHG26" s="5"/>
      <c r="WHI26" s="28"/>
      <c r="WHJ26" s="28"/>
      <c r="WIH26" s="5"/>
      <c r="WIJ26" s="28"/>
      <c r="WIK26" s="28"/>
      <c r="WJI26" s="5"/>
      <c r="WJK26" s="28"/>
      <c r="WJL26" s="28"/>
      <c r="WKJ26" s="5"/>
      <c r="WKL26" s="28"/>
      <c r="WKM26" s="28"/>
      <c r="WLK26" s="5"/>
      <c r="WLM26" s="28"/>
      <c r="WLN26" s="28"/>
      <c r="WML26" s="5"/>
      <c r="WMN26" s="28"/>
      <c r="WMO26" s="28"/>
      <c r="WNM26" s="5"/>
      <c r="WNO26" s="28"/>
      <c r="WNP26" s="28"/>
      <c r="WON26" s="5"/>
      <c r="WOP26" s="28"/>
      <c r="WOQ26" s="28"/>
      <c r="WPO26" s="5"/>
      <c r="WPQ26" s="28"/>
      <c r="WPR26" s="28"/>
      <c r="WQP26" s="5"/>
      <c r="WQR26" s="28"/>
      <c r="WQS26" s="28"/>
      <c r="WRQ26" s="5"/>
      <c r="WRS26" s="28"/>
      <c r="WRT26" s="28"/>
      <c r="WSR26" s="5"/>
      <c r="WST26" s="28"/>
      <c r="WSU26" s="28"/>
      <c r="WTS26" s="5"/>
      <c r="WTU26" s="28"/>
      <c r="WTV26" s="28"/>
      <c r="WUT26" s="5"/>
      <c r="WUV26" s="28"/>
      <c r="WUW26" s="28"/>
      <c r="WVU26" s="5"/>
      <c r="WVW26" s="28"/>
      <c r="WVX26" s="28"/>
      <c r="WWV26" s="5"/>
      <c r="WWX26" s="28"/>
      <c r="WWY26" s="28"/>
      <c r="WXW26" s="5"/>
      <c r="WXY26" s="28"/>
      <c r="WXZ26" s="28"/>
      <c r="WYX26" s="5"/>
      <c r="WYZ26" s="28"/>
      <c r="WZA26" s="28"/>
      <c r="WZY26" s="5"/>
      <c r="XAA26" s="28"/>
      <c r="XAB26" s="28"/>
      <c r="XAZ26" s="5"/>
      <c r="XBB26" s="28"/>
      <c r="XBC26" s="28"/>
      <c r="XCA26" s="5"/>
      <c r="XCC26" s="28"/>
      <c r="XCD26" s="28"/>
      <c r="XDB26" s="5"/>
      <c r="XDD26" s="28"/>
      <c r="XDE26" s="28"/>
    </row>
    <row r="27" spans="1:1024 1048:2047 2049:3049 3073:4075 4099:5101 5125:6127 6151:7153 7177:8179 8203:9205 9229:10231 10255:11257 11281:12283 12307:13309 13333:14335 14359:16333" ht="60.95" customHeight="1" x14ac:dyDescent="0.25">
      <c r="F27" s="17">
        <f t="shared" si="106"/>
        <v>18</v>
      </c>
      <c r="G27" s="31" t="s">
        <v>95</v>
      </c>
      <c r="H27" s="105" t="s">
        <v>96</v>
      </c>
      <c r="I27" s="106" t="s">
        <v>97</v>
      </c>
      <c r="J27" s="103" t="s">
        <v>98</v>
      </c>
      <c r="K27" s="104" t="s">
        <v>99</v>
      </c>
      <c r="M27" s="4"/>
      <c r="CP27" s="100" t="s">
        <v>100</v>
      </c>
    </row>
    <row r="28" spans="1:1024 1048:2047 2049:3049 3073:4075 4099:5101 5125:6127 6151:7153 7177:8179 8203:9205 9229:10231 10255:11257 11281:12283 12307:13309 13333:14335 14359:16333" x14ac:dyDescent="0.25">
      <c r="F28" s="17">
        <f t="shared" si="106"/>
        <v>19</v>
      </c>
      <c r="G28" s="12" t="s">
        <v>101</v>
      </c>
      <c r="H28" s="13">
        <v>0</v>
      </c>
      <c r="I28" s="13">
        <v>0</v>
      </c>
      <c r="J28" s="117">
        <v>0</v>
      </c>
      <c r="K28" s="189">
        <f>H66</f>
        <v>5536.021099876577</v>
      </c>
      <c r="L28" s="189">
        <f t="shared" ref="L28:V28" si="117">$K$28</f>
        <v>5536.021099876577</v>
      </c>
      <c r="M28" s="189">
        <f t="shared" si="117"/>
        <v>5536.021099876577</v>
      </c>
      <c r="N28" s="189">
        <f t="shared" si="117"/>
        <v>5536.021099876577</v>
      </c>
      <c r="O28" s="189">
        <f t="shared" si="117"/>
        <v>5536.021099876577</v>
      </c>
      <c r="P28" s="189">
        <f t="shared" si="117"/>
        <v>5536.021099876577</v>
      </c>
      <c r="Q28" s="189">
        <f t="shared" si="117"/>
        <v>5536.021099876577</v>
      </c>
      <c r="R28" s="189">
        <f t="shared" si="117"/>
        <v>5536.021099876577</v>
      </c>
      <c r="S28" s="189">
        <f t="shared" si="117"/>
        <v>5536.021099876577</v>
      </c>
      <c r="T28" s="189">
        <f t="shared" si="117"/>
        <v>5536.021099876577</v>
      </c>
      <c r="U28" s="189">
        <f t="shared" si="117"/>
        <v>5536.021099876577</v>
      </c>
      <c r="V28" s="189">
        <f t="shared" si="117"/>
        <v>5536.021099876577</v>
      </c>
      <c r="W28" s="189">
        <f>$K$28*(1+Dados!$C$22)</f>
        <v>5702.101732872874</v>
      </c>
      <c r="X28" s="189">
        <f>$K$28*(1+Dados!$C$22)</f>
        <v>5702.101732872874</v>
      </c>
      <c r="Y28" s="189">
        <f>$K$28*(1+Dados!$C$22)</f>
        <v>5702.101732872874</v>
      </c>
      <c r="Z28" s="189">
        <f>$K$28*(1+Dados!$C$22)</f>
        <v>5702.101732872874</v>
      </c>
      <c r="AA28" s="189">
        <f>$K$28*(1+Dados!$C$22)</f>
        <v>5702.101732872874</v>
      </c>
      <c r="AB28" s="189">
        <f>$K$28*(1+Dados!$C$22)</f>
        <v>5702.101732872874</v>
      </c>
      <c r="AC28" s="189">
        <f>$K$28*(1+Dados!$C$22)</f>
        <v>5702.101732872874</v>
      </c>
      <c r="AD28" s="189">
        <f>$K$28*(1+Dados!$C$22)</f>
        <v>5702.101732872874</v>
      </c>
      <c r="AE28" s="189">
        <f>$K$28*(1+Dados!$C$22)</f>
        <v>5702.101732872874</v>
      </c>
      <c r="AF28" s="189">
        <f>$K$28*(1+Dados!$C$22)</f>
        <v>5702.101732872874</v>
      </c>
      <c r="AG28" s="189">
        <f>$K$28*(1+Dados!$C$22)</f>
        <v>5702.101732872874</v>
      </c>
      <c r="AH28" s="189">
        <f>$K$28*(1+Dados!$C$22)</f>
        <v>5702.101732872874</v>
      </c>
      <c r="AI28" s="189">
        <f>$AH$28*(1+Dados!$C$22)</f>
        <v>5873.1647848590601</v>
      </c>
      <c r="AJ28" s="189">
        <f>$AH$28*(1+Dados!$C$22)</f>
        <v>5873.1647848590601</v>
      </c>
      <c r="AK28" s="189">
        <f>$AH$28*(1+Dados!$C$22)</f>
        <v>5873.1647848590601</v>
      </c>
      <c r="AL28" s="189">
        <f>$AH$28*(1+Dados!$C$22)</f>
        <v>5873.1647848590601</v>
      </c>
      <c r="AM28" s="189">
        <f>$AH$28*(1+Dados!$C$22)</f>
        <v>5873.1647848590601</v>
      </c>
      <c r="AN28" s="189">
        <f>$AH$28*(1+Dados!$C$22)</f>
        <v>5873.1647848590601</v>
      </c>
      <c r="AO28" s="189">
        <f>$AH$28*(1+Dados!$C$22)</f>
        <v>5873.1647848590601</v>
      </c>
      <c r="AP28" s="189">
        <f>$AH$28*(1+Dados!$C$22)</f>
        <v>5873.1647848590601</v>
      </c>
      <c r="AQ28" s="189">
        <f>$AH$28*(1+Dados!$C$22)</f>
        <v>5873.1647848590601</v>
      </c>
      <c r="AR28" s="189">
        <f>$AH$28*(1+Dados!$C$22)</f>
        <v>5873.1647848590601</v>
      </c>
      <c r="AS28" s="189">
        <f>$AH$28*(1+Dados!$C$22)</f>
        <v>5873.1647848590601</v>
      </c>
      <c r="AT28" s="189">
        <f>$AH$28*(1+Dados!$C$22)</f>
        <v>5873.1647848590601</v>
      </c>
      <c r="AU28" s="189">
        <f>$AS$28*(1+Dados!$C$22)</f>
        <v>6049.3597284048319</v>
      </c>
      <c r="AV28" s="189">
        <f>$AS$28*(1+Dados!$C$22)</f>
        <v>6049.3597284048319</v>
      </c>
      <c r="AW28" s="189">
        <f>$AS$28*(1+Dados!$C$22)</f>
        <v>6049.3597284048319</v>
      </c>
      <c r="AX28" s="189">
        <f>$AS$28*(1+Dados!$C$22)</f>
        <v>6049.3597284048319</v>
      </c>
      <c r="AY28" s="189">
        <f>$AS$28*(1+Dados!$C$22)</f>
        <v>6049.3597284048319</v>
      </c>
      <c r="AZ28" s="189">
        <f>$AS$28*(1+Dados!$C$22)</f>
        <v>6049.3597284048319</v>
      </c>
      <c r="BA28" s="189">
        <f>$AS$28*(1+Dados!$C$22)</f>
        <v>6049.3597284048319</v>
      </c>
      <c r="BB28" s="189">
        <f>$AS$28*(1+Dados!$C$22)</f>
        <v>6049.3597284048319</v>
      </c>
      <c r="BC28" s="189">
        <f>$AS$28*(1+Dados!$C$22)</f>
        <v>6049.3597284048319</v>
      </c>
      <c r="BD28" s="189">
        <f>$AS$28*(1+Dados!$C$22)</f>
        <v>6049.3597284048319</v>
      </c>
      <c r="BE28" s="189">
        <f>$AS$28*(1+Dados!$C$22)</f>
        <v>6049.3597284048319</v>
      </c>
      <c r="BF28" s="189">
        <f>$AS$28*(1+Dados!$C$22)</f>
        <v>6049.3597284048319</v>
      </c>
      <c r="BG28" s="189">
        <f>$BF$28*(1+Dados!$C$22)</f>
        <v>6230.8405202569775</v>
      </c>
      <c r="BH28" s="189">
        <f>$BF$28*(1+Dados!$C$22)</f>
        <v>6230.8405202569775</v>
      </c>
      <c r="BI28" s="189">
        <f>$BF$28*(1+Dados!$C$22)</f>
        <v>6230.8405202569775</v>
      </c>
      <c r="BJ28" s="189">
        <f>$BF$28*(1+Dados!$C$22)</f>
        <v>6230.8405202569775</v>
      </c>
      <c r="BK28" s="189">
        <f>$BF$28*(1+Dados!$C$22)</f>
        <v>6230.8405202569775</v>
      </c>
      <c r="BL28" s="189">
        <f>$BF$28*(1+Dados!$C$22)</f>
        <v>6230.8405202569775</v>
      </c>
      <c r="BM28" s="189">
        <f>$BF$28*(1+Dados!$C$22)</f>
        <v>6230.8405202569775</v>
      </c>
      <c r="BN28" s="189">
        <f>$BF$28*(1+Dados!$C$22)</f>
        <v>6230.8405202569775</v>
      </c>
      <c r="BO28" s="189">
        <f>$BF$28*(1+Dados!$C$22)</f>
        <v>6230.8405202569775</v>
      </c>
      <c r="BP28" s="189">
        <f>$BF$28*(1+Dados!$C$22)</f>
        <v>6230.8405202569775</v>
      </c>
      <c r="BQ28" s="189">
        <f>$BF$28*(1+Dados!$C$22)</f>
        <v>6230.8405202569775</v>
      </c>
      <c r="BR28" s="189">
        <f>$BF$28*(1+Dados!$C$22)</f>
        <v>6230.8405202569775</v>
      </c>
      <c r="BS28" s="189">
        <f>$BR$28*(1+Dados!$C$22)</f>
        <v>6417.7657358646866</v>
      </c>
      <c r="BT28" s="189">
        <f>$BR$28*(1+Dados!$C$22)</f>
        <v>6417.7657358646866</v>
      </c>
      <c r="BU28" s="189">
        <f>$BR$28*(1+Dados!$C$22)</f>
        <v>6417.7657358646866</v>
      </c>
      <c r="BV28" s="189">
        <f>$BR$28*(1+Dados!$C$22)</f>
        <v>6417.7657358646866</v>
      </c>
      <c r="BW28" s="189">
        <f>$BR$28*(1+Dados!$C$22)</f>
        <v>6417.7657358646866</v>
      </c>
      <c r="BX28" s="189">
        <f>$BR$28*(1+Dados!$C$22)</f>
        <v>6417.7657358646866</v>
      </c>
      <c r="BY28" s="189">
        <f>$BR$28*(1+Dados!$C$22)</f>
        <v>6417.7657358646866</v>
      </c>
      <c r="BZ28" s="189">
        <f>$BR$28*(1+Dados!$C$22)</f>
        <v>6417.7657358646866</v>
      </c>
      <c r="CA28" s="189">
        <f>$BR$28*(1+Dados!$C$22)</f>
        <v>6417.7657358646866</v>
      </c>
      <c r="CB28" s="189">
        <f>$BR$28*(1+Dados!$C$22)</f>
        <v>6417.7657358646866</v>
      </c>
      <c r="CC28" s="189">
        <f>$BR$28*(1+Dados!$C$22)</f>
        <v>6417.7657358646866</v>
      </c>
      <c r="CD28" s="189">
        <f>$BR$28*(1+Dados!$C$22)</f>
        <v>6417.7657358646866</v>
      </c>
      <c r="CE28" s="189">
        <f>$CD$28*(1+Dados!$C$22)</f>
        <v>6610.2987079406275</v>
      </c>
      <c r="CF28" s="189">
        <f>$CD$28*(1+Dados!$C$22)</f>
        <v>6610.2987079406275</v>
      </c>
      <c r="CG28" s="189">
        <f>$CD$28*(1+Dados!$C$22)</f>
        <v>6610.2987079406275</v>
      </c>
      <c r="CH28" s="189">
        <f>$CD$28*(1+Dados!$C$22)</f>
        <v>6610.2987079406275</v>
      </c>
      <c r="CI28" s="189">
        <f>$CD$28*(1+Dados!$C$22)</f>
        <v>6610.2987079406275</v>
      </c>
      <c r="CJ28" s="189">
        <f>$CD$28*(1+Dados!$C$22)</f>
        <v>6610.2987079406275</v>
      </c>
      <c r="CK28" s="189">
        <f>$CD$28*(1+Dados!$C$22)</f>
        <v>6610.2987079406275</v>
      </c>
      <c r="CL28" s="189">
        <f>$CD$28*(1+Dados!$C$22)</f>
        <v>6610.2987079406275</v>
      </c>
      <c r="CM28" s="189">
        <f>$CD$28*(1+Dados!$C$22)</f>
        <v>6610.2987079406275</v>
      </c>
      <c r="CN28" s="189">
        <f>$CD$28*(1+Dados!$C$22)</f>
        <v>6610.2987079406275</v>
      </c>
      <c r="CO28" s="189">
        <f>$CD$28*(1+Dados!$C$22)</f>
        <v>6610.2987079406275</v>
      </c>
      <c r="CP28" s="189">
        <f>$CD$28*(1+Dados!$C$22)</f>
        <v>6610.2987079406275</v>
      </c>
      <c r="CQ28" s="13"/>
      <c r="CR28" s="13"/>
    </row>
    <row r="29" spans="1:1024 1048:2047 2049:3049 3073:4075 4099:5101 5125:6127 6151:7153 7177:8179 8203:9205 9229:10231 10255:11257 11281:12283 12307:13309 13333:14335 14359:16333" x14ac:dyDescent="0.25">
      <c r="F29" s="17">
        <f t="shared" si="106"/>
        <v>20</v>
      </c>
      <c r="G29" s="5"/>
      <c r="H29" s="4"/>
      <c r="I29" s="4"/>
      <c r="J29" s="15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</row>
    <row r="30" spans="1:1024 1048:2047 2049:3049 3073:4075 4099:5101 5125:6127 6151:7153 7177:8179 8203:9205 9229:10231 10255:11257 11281:12283 12307:13309 13333:14335 14359:16333" ht="47.25" x14ac:dyDescent="0.25">
      <c r="F30" s="17">
        <f t="shared" si="106"/>
        <v>21</v>
      </c>
      <c r="G30" s="31" t="s">
        <v>102</v>
      </c>
      <c r="H30" s="4"/>
      <c r="I30" s="4"/>
      <c r="J30" s="15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100" t="s">
        <v>103</v>
      </c>
    </row>
    <row r="31" spans="1:1024 1048:2047 2049:3049 3073:4075 4099:5101 5125:6127 6151:7153 7177:8179 8203:9205 9229:10231 10255:11257 11281:12283 12307:13309 13333:14335 14359:16333" x14ac:dyDescent="0.25">
      <c r="F31" s="17">
        <f t="shared" si="106"/>
        <v>22</v>
      </c>
      <c r="G31" s="12" t="s">
        <v>104</v>
      </c>
      <c r="H31" s="25"/>
      <c r="I31" s="25"/>
      <c r="J31" s="120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114">
        <v>0</v>
      </c>
    </row>
    <row r="32" spans="1:1024 1048:2047 2049:3049 3073:4075 4099:5101 5125:6127 6151:7153 7177:8179 8203:9205 9229:10231 10255:11257 11281:12283 12307:13309 13333:14335 14359:16333" x14ac:dyDescent="0.25">
      <c r="F32" s="17">
        <f t="shared" si="106"/>
        <v>23</v>
      </c>
      <c r="G32" s="12" t="s">
        <v>105</v>
      </c>
      <c r="H32" s="25"/>
      <c r="I32" s="25"/>
      <c r="J32" s="120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114">
        <f>H96</f>
        <v>43938.599441723716</v>
      </c>
    </row>
    <row r="33" spans="6:96" x14ac:dyDescent="0.25">
      <c r="F33" s="17">
        <f t="shared" si="106"/>
        <v>24</v>
      </c>
    </row>
    <row r="34" spans="6:96" x14ac:dyDescent="0.25">
      <c r="F34" s="17">
        <f t="shared" si="106"/>
        <v>25</v>
      </c>
      <c r="G34" s="33" t="s">
        <v>106</v>
      </c>
    </row>
    <row r="35" spans="6:96" x14ac:dyDescent="0.25">
      <c r="F35" s="17">
        <f t="shared" si="106"/>
        <v>26</v>
      </c>
      <c r="G35" s="156" t="s">
        <v>107</v>
      </c>
    </row>
    <row r="36" spans="6:96" x14ac:dyDescent="0.25">
      <c r="F36" s="17">
        <f t="shared" si="106"/>
        <v>27</v>
      </c>
      <c r="G36" s="12" t="s">
        <v>108</v>
      </c>
      <c r="H36" s="13">
        <f>Tributos!$B$5*SUM(H28)</f>
        <v>0</v>
      </c>
      <c r="I36" s="13">
        <f>Tributos!$B$5*SUM(I28)</f>
        <v>0</v>
      </c>
      <c r="J36" s="13">
        <f>Tributos!$B$5*SUM(J28)</f>
        <v>0</v>
      </c>
      <c r="K36" s="13">
        <f>Tributos!$B$5*SUM(K28)</f>
        <v>202.06477014549503</v>
      </c>
      <c r="L36" s="13">
        <f>Tributos!$B$5*SUM(L28)</f>
        <v>202.06477014549503</v>
      </c>
      <c r="M36" s="13">
        <f>Tributos!$B$5*SUM(M28)</f>
        <v>202.06477014549503</v>
      </c>
      <c r="N36" s="13">
        <f>Tributos!$B$5*SUM(N28)</f>
        <v>202.06477014549503</v>
      </c>
      <c r="O36" s="13">
        <f>Tributos!$B$5*SUM(O28)</f>
        <v>202.06477014549503</v>
      </c>
      <c r="P36" s="13">
        <f>Tributos!$B$5*SUM(P28)</f>
        <v>202.06477014549503</v>
      </c>
      <c r="Q36" s="13">
        <f>Tributos!$B$5*SUM(Q28)</f>
        <v>202.06477014549503</v>
      </c>
      <c r="R36" s="13">
        <f>Tributos!$B$5*SUM(R28)</f>
        <v>202.06477014549503</v>
      </c>
      <c r="S36" s="13">
        <f>Tributos!$B$5*SUM(S28)</f>
        <v>202.06477014549503</v>
      </c>
      <c r="T36" s="13">
        <f>Tributos!$B$5*SUM(T28)</f>
        <v>202.06477014549503</v>
      </c>
      <c r="U36" s="13">
        <f>Tributos!$B$5*SUM(U28)</f>
        <v>202.06477014549503</v>
      </c>
      <c r="V36" s="13">
        <f>Tributos!$B$5*SUM(V28)</f>
        <v>202.06477014549503</v>
      </c>
      <c r="W36" s="13">
        <f>Tributos!$B$5*SUM(W28)</f>
        <v>208.12671324985988</v>
      </c>
      <c r="X36" s="13">
        <f>Tributos!$B$5*SUM(X28)</f>
        <v>208.12671324985988</v>
      </c>
      <c r="Y36" s="13">
        <f>Tributos!$B$5*SUM(Y28)</f>
        <v>208.12671324985988</v>
      </c>
      <c r="Z36" s="13">
        <f>Tributos!$B$5*SUM(Z28)</f>
        <v>208.12671324985988</v>
      </c>
      <c r="AA36" s="13">
        <f>Tributos!$B$5*SUM(AA28)</f>
        <v>208.12671324985988</v>
      </c>
      <c r="AB36" s="13">
        <f>Tributos!$B$5*SUM(AB28)</f>
        <v>208.12671324985988</v>
      </c>
      <c r="AC36" s="13">
        <f>Tributos!$B$5*SUM(AC28)</f>
        <v>208.12671324985988</v>
      </c>
      <c r="AD36" s="13">
        <f>Tributos!$B$5*SUM(AD28)</f>
        <v>208.12671324985988</v>
      </c>
      <c r="AE36" s="13">
        <f>Tributos!$B$5*SUM(AE28)</f>
        <v>208.12671324985988</v>
      </c>
      <c r="AF36" s="13">
        <f>Tributos!$B$5*SUM(AF28)</f>
        <v>208.12671324985988</v>
      </c>
      <c r="AG36" s="13">
        <f>Tributos!$B$5*SUM(AG28)</f>
        <v>208.12671324985988</v>
      </c>
      <c r="AH36" s="13">
        <f>Tributos!$B$5*SUM(AH28)</f>
        <v>208.12671324985988</v>
      </c>
      <c r="AI36" s="13">
        <f>Tributos!$B$5*SUM(AI28)</f>
        <v>214.37051464735569</v>
      </c>
      <c r="AJ36" s="13">
        <f>Tributos!$B$5*SUM(AJ28)</f>
        <v>214.37051464735569</v>
      </c>
      <c r="AK36" s="13">
        <f>Tributos!$B$5*SUM(AK28)</f>
        <v>214.37051464735569</v>
      </c>
      <c r="AL36" s="13">
        <f>Tributos!$B$5*SUM(AL28)</f>
        <v>214.37051464735569</v>
      </c>
      <c r="AM36" s="13">
        <f>Tributos!$B$5*SUM(AM28)</f>
        <v>214.37051464735569</v>
      </c>
      <c r="AN36" s="13">
        <f>Tributos!$B$5*SUM(AN28)</f>
        <v>214.37051464735569</v>
      </c>
      <c r="AO36" s="13">
        <f>Tributos!$B$5*SUM(AO28)</f>
        <v>214.37051464735569</v>
      </c>
      <c r="AP36" s="13">
        <f>Tributos!$B$5*SUM(AP28)</f>
        <v>214.37051464735569</v>
      </c>
      <c r="AQ36" s="13">
        <f>Tributos!$B$5*SUM(AQ28)</f>
        <v>214.37051464735569</v>
      </c>
      <c r="AR36" s="13">
        <f>Tributos!$B$5*SUM(AR28)</f>
        <v>214.37051464735569</v>
      </c>
      <c r="AS36" s="13">
        <f>Tributos!$B$5*SUM(AS28)</f>
        <v>214.37051464735569</v>
      </c>
      <c r="AT36" s="13">
        <f>Tributos!$B$5*SUM(AT28)</f>
        <v>214.37051464735569</v>
      </c>
      <c r="AU36" s="13">
        <f>Tributos!$B$5*SUM(AU28)</f>
        <v>220.80163008677636</v>
      </c>
      <c r="AV36" s="13">
        <f>Tributos!$B$5*SUM(AV28)</f>
        <v>220.80163008677636</v>
      </c>
      <c r="AW36" s="13">
        <f>Tributos!$B$5*SUM(AW28)</f>
        <v>220.80163008677636</v>
      </c>
      <c r="AX36" s="13">
        <f>Tributos!$B$5*SUM(AX28)</f>
        <v>220.80163008677636</v>
      </c>
      <c r="AY36" s="13">
        <f>Tributos!$B$5*SUM(AY28)</f>
        <v>220.80163008677636</v>
      </c>
      <c r="AZ36" s="13">
        <f>Tributos!$B$5*SUM(AZ28)</f>
        <v>220.80163008677636</v>
      </c>
      <c r="BA36" s="13">
        <f>Tributos!$B$5*SUM(BA28)</f>
        <v>220.80163008677636</v>
      </c>
      <c r="BB36" s="13">
        <f>Tributos!$B$5*SUM(BB28)</f>
        <v>220.80163008677636</v>
      </c>
      <c r="BC36" s="13">
        <f>Tributos!$B$5*SUM(BC28)</f>
        <v>220.80163008677636</v>
      </c>
      <c r="BD36" s="13">
        <f>Tributos!$B$5*SUM(BD28)</f>
        <v>220.80163008677636</v>
      </c>
      <c r="BE36" s="13">
        <f>Tributos!$B$5*SUM(BE28)</f>
        <v>220.80163008677636</v>
      </c>
      <c r="BF36" s="13">
        <f>Tributos!$B$5*SUM(BF28)</f>
        <v>220.80163008677636</v>
      </c>
      <c r="BG36" s="13">
        <f>Tributos!$B$5*SUM(BG28)</f>
        <v>227.42567898937966</v>
      </c>
      <c r="BH36" s="13">
        <f>Tributos!$B$5*SUM(BH28)</f>
        <v>227.42567898937966</v>
      </c>
      <c r="BI36" s="13">
        <f>Tributos!$B$5*SUM(BI28)</f>
        <v>227.42567898937966</v>
      </c>
      <c r="BJ36" s="13">
        <f>Tributos!$B$5*SUM(BJ28)</f>
        <v>227.42567898937966</v>
      </c>
      <c r="BK36" s="13">
        <f>Tributos!$B$5*SUM(BK28)</f>
        <v>227.42567898937966</v>
      </c>
      <c r="BL36" s="13">
        <f>Tributos!$B$5*SUM(BL28)</f>
        <v>227.42567898937966</v>
      </c>
      <c r="BM36" s="13">
        <f>Tributos!$B$5*SUM(BM28)</f>
        <v>227.42567898937966</v>
      </c>
      <c r="BN36" s="13">
        <f>Tributos!$B$5*SUM(BN28)</f>
        <v>227.42567898937966</v>
      </c>
      <c r="BO36" s="13">
        <f>Tributos!$B$5*SUM(BO28)</f>
        <v>227.42567898937966</v>
      </c>
      <c r="BP36" s="13">
        <f>Tributos!$B$5*SUM(BP28)</f>
        <v>227.42567898937966</v>
      </c>
      <c r="BQ36" s="13">
        <f>Tributos!$B$5*SUM(BQ28)</f>
        <v>227.42567898937966</v>
      </c>
      <c r="BR36" s="13">
        <f>Tributos!$B$5*SUM(BR28)</f>
        <v>227.42567898937966</v>
      </c>
      <c r="BS36" s="13">
        <f>Tributos!$B$5*SUM(BS28)</f>
        <v>234.24844935906106</v>
      </c>
      <c r="BT36" s="13">
        <f>Tributos!$B$5*SUM(BT28)</f>
        <v>234.24844935906106</v>
      </c>
      <c r="BU36" s="13">
        <f>Tributos!$B$5*SUM(BU28)</f>
        <v>234.24844935906106</v>
      </c>
      <c r="BV36" s="13">
        <f>Tributos!$B$5*SUM(BV28)</f>
        <v>234.24844935906106</v>
      </c>
      <c r="BW36" s="13">
        <f>Tributos!$B$5*SUM(BW28)</f>
        <v>234.24844935906106</v>
      </c>
      <c r="BX36" s="13">
        <f>Tributos!$B$5*SUM(BX28)</f>
        <v>234.24844935906106</v>
      </c>
      <c r="BY36" s="13">
        <f>Tributos!$B$5*SUM(BY28)</f>
        <v>234.24844935906106</v>
      </c>
      <c r="BZ36" s="13">
        <f>Tributos!$B$5*SUM(BZ28)</f>
        <v>234.24844935906106</v>
      </c>
      <c r="CA36" s="13">
        <f>Tributos!$B$5*SUM(CA28)</f>
        <v>234.24844935906106</v>
      </c>
      <c r="CB36" s="13">
        <f>Tributos!$B$5*SUM(CB28)</f>
        <v>234.24844935906106</v>
      </c>
      <c r="CC36" s="13">
        <f>Tributos!$B$5*SUM(CC28)</f>
        <v>234.24844935906106</v>
      </c>
      <c r="CD36" s="13">
        <f>Tributos!$B$5*SUM(CD28)</f>
        <v>234.24844935906106</v>
      </c>
      <c r="CE36" s="13">
        <f>Tributos!$B$5*SUM(CE28)</f>
        <v>241.2759028398329</v>
      </c>
      <c r="CF36" s="13">
        <f>Tributos!$B$5*SUM(CF28)</f>
        <v>241.2759028398329</v>
      </c>
      <c r="CG36" s="13">
        <f>Tributos!$B$5*SUM(CG28)</f>
        <v>241.2759028398329</v>
      </c>
      <c r="CH36" s="13">
        <f>Tributos!$B$5*SUM(CH28)</f>
        <v>241.2759028398329</v>
      </c>
      <c r="CI36" s="13">
        <f>Tributos!$B$5*SUM(CI28)</f>
        <v>241.2759028398329</v>
      </c>
      <c r="CJ36" s="13">
        <f>Tributos!$B$5*SUM(CJ28)</f>
        <v>241.2759028398329</v>
      </c>
      <c r="CK36" s="13">
        <f>Tributos!$B$5*SUM(CK28)</f>
        <v>241.2759028398329</v>
      </c>
      <c r="CL36" s="13">
        <f>Tributos!$B$5*SUM(CL28)</f>
        <v>241.2759028398329</v>
      </c>
      <c r="CM36" s="13">
        <f>Tributos!$B$5*SUM(CM28)</f>
        <v>241.2759028398329</v>
      </c>
      <c r="CN36" s="13">
        <f>Tributos!$B$5*SUM(CN28)</f>
        <v>241.2759028398329</v>
      </c>
      <c r="CO36" s="13">
        <f>Tributos!$B$5*SUM(CO28)</f>
        <v>241.2759028398329</v>
      </c>
      <c r="CP36" s="13">
        <f>Tributos!$B$5*SUM(CP28)</f>
        <v>241.2759028398329</v>
      </c>
      <c r="CQ36" s="13">
        <f>Tributos!$B$5*SUM(CQ28)</f>
        <v>0</v>
      </c>
      <c r="CR36" s="13">
        <f>Tributos!$B$5*SUM(CR28)</f>
        <v>0</v>
      </c>
    </row>
    <row r="37" spans="6:96" x14ac:dyDescent="0.25">
      <c r="F37" s="17">
        <f t="shared" si="106"/>
        <v>28</v>
      </c>
    </row>
    <row r="38" spans="6:96" x14ac:dyDescent="0.25">
      <c r="F38" s="17">
        <f t="shared" si="106"/>
        <v>29</v>
      </c>
      <c r="G38" s="160" t="s">
        <v>109</v>
      </c>
    </row>
    <row r="39" spans="6:96" x14ac:dyDescent="0.25">
      <c r="F39" s="17">
        <f t="shared" si="106"/>
        <v>30</v>
      </c>
      <c r="G39" s="31" t="s">
        <v>110</v>
      </c>
    </row>
    <row r="40" spans="6:96" x14ac:dyDescent="0.25">
      <c r="F40" s="17">
        <f t="shared" si="106"/>
        <v>31</v>
      </c>
      <c r="G40" s="12"/>
      <c r="H40" s="25">
        <f t="shared" ref="H40:AS40" si="118">SUM(H28)-H36</f>
        <v>0</v>
      </c>
      <c r="I40" s="25">
        <f t="shared" si="118"/>
        <v>0</v>
      </c>
      <c r="J40" s="25">
        <f t="shared" si="118"/>
        <v>0</v>
      </c>
      <c r="K40" s="25">
        <f t="shared" si="118"/>
        <v>5333.9563297310815</v>
      </c>
      <c r="L40" s="25">
        <f t="shared" si="118"/>
        <v>5333.9563297310815</v>
      </c>
      <c r="M40" s="25">
        <f t="shared" si="118"/>
        <v>5333.9563297310815</v>
      </c>
      <c r="N40" s="25">
        <f t="shared" si="118"/>
        <v>5333.9563297310815</v>
      </c>
      <c r="O40" s="25">
        <f t="shared" si="118"/>
        <v>5333.9563297310815</v>
      </c>
      <c r="P40" s="25">
        <f t="shared" si="118"/>
        <v>5333.9563297310815</v>
      </c>
      <c r="Q40" s="25">
        <f t="shared" si="118"/>
        <v>5333.9563297310815</v>
      </c>
      <c r="R40" s="25">
        <f t="shared" si="118"/>
        <v>5333.9563297310815</v>
      </c>
      <c r="S40" s="25">
        <f t="shared" si="118"/>
        <v>5333.9563297310815</v>
      </c>
      <c r="T40" s="25">
        <f t="shared" si="118"/>
        <v>5333.9563297310815</v>
      </c>
      <c r="U40" s="25">
        <f t="shared" si="118"/>
        <v>5333.9563297310815</v>
      </c>
      <c r="V40" s="25">
        <f t="shared" si="118"/>
        <v>5333.9563297310815</v>
      </c>
      <c r="W40" s="25">
        <f t="shared" si="118"/>
        <v>5493.9750196230143</v>
      </c>
      <c r="X40" s="25">
        <f t="shared" si="118"/>
        <v>5493.9750196230143</v>
      </c>
      <c r="Y40" s="25">
        <f t="shared" si="118"/>
        <v>5493.9750196230143</v>
      </c>
      <c r="Z40" s="25">
        <f t="shared" si="118"/>
        <v>5493.9750196230143</v>
      </c>
      <c r="AA40" s="25">
        <f t="shared" si="118"/>
        <v>5493.9750196230143</v>
      </c>
      <c r="AB40" s="25">
        <f t="shared" si="118"/>
        <v>5493.9750196230143</v>
      </c>
      <c r="AC40" s="25">
        <f t="shared" si="118"/>
        <v>5493.9750196230143</v>
      </c>
      <c r="AD40" s="25">
        <f t="shared" si="118"/>
        <v>5493.9750196230143</v>
      </c>
      <c r="AE40" s="25">
        <f t="shared" si="118"/>
        <v>5493.9750196230143</v>
      </c>
      <c r="AF40" s="25">
        <f t="shared" si="118"/>
        <v>5493.9750196230143</v>
      </c>
      <c r="AG40" s="25">
        <f t="shared" si="118"/>
        <v>5493.9750196230143</v>
      </c>
      <c r="AH40" s="25">
        <f t="shared" si="118"/>
        <v>5493.9750196230143</v>
      </c>
      <c r="AI40" s="25">
        <f t="shared" ref="AI40:AN40" si="119">SUM(AI28)-AI36</f>
        <v>5658.7942702117043</v>
      </c>
      <c r="AJ40" s="25">
        <f t="shared" si="119"/>
        <v>5658.7942702117043</v>
      </c>
      <c r="AK40" s="25">
        <f t="shared" si="119"/>
        <v>5658.7942702117043</v>
      </c>
      <c r="AL40" s="25">
        <f t="shared" si="119"/>
        <v>5658.7942702117043</v>
      </c>
      <c r="AM40" s="25">
        <f t="shared" si="119"/>
        <v>5658.7942702117043</v>
      </c>
      <c r="AN40" s="25">
        <f t="shared" si="119"/>
        <v>5658.7942702117043</v>
      </c>
      <c r="AO40" s="25">
        <f t="shared" si="118"/>
        <v>5658.7942702117043</v>
      </c>
      <c r="AP40" s="25">
        <f t="shared" si="118"/>
        <v>5658.7942702117043</v>
      </c>
      <c r="AQ40" s="25">
        <f t="shared" si="118"/>
        <v>5658.7942702117043</v>
      </c>
      <c r="AR40" s="25">
        <f t="shared" si="118"/>
        <v>5658.7942702117043</v>
      </c>
      <c r="AS40" s="25">
        <f t="shared" si="118"/>
        <v>5658.7942702117043</v>
      </c>
      <c r="AT40" s="25">
        <f t="shared" ref="AT40" si="120">SUM(AT28)-AT36</f>
        <v>5658.7942702117043</v>
      </c>
      <c r="AU40" s="25">
        <f t="shared" ref="AU40:AZ40" si="121">SUM(AU28)-AU36</f>
        <v>5828.5580983180553</v>
      </c>
      <c r="AV40" s="25">
        <f t="shared" si="121"/>
        <v>5828.5580983180553</v>
      </c>
      <c r="AW40" s="25">
        <f t="shared" si="121"/>
        <v>5828.5580983180553</v>
      </c>
      <c r="AX40" s="25">
        <f t="shared" si="121"/>
        <v>5828.5580983180553</v>
      </c>
      <c r="AY40" s="25">
        <f t="shared" si="121"/>
        <v>5828.5580983180553</v>
      </c>
      <c r="AZ40" s="25">
        <f t="shared" si="121"/>
        <v>5828.5580983180553</v>
      </c>
      <c r="BA40" s="25">
        <f t="shared" ref="BA40:BF40" si="122">SUM(BA28)-BA36</f>
        <v>5828.5580983180553</v>
      </c>
      <c r="BB40" s="25">
        <f t="shared" si="122"/>
        <v>5828.5580983180553</v>
      </c>
      <c r="BC40" s="25">
        <f t="shared" si="122"/>
        <v>5828.5580983180553</v>
      </c>
      <c r="BD40" s="25">
        <f t="shared" si="122"/>
        <v>5828.5580983180553</v>
      </c>
      <c r="BE40" s="25">
        <f t="shared" si="122"/>
        <v>5828.5580983180553</v>
      </c>
      <c r="BF40" s="25">
        <f t="shared" si="122"/>
        <v>5828.5580983180553</v>
      </c>
      <c r="BG40" s="25">
        <f t="shared" ref="BG40:BL40" si="123">SUM(BG28)-BG36</f>
        <v>6003.4148412675977</v>
      </c>
      <c r="BH40" s="25">
        <f t="shared" si="123"/>
        <v>6003.4148412675977</v>
      </c>
      <c r="BI40" s="25">
        <f t="shared" si="123"/>
        <v>6003.4148412675977</v>
      </c>
      <c r="BJ40" s="25">
        <f t="shared" si="123"/>
        <v>6003.4148412675977</v>
      </c>
      <c r="BK40" s="25">
        <f t="shared" si="123"/>
        <v>6003.4148412675977</v>
      </c>
      <c r="BL40" s="25">
        <f t="shared" si="123"/>
        <v>6003.4148412675977</v>
      </c>
      <c r="BM40" s="25">
        <f t="shared" ref="BM40:CC40" si="124">SUM(BM28)-BM36</f>
        <v>6003.4148412675977</v>
      </c>
      <c r="BN40" s="25">
        <f t="shared" si="124"/>
        <v>6003.4148412675977</v>
      </c>
      <c r="BO40" s="25">
        <f t="shared" si="124"/>
        <v>6003.4148412675977</v>
      </c>
      <c r="BP40" s="25">
        <f t="shared" ref="BP40:BQ40" si="125">SUM(BP28)-BP36</f>
        <v>6003.4148412675977</v>
      </c>
      <c r="BQ40" s="25">
        <f t="shared" si="125"/>
        <v>6003.4148412675977</v>
      </c>
      <c r="BR40" s="25">
        <f t="shared" si="124"/>
        <v>6003.4148412675977</v>
      </c>
      <c r="BS40" s="25">
        <f t="shared" ref="BS40:BT40" si="126">SUM(BS28)-BS36</f>
        <v>6183.5172865056256</v>
      </c>
      <c r="BT40" s="25">
        <f t="shared" si="126"/>
        <v>6183.5172865056256</v>
      </c>
      <c r="BU40" s="25">
        <f t="shared" si="124"/>
        <v>6183.5172865056256</v>
      </c>
      <c r="BV40" s="25">
        <f t="shared" si="124"/>
        <v>6183.5172865056256</v>
      </c>
      <c r="BW40" s="25">
        <f t="shared" si="124"/>
        <v>6183.5172865056256</v>
      </c>
      <c r="BX40" s="25">
        <f t="shared" si="124"/>
        <v>6183.5172865056256</v>
      </c>
      <c r="BY40" s="25">
        <f t="shared" si="124"/>
        <v>6183.5172865056256</v>
      </c>
      <c r="BZ40" s="25">
        <f t="shared" si="124"/>
        <v>6183.5172865056256</v>
      </c>
      <c r="CA40" s="25">
        <f t="shared" si="124"/>
        <v>6183.5172865056256</v>
      </c>
      <c r="CB40" s="25">
        <f t="shared" si="124"/>
        <v>6183.5172865056256</v>
      </c>
      <c r="CC40" s="25">
        <f t="shared" si="124"/>
        <v>6183.5172865056256</v>
      </c>
      <c r="CD40" s="25">
        <f t="shared" ref="CD40:CI40" si="127">SUM(CD28)-CD36</f>
        <v>6183.5172865056256</v>
      </c>
      <c r="CE40" s="25">
        <f t="shared" si="127"/>
        <v>6369.0228051007944</v>
      </c>
      <c r="CF40" s="25">
        <f t="shared" si="127"/>
        <v>6369.0228051007944</v>
      </c>
      <c r="CG40" s="25">
        <f t="shared" si="127"/>
        <v>6369.0228051007944</v>
      </c>
      <c r="CH40" s="25">
        <f t="shared" si="127"/>
        <v>6369.0228051007944</v>
      </c>
      <c r="CI40" s="25">
        <f t="shared" si="127"/>
        <v>6369.0228051007944</v>
      </c>
      <c r="CJ40" s="25">
        <f t="shared" ref="CJ40:CO40" si="128">SUM(CJ28)-CJ36</f>
        <v>6369.0228051007944</v>
      </c>
      <c r="CK40" s="25">
        <f t="shared" si="128"/>
        <v>6369.0228051007944</v>
      </c>
      <c r="CL40" s="25">
        <f t="shared" si="128"/>
        <v>6369.0228051007944</v>
      </c>
      <c r="CM40" s="25">
        <f t="shared" si="128"/>
        <v>6369.0228051007944</v>
      </c>
      <c r="CN40" s="25">
        <f t="shared" ref="CN40" si="129">SUM(CN28)-CN36</f>
        <v>6369.0228051007944</v>
      </c>
      <c r="CO40" s="25">
        <f t="shared" si="128"/>
        <v>6369.0228051007944</v>
      </c>
      <c r="CP40" s="25">
        <f>SUM(CP28)-CP36</f>
        <v>6369.0228051007944</v>
      </c>
      <c r="CQ40" s="25">
        <f>SUM(CQ28)-CQ36</f>
        <v>0</v>
      </c>
      <c r="CR40" s="25">
        <f>SUM(CR28)-CR36</f>
        <v>0</v>
      </c>
    </row>
    <row r="41" spans="6:96" x14ac:dyDescent="0.25">
      <c r="F41" s="17">
        <f t="shared" si="106"/>
        <v>32</v>
      </c>
      <c r="G41" s="31" t="s">
        <v>111</v>
      </c>
    </row>
    <row r="42" spans="6:96" x14ac:dyDescent="0.25">
      <c r="F42" s="17">
        <f t="shared" si="106"/>
        <v>33</v>
      </c>
      <c r="G42" s="12"/>
      <c r="H42" s="25">
        <f>SUM(H31:H32)</f>
        <v>0</v>
      </c>
      <c r="I42" s="25">
        <f t="shared" ref="I42:AS42" si="130">SUM(I31:I32)</f>
        <v>0</v>
      </c>
      <c r="J42" s="25">
        <f t="shared" si="130"/>
        <v>0</v>
      </c>
      <c r="K42" s="25">
        <f t="shared" si="130"/>
        <v>0</v>
      </c>
      <c r="L42" s="25">
        <f t="shared" si="130"/>
        <v>0</v>
      </c>
      <c r="M42" s="25">
        <f t="shared" si="130"/>
        <v>0</v>
      </c>
      <c r="N42" s="25">
        <f t="shared" si="130"/>
        <v>0</v>
      </c>
      <c r="O42" s="25">
        <f t="shared" si="130"/>
        <v>0</v>
      </c>
      <c r="P42" s="25">
        <f t="shared" si="130"/>
        <v>0</v>
      </c>
      <c r="Q42" s="25">
        <f t="shared" si="130"/>
        <v>0</v>
      </c>
      <c r="R42" s="25">
        <f t="shared" si="130"/>
        <v>0</v>
      </c>
      <c r="S42" s="25">
        <f t="shared" si="130"/>
        <v>0</v>
      </c>
      <c r="T42" s="25">
        <f t="shared" si="130"/>
        <v>0</v>
      </c>
      <c r="U42" s="25">
        <f t="shared" si="130"/>
        <v>0</v>
      </c>
      <c r="V42" s="25">
        <f t="shared" si="130"/>
        <v>0</v>
      </c>
      <c r="W42" s="25">
        <f t="shared" si="130"/>
        <v>0</v>
      </c>
      <c r="X42" s="25">
        <f t="shared" si="130"/>
        <v>0</v>
      </c>
      <c r="Y42" s="25">
        <f t="shared" si="130"/>
        <v>0</v>
      </c>
      <c r="Z42" s="25">
        <f t="shared" si="130"/>
        <v>0</v>
      </c>
      <c r="AA42" s="25">
        <f t="shared" si="130"/>
        <v>0</v>
      </c>
      <c r="AB42" s="25">
        <f t="shared" si="130"/>
        <v>0</v>
      </c>
      <c r="AC42" s="25">
        <f t="shared" si="130"/>
        <v>0</v>
      </c>
      <c r="AD42" s="25">
        <f t="shared" si="130"/>
        <v>0</v>
      </c>
      <c r="AE42" s="25">
        <f t="shared" si="130"/>
        <v>0</v>
      </c>
      <c r="AF42" s="25">
        <f t="shared" si="130"/>
        <v>0</v>
      </c>
      <c r="AG42" s="25">
        <f t="shared" si="130"/>
        <v>0</v>
      </c>
      <c r="AH42" s="25">
        <f t="shared" si="130"/>
        <v>0</v>
      </c>
      <c r="AI42" s="25">
        <f t="shared" ref="AI42:AN42" si="131">SUM(AI31:AI32)</f>
        <v>0</v>
      </c>
      <c r="AJ42" s="25">
        <f t="shared" si="131"/>
        <v>0</v>
      </c>
      <c r="AK42" s="25">
        <f t="shared" si="131"/>
        <v>0</v>
      </c>
      <c r="AL42" s="25">
        <f t="shared" si="131"/>
        <v>0</v>
      </c>
      <c r="AM42" s="25">
        <f t="shared" si="131"/>
        <v>0</v>
      </c>
      <c r="AN42" s="25">
        <f t="shared" si="131"/>
        <v>0</v>
      </c>
      <c r="AO42" s="25">
        <f t="shared" si="130"/>
        <v>0</v>
      </c>
      <c r="AP42" s="25">
        <f t="shared" si="130"/>
        <v>0</v>
      </c>
      <c r="AQ42" s="25">
        <f t="shared" si="130"/>
        <v>0</v>
      </c>
      <c r="AR42" s="25">
        <f t="shared" si="130"/>
        <v>0</v>
      </c>
      <c r="AS42" s="25">
        <f t="shared" si="130"/>
        <v>0</v>
      </c>
      <c r="AT42" s="25">
        <f t="shared" ref="AT42:BE42" si="132">SUM(AT31:AT32)</f>
        <v>0</v>
      </c>
      <c r="AU42" s="25">
        <f t="shared" si="132"/>
        <v>0</v>
      </c>
      <c r="AV42" s="25">
        <f t="shared" si="132"/>
        <v>0</v>
      </c>
      <c r="AW42" s="25">
        <f t="shared" si="132"/>
        <v>0</v>
      </c>
      <c r="AX42" s="25">
        <f t="shared" si="132"/>
        <v>0</v>
      </c>
      <c r="AY42" s="25">
        <f t="shared" si="132"/>
        <v>0</v>
      </c>
      <c r="AZ42" s="25">
        <f t="shared" si="132"/>
        <v>0</v>
      </c>
      <c r="BA42" s="25">
        <f t="shared" si="132"/>
        <v>0</v>
      </c>
      <c r="BB42" s="25">
        <f t="shared" si="132"/>
        <v>0</v>
      </c>
      <c r="BC42" s="25">
        <f t="shared" si="132"/>
        <v>0</v>
      </c>
      <c r="BD42" s="25">
        <f t="shared" si="132"/>
        <v>0</v>
      </c>
      <c r="BE42" s="25">
        <f t="shared" si="132"/>
        <v>0</v>
      </c>
      <c r="BF42" s="25">
        <f t="shared" ref="BF42:BV42" si="133">SUM(BF31:BF32)</f>
        <v>0</v>
      </c>
      <c r="BG42" s="25">
        <f t="shared" si="133"/>
        <v>0</v>
      </c>
      <c r="BH42" s="25">
        <f t="shared" si="133"/>
        <v>0</v>
      </c>
      <c r="BI42" s="25">
        <f t="shared" si="133"/>
        <v>0</v>
      </c>
      <c r="BJ42" s="25">
        <f t="shared" si="133"/>
        <v>0</v>
      </c>
      <c r="BK42" s="25">
        <f t="shared" si="133"/>
        <v>0</v>
      </c>
      <c r="BL42" s="25">
        <f t="shared" si="133"/>
        <v>0</v>
      </c>
      <c r="BM42" s="25">
        <f t="shared" si="133"/>
        <v>0</v>
      </c>
      <c r="BN42" s="25">
        <f t="shared" si="133"/>
        <v>0</v>
      </c>
      <c r="BO42" s="25">
        <f t="shared" si="133"/>
        <v>0</v>
      </c>
      <c r="BP42" s="25">
        <f t="shared" ref="BP42:BQ42" si="134">SUM(BP31:BP32)</f>
        <v>0</v>
      </c>
      <c r="BQ42" s="25">
        <f t="shared" si="134"/>
        <v>0</v>
      </c>
      <c r="BR42" s="25">
        <f t="shared" si="133"/>
        <v>0</v>
      </c>
      <c r="BS42" s="25">
        <f t="shared" ref="BS42:BT42" si="135">SUM(BS31:BS32)</f>
        <v>0</v>
      </c>
      <c r="BT42" s="25">
        <f t="shared" si="135"/>
        <v>0</v>
      </c>
      <c r="BU42" s="25">
        <f t="shared" si="133"/>
        <v>0</v>
      </c>
      <c r="BV42" s="25">
        <f t="shared" si="133"/>
        <v>0</v>
      </c>
      <c r="BW42" s="25">
        <f t="shared" ref="BW42:CH42" si="136">SUM(BW31:BW32)</f>
        <v>0</v>
      </c>
      <c r="BX42" s="25">
        <f t="shared" si="136"/>
        <v>0</v>
      </c>
      <c r="BY42" s="25">
        <f t="shared" si="136"/>
        <v>0</v>
      </c>
      <c r="BZ42" s="25">
        <f t="shared" si="136"/>
        <v>0</v>
      </c>
      <c r="CA42" s="25">
        <f t="shared" si="136"/>
        <v>0</v>
      </c>
      <c r="CB42" s="25">
        <f t="shared" si="136"/>
        <v>0</v>
      </c>
      <c r="CC42" s="25">
        <f t="shared" si="136"/>
        <v>0</v>
      </c>
      <c r="CD42" s="25">
        <f t="shared" si="136"/>
        <v>0</v>
      </c>
      <c r="CE42" s="25">
        <f t="shared" si="136"/>
        <v>0</v>
      </c>
      <c r="CF42" s="25">
        <f t="shared" si="136"/>
        <v>0</v>
      </c>
      <c r="CG42" s="25">
        <f t="shared" si="136"/>
        <v>0</v>
      </c>
      <c r="CH42" s="25">
        <f t="shared" si="136"/>
        <v>0</v>
      </c>
      <c r="CI42" s="25">
        <f t="shared" ref="CI42:CO42" si="137">SUM(CI31:CI32)</f>
        <v>0</v>
      </c>
      <c r="CJ42" s="25">
        <f t="shared" si="137"/>
        <v>0</v>
      </c>
      <c r="CK42" s="25">
        <f t="shared" si="137"/>
        <v>0</v>
      </c>
      <c r="CL42" s="25">
        <f t="shared" si="137"/>
        <v>0</v>
      </c>
      <c r="CM42" s="25">
        <f t="shared" si="137"/>
        <v>0</v>
      </c>
      <c r="CN42" s="25">
        <f t="shared" ref="CN42" si="138">SUM(CN31:CN32)</f>
        <v>0</v>
      </c>
      <c r="CO42" s="25">
        <f t="shared" si="137"/>
        <v>0</v>
      </c>
      <c r="CP42" s="25">
        <f>SUM(CP31:CP32)</f>
        <v>0</v>
      </c>
      <c r="CQ42" s="25">
        <f>SUM(CQ31:CQ32)</f>
        <v>0</v>
      </c>
      <c r="CR42" s="25">
        <f>SUM(CR31:CR32)</f>
        <v>43938.599441723716</v>
      </c>
    </row>
    <row r="43" spans="6:96" x14ac:dyDescent="0.25">
      <c r="F43" s="17">
        <f t="shared" si="106"/>
        <v>34</v>
      </c>
    </row>
    <row r="44" spans="6:96" x14ac:dyDescent="0.25">
      <c r="F44" s="17">
        <f t="shared" si="106"/>
        <v>35</v>
      </c>
      <c r="G44" s="32" t="s">
        <v>112</v>
      </c>
    </row>
    <row r="45" spans="6:96" x14ac:dyDescent="0.25">
      <c r="F45" s="17">
        <f t="shared" si="106"/>
        <v>36</v>
      </c>
      <c r="G45" s="27"/>
      <c r="H45" s="27">
        <f>H28-H13-H11</f>
        <v>0</v>
      </c>
      <c r="I45" s="27">
        <f t="shared" ref="I45:AS45" si="139">I28-I13-I11</f>
        <v>-10471.769729720105</v>
      </c>
      <c r="J45" s="27">
        <f t="shared" si="139"/>
        <v>-5732.4197297201054</v>
      </c>
      <c r="K45" s="27">
        <f t="shared" si="139"/>
        <v>-196.3986298435284</v>
      </c>
      <c r="L45" s="27">
        <f t="shared" si="139"/>
        <v>-196.3986298435284</v>
      </c>
      <c r="M45" s="27">
        <f t="shared" si="139"/>
        <v>-196.3986298435284</v>
      </c>
      <c r="N45" s="27">
        <f t="shared" si="139"/>
        <v>-196.3986298435284</v>
      </c>
      <c r="O45" s="27">
        <f t="shared" si="139"/>
        <v>-196.3986298435284</v>
      </c>
      <c r="P45" s="27">
        <f t="shared" si="139"/>
        <v>-196.3986298435284</v>
      </c>
      <c r="Q45" s="27">
        <f t="shared" si="139"/>
        <v>-196.3986298435284</v>
      </c>
      <c r="R45" s="27">
        <f t="shared" si="139"/>
        <v>-196.3986298435284</v>
      </c>
      <c r="S45" s="27">
        <f t="shared" si="139"/>
        <v>-196.3986298435284</v>
      </c>
      <c r="T45" s="27">
        <f t="shared" si="139"/>
        <v>-196.3986298435284</v>
      </c>
      <c r="U45" s="27">
        <f t="shared" si="139"/>
        <v>-4935.7486298435288</v>
      </c>
      <c r="V45" s="27">
        <f t="shared" si="139"/>
        <v>-196.3986298435284</v>
      </c>
      <c r="W45" s="27">
        <f t="shared" si="139"/>
        <v>-30.31799684723137</v>
      </c>
      <c r="X45" s="27">
        <f t="shared" si="139"/>
        <v>-30.31799684723137</v>
      </c>
      <c r="Y45" s="27">
        <f t="shared" si="139"/>
        <v>-30.31799684723137</v>
      </c>
      <c r="Z45" s="27">
        <f t="shared" si="139"/>
        <v>-30.31799684723137</v>
      </c>
      <c r="AA45" s="27">
        <f t="shared" si="139"/>
        <v>-30.31799684723137</v>
      </c>
      <c r="AB45" s="27">
        <f t="shared" si="139"/>
        <v>-30.31799684723137</v>
      </c>
      <c r="AC45" s="27">
        <f t="shared" si="139"/>
        <v>-30.31799684723137</v>
      </c>
      <c r="AD45" s="27">
        <f t="shared" si="139"/>
        <v>-30.31799684723137</v>
      </c>
      <c r="AE45" s="27">
        <f t="shared" si="139"/>
        <v>-30.31799684723137</v>
      </c>
      <c r="AF45" s="27">
        <f t="shared" si="139"/>
        <v>-30.31799684723137</v>
      </c>
      <c r="AG45" s="27">
        <f t="shared" si="139"/>
        <v>-4208.7654968472316</v>
      </c>
      <c r="AH45" s="27">
        <f t="shared" si="139"/>
        <v>-30.31799684723137</v>
      </c>
      <c r="AI45" s="27">
        <f t="shared" ref="AI45:AN45" si="140">AI28-AI13-AI11</f>
        <v>140.74505513895474</v>
      </c>
      <c r="AJ45" s="27">
        <f t="shared" si="140"/>
        <v>140.74505513895474</v>
      </c>
      <c r="AK45" s="27">
        <f t="shared" si="140"/>
        <v>140.74505513895474</v>
      </c>
      <c r="AL45" s="27">
        <f t="shared" si="140"/>
        <v>140.74505513895474</v>
      </c>
      <c r="AM45" s="27">
        <f t="shared" si="140"/>
        <v>140.74505513895474</v>
      </c>
      <c r="AN45" s="27">
        <f t="shared" si="140"/>
        <v>140.74505513895474</v>
      </c>
      <c r="AO45" s="27">
        <f t="shared" si="139"/>
        <v>140.74505513895474</v>
      </c>
      <c r="AP45" s="27">
        <f t="shared" si="139"/>
        <v>140.74505513895474</v>
      </c>
      <c r="AQ45" s="27">
        <f t="shared" si="139"/>
        <v>140.74505513895474</v>
      </c>
      <c r="AR45" s="27">
        <f t="shared" si="139"/>
        <v>140.74505513895474</v>
      </c>
      <c r="AS45" s="27">
        <f t="shared" si="139"/>
        <v>-3560.9353198610447</v>
      </c>
      <c r="AT45" s="27">
        <f t="shared" ref="AT45:BE45" si="141">AT28-AT13-AT11</f>
        <v>140.74505513895474</v>
      </c>
      <c r="AU45" s="27">
        <f t="shared" si="141"/>
        <v>316.93999868472656</v>
      </c>
      <c r="AV45" s="27">
        <f t="shared" si="141"/>
        <v>316.93999868472656</v>
      </c>
      <c r="AW45" s="27">
        <f t="shared" si="141"/>
        <v>316.93999868472656</v>
      </c>
      <c r="AX45" s="27">
        <f t="shared" si="141"/>
        <v>316.93999868472656</v>
      </c>
      <c r="AY45" s="27">
        <f t="shared" si="141"/>
        <v>316.93999868472656</v>
      </c>
      <c r="AZ45" s="27">
        <f t="shared" si="141"/>
        <v>316.93999868472656</v>
      </c>
      <c r="BA45" s="27">
        <f t="shared" si="141"/>
        <v>316.93999868472656</v>
      </c>
      <c r="BB45" s="27">
        <f t="shared" si="141"/>
        <v>316.93999868472656</v>
      </c>
      <c r="BC45" s="27">
        <f t="shared" si="141"/>
        <v>316.93999868472656</v>
      </c>
      <c r="BD45" s="27">
        <f t="shared" si="141"/>
        <v>316.93999868472656</v>
      </c>
      <c r="BE45" s="27">
        <f t="shared" si="141"/>
        <v>-2979.488320065273</v>
      </c>
      <c r="BF45" s="27">
        <f t="shared" ref="BF45:BV45" si="142">BF28-BF13-BF11</f>
        <v>316.93999868472656</v>
      </c>
      <c r="BG45" s="27">
        <f t="shared" si="142"/>
        <v>498.42079053687212</v>
      </c>
      <c r="BH45" s="27">
        <f t="shared" si="142"/>
        <v>498.42079053687212</v>
      </c>
      <c r="BI45" s="27">
        <f t="shared" si="142"/>
        <v>498.42079053687212</v>
      </c>
      <c r="BJ45" s="27">
        <f t="shared" si="142"/>
        <v>498.42079053687212</v>
      </c>
      <c r="BK45" s="27">
        <f t="shared" si="142"/>
        <v>498.42079053687212</v>
      </c>
      <c r="BL45" s="27">
        <f t="shared" si="142"/>
        <v>498.42079053687212</v>
      </c>
      <c r="BM45" s="27">
        <f t="shared" si="142"/>
        <v>498.42079053687212</v>
      </c>
      <c r="BN45" s="27">
        <f t="shared" si="142"/>
        <v>498.42079053687212</v>
      </c>
      <c r="BO45" s="27">
        <f t="shared" si="142"/>
        <v>498.42079053687212</v>
      </c>
      <c r="BP45" s="27">
        <f t="shared" ref="BP45:BQ45" si="143">BP28-BP13-BP11</f>
        <v>498.42079053687212</v>
      </c>
      <c r="BQ45" s="27">
        <f t="shared" si="143"/>
        <v>3278.8764493194776</v>
      </c>
      <c r="BR45" s="27">
        <f t="shared" si="142"/>
        <v>6230.8405202569775</v>
      </c>
      <c r="BS45" s="27">
        <f t="shared" ref="BS45:BT45" si="144">BS28-BS13-BS11</f>
        <v>6417.7657358646866</v>
      </c>
      <c r="BT45" s="27">
        <f t="shared" si="144"/>
        <v>6417.7657358646866</v>
      </c>
      <c r="BU45" s="27">
        <f t="shared" si="142"/>
        <v>6417.7657358646866</v>
      </c>
      <c r="BV45" s="27">
        <f t="shared" si="142"/>
        <v>6417.7657358646866</v>
      </c>
      <c r="BW45" s="27">
        <f t="shared" ref="BW45:CH45" si="145">BW28-BW13-BW11</f>
        <v>6417.7657358646866</v>
      </c>
      <c r="BX45" s="27">
        <f t="shared" si="145"/>
        <v>6417.7657358646866</v>
      </c>
      <c r="BY45" s="27">
        <f t="shared" si="145"/>
        <v>6417.7657358646866</v>
      </c>
      <c r="BZ45" s="27">
        <f t="shared" si="145"/>
        <v>6417.7657358646866</v>
      </c>
      <c r="CA45" s="27">
        <f t="shared" si="145"/>
        <v>6417.7657358646866</v>
      </c>
      <c r="CB45" s="27">
        <f t="shared" si="145"/>
        <v>6417.7657358646866</v>
      </c>
      <c r="CC45" s="27">
        <f t="shared" si="145"/>
        <v>3758.596275567812</v>
      </c>
      <c r="CD45" s="27">
        <f t="shared" si="145"/>
        <v>6417.7657358646866</v>
      </c>
      <c r="CE45" s="27">
        <f t="shared" si="145"/>
        <v>6610.2987079406275</v>
      </c>
      <c r="CF45" s="27">
        <f t="shared" si="145"/>
        <v>6610.2987079406275</v>
      </c>
      <c r="CG45" s="27">
        <f t="shared" si="145"/>
        <v>6610.2987079406275</v>
      </c>
      <c r="CH45" s="27">
        <f t="shared" si="145"/>
        <v>6610.2987079406275</v>
      </c>
      <c r="CI45" s="27">
        <f t="shared" ref="CI45:CO45" si="146">CI28-CI13-CI11</f>
        <v>6610.2987079406275</v>
      </c>
      <c r="CJ45" s="27">
        <f t="shared" si="146"/>
        <v>6610.2987079406275</v>
      </c>
      <c r="CK45" s="27">
        <f t="shared" si="146"/>
        <v>6610.2987079406275</v>
      </c>
      <c r="CL45" s="27">
        <f t="shared" si="146"/>
        <v>6610.2987079406275</v>
      </c>
      <c r="CM45" s="27">
        <f t="shared" si="146"/>
        <v>6610.2987079406275</v>
      </c>
      <c r="CN45" s="27">
        <f t="shared" ref="CN45" si="147">CN28-CN13-CN11</f>
        <v>6610.2987079406275</v>
      </c>
      <c r="CO45" s="27">
        <f t="shared" si="146"/>
        <v>4200.0046666882845</v>
      </c>
      <c r="CP45" s="27">
        <f>CP28-CP13-CP11</f>
        <v>6610.2987079406275</v>
      </c>
      <c r="CQ45" s="27">
        <f>CQ28-CQ13-CQ11</f>
        <v>0</v>
      </c>
      <c r="CR45" s="27">
        <f>CR28-CR13-CR11</f>
        <v>0</v>
      </c>
    </row>
    <row r="46" spans="6:96" x14ac:dyDescent="0.25">
      <c r="F46" s="17">
        <f t="shared" si="106"/>
        <v>37</v>
      </c>
    </row>
    <row r="47" spans="6:96" x14ac:dyDescent="0.25">
      <c r="F47" s="17">
        <f t="shared" si="106"/>
        <v>38</v>
      </c>
    </row>
    <row r="48" spans="6:96" x14ac:dyDescent="0.25">
      <c r="F48" s="17">
        <f t="shared" si="106"/>
        <v>39</v>
      </c>
      <c r="G48" s="33" t="s">
        <v>113</v>
      </c>
    </row>
    <row r="49" spans="6:97" x14ac:dyDescent="0.25">
      <c r="F49" s="17">
        <f t="shared" si="106"/>
        <v>40</v>
      </c>
      <c r="G49" s="33" t="s">
        <v>114</v>
      </c>
    </row>
    <row r="50" spans="6:97" x14ac:dyDescent="0.25">
      <c r="F50" s="17">
        <f t="shared" si="106"/>
        <v>41</v>
      </c>
      <c r="G50" s="27" t="s">
        <v>115</v>
      </c>
      <c r="H50" s="27">
        <f>Tributos!$B$8*SUM(Cashflow!H28)*32%</f>
        <v>0</v>
      </c>
      <c r="I50" s="27">
        <f>Tributos!$B$8*SUM(Cashflow!I28)*32%</f>
        <v>0</v>
      </c>
      <c r="J50" s="27">
        <f>Tributos!$B$8*SUM(Cashflow!J28)*32%</f>
        <v>0</v>
      </c>
      <c r="K50" s="27">
        <f>Tributos!$B$8*SUM(Cashflow!K28)*32%</f>
        <v>265.72901279407569</v>
      </c>
      <c r="L50" s="27">
        <f>Tributos!$B$8*SUM(Cashflow!L28)*32%</f>
        <v>265.72901279407569</v>
      </c>
      <c r="M50" s="27">
        <f>Tributos!$B$8*SUM(Cashflow!M28)*32%</f>
        <v>265.72901279407569</v>
      </c>
      <c r="N50" s="27">
        <f>Tributos!$B$8*SUM(Cashflow!N28)*32%</f>
        <v>265.72901279407569</v>
      </c>
      <c r="O50" s="27">
        <f>Tributos!$B$8*SUM(Cashflow!O28)*32%</f>
        <v>265.72901279407569</v>
      </c>
      <c r="P50" s="27">
        <f>Tributos!$B$8*SUM(Cashflow!P28)*32%</f>
        <v>265.72901279407569</v>
      </c>
      <c r="Q50" s="27">
        <f>Tributos!$B$8*SUM(Cashflow!Q28)*32%</f>
        <v>265.72901279407569</v>
      </c>
      <c r="R50" s="27">
        <f>Tributos!$B$8*SUM(Cashflow!R28)*32%</f>
        <v>265.72901279407569</v>
      </c>
      <c r="S50" s="27">
        <f>Tributos!$B$8*SUM(Cashflow!S28)*32%</f>
        <v>265.72901279407569</v>
      </c>
      <c r="T50" s="27">
        <f>Tributos!$B$8*SUM(Cashflow!T28)*32%</f>
        <v>265.72901279407569</v>
      </c>
      <c r="U50" s="27">
        <f>Tributos!$B$8*SUM(Cashflow!U28)*32%</f>
        <v>265.72901279407569</v>
      </c>
      <c r="V50" s="27">
        <f>Tributos!$B$8*SUM(Cashflow!V28)*32%</f>
        <v>265.72901279407569</v>
      </c>
      <c r="W50" s="27">
        <f>Tributos!$B$8*SUM(Cashflow!W28)*32%</f>
        <v>273.70088317789794</v>
      </c>
      <c r="X50" s="27">
        <f>Tributos!$B$8*SUM(Cashflow!X28)*32%</f>
        <v>273.70088317789794</v>
      </c>
      <c r="Y50" s="27">
        <f>Tributos!$B$8*SUM(Cashflow!Y28)*32%</f>
        <v>273.70088317789794</v>
      </c>
      <c r="Z50" s="27">
        <f>Tributos!$B$8*SUM(Cashflow!Z28)*32%</f>
        <v>273.70088317789794</v>
      </c>
      <c r="AA50" s="27">
        <f>Tributos!$B$8*SUM(Cashflow!AA28)*32%</f>
        <v>273.70088317789794</v>
      </c>
      <c r="AB50" s="27">
        <f>Tributos!$B$8*SUM(Cashflow!AB28)*32%</f>
        <v>273.70088317789794</v>
      </c>
      <c r="AC50" s="27">
        <f>Tributos!$B$8*SUM(Cashflow!AC28)*32%</f>
        <v>273.70088317789794</v>
      </c>
      <c r="AD50" s="27">
        <f>Tributos!$B$8*SUM(Cashflow!AD28)*32%</f>
        <v>273.70088317789794</v>
      </c>
      <c r="AE50" s="27">
        <f>Tributos!$B$8*SUM(Cashflow!AE28)*32%</f>
        <v>273.70088317789794</v>
      </c>
      <c r="AF50" s="27">
        <f>Tributos!$B$8*SUM(Cashflow!AF28)*32%</f>
        <v>273.70088317789794</v>
      </c>
      <c r="AG50" s="27">
        <f>Tributos!$B$8*SUM(Cashflow!AG28)*32%</f>
        <v>273.70088317789794</v>
      </c>
      <c r="AH50" s="27">
        <f>Tributos!$B$8*SUM(Cashflow!AH28)*32%</f>
        <v>273.70088317789794</v>
      </c>
      <c r="AI50" s="27">
        <f>Tributos!$B$8*SUM(Cashflow!AI28)*32%</f>
        <v>281.9119096732349</v>
      </c>
      <c r="AJ50" s="27">
        <f>Tributos!$B$8*SUM(Cashflow!AJ28)*32%</f>
        <v>281.9119096732349</v>
      </c>
      <c r="AK50" s="27">
        <f>Tributos!$B$8*SUM(Cashflow!AK28)*32%</f>
        <v>281.9119096732349</v>
      </c>
      <c r="AL50" s="27">
        <f>Tributos!$B$8*SUM(Cashflow!AL28)*32%</f>
        <v>281.9119096732349</v>
      </c>
      <c r="AM50" s="27">
        <f>Tributos!$B$8*SUM(Cashflow!AM28)*32%</f>
        <v>281.9119096732349</v>
      </c>
      <c r="AN50" s="27">
        <f>Tributos!$B$8*SUM(Cashflow!AN28)*32%</f>
        <v>281.9119096732349</v>
      </c>
      <c r="AO50" s="27">
        <f>Tributos!$B$8*SUM(Cashflow!AO28)*32%</f>
        <v>281.9119096732349</v>
      </c>
      <c r="AP50" s="27">
        <f>Tributos!$B$8*SUM(Cashflow!AP28)*32%</f>
        <v>281.9119096732349</v>
      </c>
      <c r="AQ50" s="27">
        <f>Tributos!$B$8*SUM(Cashflow!AQ28)*32%</f>
        <v>281.9119096732349</v>
      </c>
      <c r="AR50" s="27">
        <f>Tributos!$B$8*SUM(Cashflow!AR28)*32%</f>
        <v>281.9119096732349</v>
      </c>
      <c r="AS50" s="27">
        <f>Tributos!$B$8*SUM(Cashflow!AS28)*32%</f>
        <v>281.9119096732349</v>
      </c>
      <c r="AT50" s="27">
        <f>Tributos!$B$8*SUM(Cashflow!AT28)*32%</f>
        <v>281.9119096732349</v>
      </c>
      <c r="AU50" s="27">
        <f>Tributos!$B$8*SUM(Cashflow!AU28)*32%</f>
        <v>290.36926696343193</v>
      </c>
      <c r="AV50" s="27">
        <f>Tributos!$B$8*SUM(Cashflow!AV28)*32%</f>
        <v>290.36926696343193</v>
      </c>
      <c r="AW50" s="27">
        <f>Tributos!$B$8*SUM(Cashflow!AW28)*32%</f>
        <v>290.36926696343193</v>
      </c>
      <c r="AX50" s="27">
        <f>Tributos!$B$8*SUM(Cashflow!AX28)*32%</f>
        <v>290.36926696343193</v>
      </c>
      <c r="AY50" s="27">
        <f>Tributos!$B$8*SUM(Cashflow!AY28)*32%</f>
        <v>290.36926696343193</v>
      </c>
      <c r="AZ50" s="27">
        <f>Tributos!$B$8*SUM(Cashflow!AZ28)*32%</f>
        <v>290.36926696343193</v>
      </c>
      <c r="BA50" s="27">
        <f>Tributos!$B$8*SUM(Cashflow!BA28)*32%</f>
        <v>290.36926696343193</v>
      </c>
      <c r="BB50" s="27">
        <f>Tributos!$B$8*SUM(Cashflow!BB28)*32%</f>
        <v>290.36926696343193</v>
      </c>
      <c r="BC50" s="27">
        <f>Tributos!$B$8*SUM(Cashflow!BC28)*32%</f>
        <v>290.36926696343193</v>
      </c>
      <c r="BD50" s="27">
        <f>Tributos!$B$8*SUM(Cashflow!BD28)*32%</f>
        <v>290.36926696343193</v>
      </c>
      <c r="BE50" s="27">
        <f>Tributos!$B$8*SUM(Cashflow!BE28)*32%</f>
        <v>290.36926696343193</v>
      </c>
      <c r="BF50" s="27">
        <f>Tributos!$B$8*SUM(Cashflow!BF28)*32%</f>
        <v>290.36926696343193</v>
      </c>
      <c r="BG50" s="27">
        <f>Tributos!$B$8*SUM(Cashflow!BG28)*32%</f>
        <v>299.0803449723349</v>
      </c>
      <c r="BH50" s="27">
        <f>Tributos!$B$8*SUM(Cashflow!BH28)*32%</f>
        <v>299.0803449723349</v>
      </c>
      <c r="BI50" s="27">
        <f>Tributos!$B$8*SUM(Cashflow!BI28)*32%</f>
        <v>299.0803449723349</v>
      </c>
      <c r="BJ50" s="27">
        <f>Tributos!$B$8*SUM(Cashflow!BJ28)*32%</f>
        <v>299.0803449723349</v>
      </c>
      <c r="BK50" s="27">
        <f>Tributos!$B$8*SUM(Cashflow!BK28)*32%</f>
        <v>299.0803449723349</v>
      </c>
      <c r="BL50" s="27">
        <f>Tributos!$B$8*SUM(Cashflow!BL28)*32%</f>
        <v>299.0803449723349</v>
      </c>
      <c r="BM50" s="27">
        <f>Tributos!$B$8*SUM(Cashflow!BM28)*32%</f>
        <v>299.0803449723349</v>
      </c>
      <c r="BN50" s="27">
        <f>Tributos!$B$8*SUM(Cashflow!BN28)*32%</f>
        <v>299.0803449723349</v>
      </c>
      <c r="BO50" s="27">
        <f>Tributos!$B$8*SUM(Cashflow!BO28)*32%</f>
        <v>299.0803449723349</v>
      </c>
      <c r="BP50" s="27">
        <f>Tributos!$B$8*SUM(Cashflow!BP28)*32%</f>
        <v>299.0803449723349</v>
      </c>
      <c r="BQ50" s="27">
        <f>Tributos!$B$8*SUM(Cashflow!BQ28)*32%</f>
        <v>299.0803449723349</v>
      </c>
      <c r="BR50" s="27">
        <f>Tributos!$B$8*SUM(Cashflow!BR28)*32%</f>
        <v>299.0803449723349</v>
      </c>
      <c r="BS50" s="27">
        <f>Tributos!$B$8*SUM(Cashflow!BS28)*32%</f>
        <v>308.05275532150495</v>
      </c>
      <c r="BT50" s="27">
        <f>Tributos!$B$8*SUM(Cashflow!BT28)*32%</f>
        <v>308.05275532150495</v>
      </c>
      <c r="BU50" s="27">
        <f>Tributos!$B$8*SUM(Cashflow!BU28)*32%</f>
        <v>308.05275532150495</v>
      </c>
      <c r="BV50" s="27">
        <f>Tributos!$B$8*SUM(Cashflow!BV28)*32%</f>
        <v>308.05275532150495</v>
      </c>
      <c r="BW50" s="27">
        <f>Tributos!$B$8*SUM(Cashflow!BW28)*32%</f>
        <v>308.05275532150495</v>
      </c>
      <c r="BX50" s="27">
        <f>Tributos!$B$8*SUM(Cashflow!BX28)*32%</f>
        <v>308.05275532150495</v>
      </c>
      <c r="BY50" s="27">
        <f>Tributos!$B$8*SUM(Cashflow!BY28)*32%</f>
        <v>308.05275532150495</v>
      </c>
      <c r="BZ50" s="27">
        <f>Tributos!$B$8*SUM(Cashflow!BZ28)*32%</f>
        <v>308.05275532150495</v>
      </c>
      <c r="CA50" s="27">
        <f>Tributos!$B$8*SUM(Cashflow!CA28)*32%</f>
        <v>308.05275532150495</v>
      </c>
      <c r="CB50" s="27">
        <f>Tributos!$B$8*SUM(Cashflow!CB28)*32%</f>
        <v>308.05275532150495</v>
      </c>
      <c r="CC50" s="27">
        <f>Tributos!$B$8*SUM(Cashflow!CC28)*32%</f>
        <v>308.05275532150495</v>
      </c>
      <c r="CD50" s="27">
        <f>Tributos!$B$8*SUM(Cashflow!CD28)*32%</f>
        <v>308.05275532150495</v>
      </c>
      <c r="CE50" s="27">
        <f>Tributos!$B$8*SUM(Cashflow!CE28)*32%</f>
        <v>317.29433798115008</v>
      </c>
      <c r="CF50" s="27">
        <f>Tributos!$B$8*SUM(Cashflow!CF28)*32%</f>
        <v>317.29433798115008</v>
      </c>
      <c r="CG50" s="27">
        <f>Tributos!$B$8*SUM(Cashflow!CG28)*32%</f>
        <v>317.29433798115008</v>
      </c>
      <c r="CH50" s="27">
        <f>Tributos!$B$8*SUM(Cashflow!CH28)*32%</f>
        <v>317.29433798115008</v>
      </c>
      <c r="CI50" s="27">
        <f>Tributos!$B$8*SUM(Cashflow!CI28)*32%</f>
        <v>317.29433798115008</v>
      </c>
      <c r="CJ50" s="27">
        <f>Tributos!$B$8*SUM(Cashflow!CJ28)*32%</f>
        <v>317.29433798115008</v>
      </c>
      <c r="CK50" s="27">
        <f>Tributos!$B$8*SUM(Cashflow!CK28)*32%</f>
        <v>317.29433798115008</v>
      </c>
      <c r="CL50" s="27">
        <f>Tributos!$B$8*SUM(Cashflow!CL28)*32%</f>
        <v>317.29433798115008</v>
      </c>
      <c r="CM50" s="27">
        <f>Tributos!$B$8*SUM(Cashflow!CM28)*32%</f>
        <v>317.29433798115008</v>
      </c>
      <c r="CN50" s="27">
        <f>Tributos!$B$8*SUM(Cashflow!CN28)*32%</f>
        <v>317.29433798115008</v>
      </c>
      <c r="CO50" s="27">
        <f>Tributos!$B$8*SUM(Cashflow!CO28)*32%</f>
        <v>317.29433798115008</v>
      </c>
      <c r="CP50" s="27">
        <f>Tributos!$B$8*SUM(Cashflow!CP28)*32%</f>
        <v>317.29433798115008</v>
      </c>
      <c r="CQ50" s="27">
        <f>Tributos!$B$8*SUM(Cashflow!CQ28)*32%</f>
        <v>0</v>
      </c>
      <c r="CR50" s="27">
        <f>Tributos!$B$8*SUM(Cashflow!CR28)*32%</f>
        <v>0</v>
      </c>
    </row>
    <row r="51" spans="6:97" x14ac:dyDescent="0.25">
      <c r="F51" s="17">
        <f t="shared" si="106"/>
        <v>42</v>
      </c>
      <c r="G51" s="27" t="s">
        <v>116</v>
      </c>
      <c r="H51" s="27">
        <f>Tributos!$B$9*SUM(Cashflow!H28)*32%</f>
        <v>0</v>
      </c>
      <c r="I51" s="27">
        <f>Tributos!$B$9*SUM(Cashflow!I28)*32%</f>
        <v>0</v>
      </c>
      <c r="J51" s="27">
        <f>Tributos!$B$9*SUM(Cashflow!J28)*32%</f>
        <v>0</v>
      </c>
      <c r="K51" s="27">
        <f>Tributos!$B$9*SUM(Cashflow!K28)*32%</f>
        <v>159.43740767644542</v>
      </c>
      <c r="L51" s="27">
        <f>Tributos!$B$9*SUM(Cashflow!L28)*32%</f>
        <v>159.43740767644542</v>
      </c>
      <c r="M51" s="27">
        <f>Tributos!$B$9*SUM(Cashflow!M28)*32%</f>
        <v>159.43740767644542</v>
      </c>
      <c r="N51" s="27">
        <f>Tributos!$B$9*SUM(Cashflow!N28)*32%</f>
        <v>159.43740767644542</v>
      </c>
      <c r="O51" s="27">
        <f>Tributos!$B$9*SUM(Cashflow!O28)*32%</f>
        <v>159.43740767644542</v>
      </c>
      <c r="P51" s="27">
        <f>Tributos!$B$9*SUM(Cashflow!P28)*32%</f>
        <v>159.43740767644542</v>
      </c>
      <c r="Q51" s="27">
        <f>Tributos!$B$9*SUM(Cashflow!Q28)*32%</f>
        <v>159.43740767644542</v>
      </c>
      <c r="R51" s="27">
        <f>Tributos!$B$9*SUM(Cashflow!R28)*32%</f>
        <v>159.43740767644542</v>
      </c>
      <c r="S51" s="27">
        <f>Tributos!$B$9*SUM(Cashflow!S28)*32%</f>
        <v>159.43740767644542</v>
      </c>
      <c r="T51" s="27">
        <f>Tributos!$B$9*SUM(Cashflow!T28)*32%</f>
        <v>159.43740767644542</v>
      </c>
      <c r="U51" s="27">
        <f>Tributos!$B$9*SUM(Cashflow!U28)*32%</f>
        <v>159.43740767644542</v>
      </c>
      <c r="V51" s="27">
        <f>Tributos!$B$9*SUM(Cashflow!V28)*32%</f>
        <v>159.43740767644542</v>
      </c>
      <c r="W51" s="27">
        <f>Tributos!$B$9*SUM(Cashflow!W28)*32%</f>
        <v>164.22052990673879</v>
      </c>
      <c r="X51" s="27">
        <f>Tributos!$B$9*SUM(Cashflow!X28)*32%</f>
        <v>164.22052990673879</v>
      </c>
      <c r="Y51" s="27">
        <f>Tributos!$B$9*SUM(Cashflow!Y28)*32%</f>
        <v>164.22052990673879</v>
      </c>
      <c r="Z51" s="27">
        <f>Tributos!$B$9*SUM(Cashflow!Z28)*32%</f>
        <v>164.22052990673879</v>
      </c>
      <c r="AA51" s="27">
        <f>Tributos!$B$9*SUM(Cashflow!AA28)*32%</f>
        <v>164.22052990673879</v>
      </c>
      <c r="AB51" s="27">
        <f>Tributos!$B$9*SUM(Cashflow!AB28)*32%</f>
        <v>164.22052990673879</v>
      </c>
      <c r="AC51" s="27">
        <f>Tributos!$B$9*SUM(Cashflow!AC28)*32%</f>
        <v>164.22052990673879</v>
      </c>
      <c r="AD51" s="27">
        <f>Tributos!$B$9*SUM(Cashflow!AD28)*32%</f>
        <v>164.22052990673879</v>
      </c>
      <c r="AE51" s="27">
        <f>Tributos!$B$9*SUM(Cashflow!AE28)*32%</f>
        <v>164.22052990673879</v>
      </c>
      <c r="AF51" s="27">
        <f>Tributos!$B$9*SUM(Cashflow!AF28)*32%</f>
        <v>164.22052990673879</v>
      </c>
      <c r="AG51" s="27">
        <f>Tributos!$B$9*SUM(Cashflow!AG28)*32%</f>
        <v>164.22052990673879</v>
      </c>
      <c r="AH51" s="27">
        <f>Tributos!$B$9*SUM(Cashflow!AH28)*32%</f>
        <v>164.22052990673879</v>
      </c>
      <c r="AI51" s="27">
        <f>Tributos!$B$9*SUM(Cashflow!AI28)*32%</f>
        <v>169.1471458039409</v>
      </c>
      <c r="AJ51" s="27">
        <f>Tributos!$B$9*SUM(Cashflow!AJ28)*32%</f>
        <v>169.1471458039409</v>
      </c>
      <c r="AK51" s="27">
        <f>Tributos!$B$9*SUM(Cashflow!AK28)*32%</f>
        <v>169.1471458039409</v>
      </c>
      <c r="AL51" s="27">
        <f>Tributos!$B$9*SUM(Cashflow!AL28)*32%</f>
        <v>169.1471458039409</v>
      </c>
      <c r="AM51" s="27">
        <f>Tributos!$B$9*SUM(Cashflow!AM28)*32%</f>
        <v>169.1471458039409</v>
      </c>
      <c r="AN51" s="27">
        <f>Tributos!$B$9*SUM(Cashflow!AN28)*32%</f>
        <v>169.1471458039409</v>
      </c>
      <c r="AO51" s="27">
        <f>Tributos!$B$9*SUM(Cashflow!AO28)*32%</f>
        <v>169.1471458039409</v>
      </c>
      <c r="AP51" s="27">
        <f>Tributos!$B$9*SUM(Cashflow!AP28)*32%</f>
        <v>169.1471458039409</v>
      </c>
      <c r="AQ51" s="27">
        <f>Tributos!$B$9*SUM(Cashflow!AQ28)*32%</f>
        <v>169.1471458039409</v>
      </c>
      <c r="AR51" s="27">
        <f>Tributos!$B$9*SUM(Cashflow!AR28)*32%</f>
        <v>169.1471458039409</v>
      </c>
      <c r="AS51" s="27">
        <f>Tributos!$B$9*SUM(Cashflow!AS28)*32%</f>
        <v>169.1471458039409</v>
      </c>
      <c r="AT51" s="27">
        <f>Tributos!$B$9*SUM(Cashflow!AT28)*32%</f>
        <v>169.1471458039409</v>
      </c>
      <c r="AU51" s="27">
        <f>Tributos!$B$9*SUM(Cashflow!AU28)*32%</f>
        <v>174.22156017805915</v>
      </c>
      <c r="AV51" s="27">
        <f>Tributos!$B$9*SUM(Cashflow!AV28)*32%</f>
        <v>174.22156017805915</v>
      </c>
      <c r="AW51" s="27">
        <f>Tributos!$B$9*SUM(Cashflow!AW28)*32%</f>
        <v>174.22156017805915</v>
      </c>
      <c r="AX51" s="27">
        <f>Tributos!$B$9*SUM(Cashflow!AX28)*32%</f>
        <v>174.22156017805915</v>
      </c>
      <c r="AY51" s="27">
        <f>Tributos!$B$9*SUM(Cashflow!AY28)*32%</f>
        <v>174.22156017805915</v>
      </c>
      <c r="AZ51" s="27">
        <f>Tributos!$B$9*SUM(Cashflow!AZ28)*32%</f>
        <v>174.22156017805915</v>
      </c>
      <c r="BA51" s="27">
        <f>Tributos!$B$9*SUM(Cashflow!BA28)*32%</f>
        <v>174.22156017805915</v>
      </c>
      <c r="BB51" s="27">
        <f>Tributos!$B$9*SUM(Cashflow!BB28)*32%</f>
        <v>174.22156017805915</v>
      </c>
      <c r="BC51" s="27">
        <f>Tributos!$B$9*SUM(Cashflow!BC28)*32%</f>
        <v>174.22156017805915</v>
      </c>
      <c r="BD51" s="27">
        <f>Tributos!$B$9*SUM(Cashflow!BD28)*32%</f>
        <v>174.22156017805915</v>
      </c>
      <c r="BE51" s="27">
        <f>Tributos!$B$9*SUM(Cashflow!BE28)*32%</f>
        <v>174.22156017805915</v>
      </c>
      <c r="BF51" s="27">
        <f>Tributos!$B$9*SUM(Cashflow!BF28)*32%</f>
        <v>174.22156017805915</v>
      </c>
      <c r="BG51" s="27">
        <f>Tributos!$B$9*SUM(Cashflow!BG28)*32%</f>
        <v>179.44820698340095</v>
      </c>
      <c r="BH51" s="27">
        <f>Tributos!$B$9*SUM(Cashflow!BH28)*32%</f>
        <v>179.44820698340095</v>
      </c>
      <c r="BI51" s="27">
        <f>Tributos!$B$9*SUM(Cashflow!BI28)*32%</f>
        <v>179.44820698340095</v>
      </c>
      <c r="BJ51" s="27">
        <f>Tributos!$B$9*SUM(Cashflow!BJ28)*32%</f>
        <v>179.44820698340095</v>
      </c>
      <c r="BK51" s="27">
        <f>Tributos!$B$9*SUM(Cashflow!BK28)*32%</f>
        <v>179.44820698340095</v>
      </c>
      <c r="BL51" s="27">
        <f>Tributos!$B$9*SUM(Cashflow!BL28)*32%</f>
        <v>179.44820698340095</v>
      </c>
      <c r="BM51" s="27">
        <f>Tributos!$B$9*SUM(Cashflow!BM28)*32%</f>
        <v>179.44820698340095</v>
      </c>
      <c r="BN51" s="27">
        <f>Tributos!$B$9*SUM(Cashflow!BN28)*32%</f>
        <v>179.44820698340095</v>
      </c>
      <c r="BO51" s="27">
        <f>Tributos!$B$9*SUM(Cashflow!BO28)*32%</f>
        <v>179.44820698340095</v>
      </c>
      <c r="BP51" s="27">
        <f>Tributos!$B$9*SUM(Cashflow!BP28)*32%</f>
        <v>179.44820698340095</v>
      </c>
      <c r="BQ51" s="27">
        <f>Tributos!$B$9*SUM(Cashflow!BQ28)*32%</f>
        <v>179.44820698340095</v>
      </c>
      <c r="BR51" s="27">
        <f>Tributos!$B$9*SUM(Cashflow!BR28)*32%</f>
        <v>179.44820698340095</v>
      </c>
      <c r="BS51" s="27">
        <f>Tributos!$B$9*SUM(Cashflow!BS28)*32%</f>
        <v>184.83165319290296</v>
      </c>
      <c r="BT51" s="27">
        <f>Tributos!$B$9*SUM(Cashflow!BT28)*32%</f>
        <v>184.83165319290296</v>
      </c>
      <c r="BU51" s="27">
        <f>Tributos!$B$9*SUM(Cashflow!BU28)*32%</f>
        <v>184.83165319290296</v>
      </c>
      <c r="BV51" s="27">
        <f>Tributos!$B$9*SUM(Cashflow!BV28)*32%</f>
        <v>184.83165319290296</v>
      </c>
      <c r="BW51" s="27">
        <f>Tributos!$B$9*SUM(Cashflow!BW28)*32%</f>
        <v>184.83165319290296</v>
      </c>
      <c r="BX51" s="27">
        <f>Tributos!$B$9*SUM(Cashflow!BX28)*32%</f>
        <v>184.83165319290296</v>
      </c>
      <c r="BY51" s="27">
        <f>Tributos!$B$9*SUM(Cashflow!BY28)*32%</f>
        <v>184.83165319290296</v>
      </c>
      <c r="BZ51" s="27">
        <f>Tributos!$B$9*SUM(Cashflow!BZ28)*32%</f>
        <v>184.83165319290296</v>
      </c>
      <c r="CA51" s="27">
        <f>Tributos!$B$9*SUM(Cashflow!CA28)*32%</f>
        <v>184.83165319290296</v>
      </c>
      <c r="CB51" s="27">
        <f>Tributos!$B$9*SUM(Cashflow!CB28)*32%</f>
        <v>184.83165319290296</v>
      </c>
      <c r="CC51" s="27">
        <f>Tributos!$B$9*SUM(Cashflow!CC28)*32%</f>
        <v>184.83165319290296</v>
      </c>
      <c r="CD51" s="27">
        <f>Tributos!$B$9*SUM(Cashflow!CD28)*32%</f>
        <v>184.83165319290296</v>
      </c>
      <c r="CE51" s="27">
        <f>Tributos!$B$9*SUM(Cashflow!CE28)*32%</f>
        <v>190.37660278869006</v>
      </c>
      <c r="CF51" s="27">
        <f>Tributos!$B$9*SUM(Cashflow!CF28)*32%</f>
        <v>190.37660278869006</v>
      </c>
      <c r="CG51" s="27">
        <f>Tributos!$B$9*SUM(Cashflow!CG28)*32%</f>
        <v>190.37660278869006</v>
      </c>
      <c r="CH51" s="27">
        <f>Tributos!$B$9*SUM(Cashflow!CH28)*32%</f>
        <v>190.37660278869006</v>
      </c>
      <c r="CI51" s="27">
        <f>Tributos!$B$9*SUM(Cashflow!CI28)*32%</f>
        <v>190.37660278869006</v>
      </c>
      <c r="CJ51" s="27">
        <f>Tributos!$B$9*SUM(Cashflow!CJ28)*32%</f>
        <v>190.37660278869006</v>
      </c>
      <c r="CK51" s="27">
        <f>Tributos!$B$9*SUM(Cashflow!CK28)*32%</f>
        <v>190.37660278869006</v>
      </c>
      <c r="CL51" s="27">
        <f>Tributos!$B$9*SUM(Cashflow!CL28)*32%</f>
        <v>190.37660278869006</v>
      </c>
      <c r="CM51" s="27">
        <f>Tributos!$B$9*SUM(Cashflow!CM28)*32%</f>
        <v>190.37660278869006</v>
      </c>
      <c r="CN51" s="27">
        <f>Tributos!$B$9*SUM(Cashflow!CN28)*32%</f>
        <v>190.37660278869006</v>
      </c>
      <c r="CO51" s="27">
        <f>Tributos!$B$9*SUM(Cashflow!CO28)*32%</f>
        <v>190.37660278869006</v>
      </c>
      <c r="CP51" s="27">
        <f>Tributos!$B$9*SUM(Cashflow!CP28)*32%</f>
        <v>190.37660278869006</v>
      </c>
      <c r="CQ51" s="27">
        <f>Tributos!$B$9*SUM(Cashflow!CQ28)*32%</f>
        <v>0</v>
      </c>
      <c r="CR51" s="27">
        <f>Tributos!$B$9*SUM(Cashflow!CR28)*32%</f>
        <v>0</v>
      </c>
    </row>
    <row r="52" spans="6:97" x14ac:dyDescent="0.25">
      <c r="F52" s="17">
        <f t="shared" si="106"/>
        <v>43</v>
      </c>
      <c r="G52" s="33" t="s">
        <v>117</v>
      </c>
    </row>
    <row r="53" spans="6:97" x14ac:dyDescent="0.25">
      <c r="F53" s="17">
        <f t="shared" si="106"/>
        <v>44</v>
      </c>
      <c r="G53" s="27" t="s">
        <v>118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27">
        <v>0</v>
      </c>
      <c r="BD53" s="27">
        <v>0</v>
      </c>
      <c r="BE53" s="27">
        <v>0</v>
      </c>
      <c r="BF53" s="27">
        <v>0</v>
      </c>
      <c r="BG53" s="27">
        <v>0</v>
      </c>
      <c r="BH53" s="27">
        <v>0</v>
      </c>
      <c r="BI53" s="27">
        <v>0</v>
      </c>
      <c r="BJ53" s="27">
        <v>0</v>
      </c>
      <c r="BK53" s="27">
        <v>0</v>
      </c>
      <c r="BL53" s="27">
        <v>0</v>
      </c>
      <c r="BM53" s="27">
        <v>0</v>
      </c>
      <c r="BN53" s="27">
        <v>0</v>
      </c>
      <c r="BO53" s="27">
        <v>0</v>
      </c>
      <c r="BP53" s="27">
        <v>0</v>
      </c>
      <c r="BQ53" s="27">
        <v>0</v>
      </c>
      <c r="BR53" s="27">
        <v>0</v>
      </c>
      <c r="BS53" s="27">
        <v>0</v>
      </c>
      <c r="BT53" s="27">
        <v>0</v>
      </c>
      <c r="BU53" s="27">
        <v>0</v>
      </c>
      <c r="BV53" s="27">
        <v>0</v>
      </c>
      <c r="BW53" s="27">
        <v>0</v>
      </c>
      <c r="BX53" s="27">
        <v>0</v>
      </c>
      <c r="BY53" s="27">
        <v>0</v>
      </c>
      <c r="BZ53" s="27">
        <v>0</v>
      </c>
      <c r="CA53" s="27">
        <v>0</v>
      </c>
      <c r="CB53" s="27">
        <v>0</v>
      </c>
      <c r="CC53" s="27">
        <v>0</v>
      </c>
      <c r="CD53" s="27">
        <v>0</v>
      </c>
      <c r="CE53" s="27">
        <v>0</v>
      </c>
      <c r="CF53" s="27">
        <v>0</v>
      </c>
      <c r="CG53" s="27">
        <v>0</v>
      </c>
      <c r="CH53" s="27">
        <v>0</v>
      </c>
      <c r="CI53" s="27">
        <v>0</v>
      </c>
      <c r="CJ53" s="27">
        <v>0</v>
      </c>
      <c r="CK53" s="27">
        <v>0</v>
      </c>
      <c r="CL53" s="27">
        <v>0</v>
      </c>
      <c r="CM53" s="27">
        <v>0</v>
      </c>
      <c r="CN53" s="27">
        <v>0</v>
      </c>
      <c r="CO53" s="27">
        <v>0</v>
      </c>
      <c r="CP53" s="27">
        <v>0</v>
      </c>
      <c r="CQ53" s="27">
        <v>0</v>
      </c>
      <c r="CR53" s="196"/>
    </row>
    <row r="54" spans="6:97" x14ac:dyDescent="0.25">
      <c r="F54" s="17">
        <f t="shared" si="106"/>
        <v>45</v>
      </c>
      <c r="G54" s="27" t="s">
        <v>119</v>
      </c>
      <c r="H54" s="27">
        <f>H28*3.2%</f>
        <v>0</v>
      </c>
      <c r="I54" s="27">
        <f t="shared" ref="I54:AS54" si="148">I28*3.2%</f>
        <v>0</v>
      </c>
      <c r="J54" s="27">
        <f t="shared" si="148"/>
        <v>0</v>
      </c>
      <c r="K54" s="27">
        <f t="shared" si="148"/>
        <v>177.15267519605047</v>
      </c>
      <c r="L54" s="27">
        <f t="shared" si="148"/>
        <v>177.15267519605047</v>
      </c>
      <c r="M54" s="27">
        <f t="shared" si="148"/>
        <v>177.15267519605047</v>
      </c>
      <c r="N54" s="27">
        <f t="shared" si="148"/>
        <v>177.15267519605047</v>
      </c>
      <c r="O54" s="27">
        <f t="shared" si="148"/>
        <v>177.15267519605047</v>
      </c>
      <c r="P54" s="27">
        <f t="shared" si="148"/>
        <v>177.15267519605047</v>
      </c>
      <c r="Q54" s="27">
        <f t="shared" si="148"/>
        <v>177.15267519605047</v>
      </c>
      <c r="R54" s="27">
        <f t="shared" si="148"/>
        <v>177.15267519605047</v>
      </c>
      <c r="S54" s="27">
        <f t="shared" si="148"/>
        <v>177.15267519605047</v>
      </c>
      <c r="T54" s="27">
        <f t="shared" si="148"/>
        <v>177.15267519605047</v>
      </c>
      <c r="U54" s="27">
        <f t="shared" si="148"/>
        <v>177.15267519605047</v>
      </c>
      <c r="V54" s="27">
        <f t="shared" si="148"/>
        <v>177.15267519605047</v>
      </c>
      <c r="W54" s="27">
        <f t="shared" si="148"/>
        <v>182.46725545193198</v>
      </c>
      <c r="X54" s="27">
        <f t="shared" si="148"/>
        <v>182.46725545193198</v>
      </c>
      <c r="Y54" s="27">
        <f t="shared" si="148"/>
        <v>182.46725545193198</v>
      </c>
      <c r="Z54" s="27">
        <f t="shared" si="148"/>
        <v>182.46725545193198</v>
      </c>
      <c r="AA54" s="27">
        <f t="shared" si="148"/>
        <v>182.46725545193198</v>
      </c>
      <c r="AB54" s="27">
        <f t="shared" si="148"/>
        <v>182.46725545193198</v>
      </c>
      <c r="AC54" s="27">
        <f t="shared" si="148"/>
        <v>182.46725545193198</v>
      </c>
      <c r="AD54" s="27">
        <f t="shared" si="148"/>
        <v>182.46725545193198</v>
      </c>
      <c r="AE54" s="27">
        <f t="shared" si="148"/>
        <v>182.46725545193198</v>
      </c>
      <c r="AF54" s="27">
        <f t="shared" si="148"/>
        <v>182.46725545193198</v>
      </c>
      <c r="AG54" s="27">
        <f t="shared" si="148"/>
        <v>182.46725545193198</v>
      </c>
      <c r="AH54" s="27">
        <f t="shared" si="148"/>
        <v>182.46725545193198</v>
      </c>
      <c r="AI54" s="27">
        <f t="shared" si="148"/>
        <v>187.94127311548993</v>
      </c>
      <c r="AJ54" s="27">
        <f t="shared" si="148"/>
        <v>187.94127311548993</v>
      </c>
      <c r="AK54" s="27">
        <f t="shared" si="148"/>
        <v>187.94127311548993</v>
      </c>
      <c r="AL54" s="27">
        <f t="shared" si="148"/>
        <v>187.94127311548993</v>
      </c>
      <c r="AM54" s="27">
        <f t="shared" si="148"/>
        <v>187.94127311548993</v>
      </c>
      <c r="AN54" s="27">
        <f t="shared" si="148"/>
        <v>187.94127311548993</v>
      </c>
      <c r="AO54" s="27">
        <f t="shared" si="148"/>
        <v>187.94127311548993</v>
      </c>
      <c r="AP54" s="27">
        <f t="shared" si="148"/>
        <v>187.94127311548993</v>
      </c>
      <c r="AQ54" s="27">
        <f t="shared" si="148"/>
        <v>187.94127311548993</v>
      </c>
      <c r="AR54" s="27">
        <f t="shared" si="148"/>
        <v>187.94127311548993</v>
      </c>
      <c r="AS54" s="27">
        <f t="shared" si="148"/>
        <v>187.94127311548993</v>
      </c>
      <c r="AT54" s="27">
        <f t="shared" ref="AT54:BE54" si="149">AT28*3.2%</f>
        <v>187.94127311548993</v>
      </c>
      <c r="AU54" s="27">
        <f t="shared" si="149"/>
        <v>193.57951130895464</v>
      </c>
      <c r="AV54" s="27">
        <f t="shared" si="149"/>
        <v>193.57951130895464</v>
      </c>
      <c r="AW54" s="27">
        <f t="shared" si="149"/>
        <v>193.57951130895464</v>
      </c>
      <c r="AX54" s="27">
        <f t="shared" si="149"/>
        <v>193.57951130895464</v>
      </c>
      <c r="AY54" s="27">
        <f t="shared" si="149"/>
        <v>193.57951130895464</v>
      </c>
      <c r="AZ54" s="27">
        <f t="shared" si="149"/>
        <v>193.57951130895464</v>
      </c>
      <c r="BA54" s="27">
        <f t="shared" si="149"/>
        <v>193.57951130895464</v>
      </c>
      <c r="BB54" s="27">
        <f t="shared" si="149"/>
        <v>193.57951130895464</v>
      </c>
      <c r="BC54" s="27">
        <f t="shared" si="149"/>
        <v>193.57951130895464</v>
      </c>
      <c r="BD54" s="27">
        <f t="shared" si="149"/>
        <v>193.57951130895464</v>
      </c>
      <c r="BE54" s="27">
        <f t="shared" si="149"/>
        <v>193.57951130895464</v>
      </c>
      <c r="BF54" s="27">
        <f t="shared" ref="BF54:BV54" si="150">BF28*3.2%</f>
        <v>193.57951130895464</v>
      </c>
      <c r="BG54" s="27">
        <f t="shared" si="150"/>
        <v>199.38689664822328</v>
      </c>
      <c r="BH54" s="27">
        <f t="shared" si="150"/>
        <v>199.38689664822328</v>
      </c>
      <c r="BI54" s="27">
        <f t="shared" si="150"/>
        <v>199.38689664822328</v>
      </c>
      <c r="BJ54" s="27">
        <f t="shared" si="150"/>
        <v>199.38689664822328</v>
      </c>
      <c r="BK54" s="27">
        <f t="shared" si="150"/>
        <v>199.38689664822328</v>
      </c>
      <c r="BL54" s="27">
        <f t="shared" si="150"/>
        <v>199.38689664822328</v>
      </c>
      <c r="BM54" s="27">
        <f t="shared" si="150"/>
        <v>199.38689664822328</v>
      </c>
      <c r="BN54" s="27">
        <f t="shared" si="150"/>
        <v>199.38689664822328</v>
      </c>
      <c r="BO54" s="27">
        <f t="shared" si="150"/>
        <v>199.38689664822328</v>
      </c>
      <c r="BP54" s="27">
        <f t="shared" ref="BP54:BQ54" si="151">BP28*3.2%</f>
        <v>199.38689664822328</v>
      </c>
      <c r="BQ54" s="27">
        <f t="shared" si="151"/>
        <v>199.38689664822328</v>
      </c>
      <c r="BR54" s="27">
        <f t="shared" si="150"/>
        <v>199.38689664822328</v>
      </c>
      <c r="BS54" s="27">
        <f t="shared" ref="BS54:BT54" si="152">BS28*3.2%</f>
        <v>205.36850354766997</v>
      </c>
      <c r="BT54" s="27">
        <f t="shared" si="152"/>
        <v>205.36850354766997</v>
      </c>
      <c r="BU54" s="27">
        <f t="shared" si="150"/>
        <v>205.36850354766997</v>
      </c>
      <c r="BV54" s="27">
        <f t="shared" si="150"/>
        <v>205.36850354766997</v>
      </c>
      <c r="BW54" s="27">
        <f t="shared" ref="BW54:CH54" si="153">BW28*3.2%</f>
        <v>205.36850354766997</v>
      </c>
      <c r="BX54" s="27">
        <f t="shared" si="153"/>
        <v>205.36850354766997</v>
      </c>
      <c r="BY54" s="27">
        <f t="shared" si="153"/>
        <v>205.36850354766997</v>
      </c>
      <c r="BZ54" s="27">
        <f t="shared" si="153"/>
        <v>205.36850354766997</v>
      </c>
      <c r="CA54" s="27">
        <f t="shared" si="153"/>
        <v>205.36850354766997</v>
      </c>
      <c r="CB54" s="27">
        <f t="shared" si="153"/>
        <v>205.36850354766997</v>
      </c>
      <c r="CC54" s="27">
        <f t="shared" si="153"/>
        <v>205.36850354766997</v>
      </c>
      <c r="CD54" s="27">
        <f t="shared" si="153"/>
        <v>205.36850354766997</v>
      </c>
      <c r="CE54" s="27">
        <f t="shared" si="153"/>
        <v>211.52955865410007</v>
      </c>
      <c r="CF54" s="27">
        <f t="shared" si="153"/>
        <v>211.52955865410007</v>
      </c>
      <c r="CG54" s="27">
        <f t="shared" si="153"/>
        <v>211.52955865410007</v>
      </c>
      <c r="CH54" s="27">
        <f t="shared" si="153"/>
        <v>211.52955865410007</v>
      </c>
      <c r="CI54" s="27">
        <f t="shared" ref="CI54:CO54" si="154">CI28*3.2%</f>
        <v>211.52955865410007</v>
      </c>
      <c r="CJ54" s="27">
        <f t="shared" si="154"/>
        <v>211.52955865410007</v>
      </c>
      <c r="CK54" s="27">
        <f t="shared" si="154"/>
        <v>211.52955865410007</v>
      </c>
      <c r="CL54" s="27">
        <f t="shared" si="154"/>
        <v>211.52955865410007</v>
      </c>
      <c r="CM54" s="27">
        <f t="shared" si="154"/>
        <v>211.52955865410007</v>
      </c>
      <c r="CN54" s="27">
        <f t="shared" ref="CN54" si="155">CN28*3.2%</f>
        <v>211.52955865410007</v>
      </c>
      <c r="CO54" s="27">
        <f t="shared" si="154"/>
        <v>211.52955865410007</v>
      </c>
      <c r="CP54" s="27">
        <f>CP28*3.2%</f>
        <v>211.52955865410007</v>
      </c>
      <c r="CQ54" s="27">
        <f>CQ28*3.2%</f>
        <v>0</v>
      </c>
      <c r="CR54" s="196"/>
    </row>
    <row r="55" spans="6:97" x14ac:dyDescent="0.25">
      <c r="F55" s="17"/>
      <c r="G55" s="27" t="s">
        <v>108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27">
        <v>0</v>
      </c>
      <c r="BD55" s="27">
        <v>0</v>
      </c>
      <c r="BE55" s="27">
        <v>0</v>
      </c>
      <c r="BF55" s="27">
        <v>0</v>
      </c>
      <c r="BG55" s="27">
        <v>0</v>
      </c>
      <c r="BH55" s="27">
        <v>0</v>
      </c>
      <c r="BI55" s="27">
        <v>0</v>
      </c>
      <c r="BJ55" s="27">
        <v>0</v>
      </c>
      <c r="BK55" s="27">
        <v>0</v>
      </c>
      <c r="BL55" s="27">
        <v>0</v>
      </c>
      <c r="BM55" s="27">
        <v>0</v>
      </c>
      <c r="BN55" s="27">
        <v>0</v>
      </c>
      <c r="BO55" s="27">
        <v>0</v>
      </c>
      <c r="BP55" s="27">
        <v>0</v>
      </c>
      <c r="BQ55" s="27">
        <v>0</v>
      </c>
      <c r="BR55" s="27">
        <v>0</v>
      </c>
      <c r="BS55" s="27">
        <v>0</v>
      </c>
      <c r="BT55" s="27">
        <v>0</v>
      </c>
      <c r="BU55" s="27">
        <v>0</v>
      </c>
      <c r="BV55" s="27">
        <v>0</v>
      </c>
      <c r="BW55" s="27">
        <v>0</v>
      </c>
      <c r="BX55" s="27">
        <v>0</v>
      </c>
      <c r="BY55" s="27">
        <v>0</v>
      </c>
      <c r="BZ55" s="27">
        <v>0</v>
      </c>
      <c r="CA55" s="27">
        <v>0</v>
      </c>
      <c r="CB55" s="27">
        <v>0</v>
      </c>
      <c r="CC55" s="27">
        <v>0</v>
      </c>
      <c r="CD55" s="27">
        <v>0</v>
      </c>
      <c r="CE55" s="27">
        <v>0</v>
      </c>
      <c r="CF55" s="27">
        <v>0</v>
      </c>
      <c r="CG55" s="27">
        <v>0</v>
      </c>
      <c r="CH55" s="27">
        <v>0</v>
      </c>
      <c r="CI55" s="27">
        <v>0</v>
      </c>
      <c r="CJ55" s="27">
        <v>0</v>
      </c>
      <c r="CK55" s="27">
        <v>0</v>
      </c>
      <c r="CL55" s="27">
        <v>0</v>
      </c>
      <c r="CM55" s="27">
        <v>0</v>
      </c>
      <c r="CN55" s="27">
        <v>0</v>
      </c>
      <c r="CO55" s="27">
        <v>0</v>
      </c>
      <c r="CP55" s="27">
        <v>0</v>
      </c>
      <c r="CQ55" s="27">
        <v>0</v>
      </c>
      <c r="CR55" s="196"/>
    </row>
    <row r="56" spans="6:97" x14ac:dyDescent="0.25">
      <c r="F56" s="17">
        <f>F54+1</f>
        <v>46</v>
      </c>
      <c r="G56" s="27" t="s">
        <v>120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</v>
      </c>
      <c r="BR56" s="27">
        <v>0</v>
      </c>
      <c r="BS56" s="27">
        <v>0</v>
      </c>
      <c r="BT56" s="27">
        <v>0</v>
      </c>
      <c r="BU56" s="27">
        <v>0</v>
      </c>
      <c r="BV56" s="27">
        <v>0</v>
      </c>
      <c r="BW56" s="27">
        <v>0</v>
      </c>
      <c r="BX56" s="27">
        <v>0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0</v>
      </c>
      <c r="CF56" s="27">
        <v>0</v>
      </c>
      <c r="CG56" s="27">
        <v>0</v>
      </c>
      <c r="CH56" s="27">
        <v>0</v>
      </c>
      <c r="CI56" s="27">
        <v>0</v>
      </c>
      <c r="CJ56" s="27">
        <v>0</v>
      </c>
      <c r="CK56" s="27">
        <v>0</v>
      </c>
      <c r="CL56" s="27">
        <v>0</v>
      </c>
      <c r="CM56" s="27">
        <v>0</v>
      </c>
      <c r="CN56" s="27">
        <v>0</v>
      </c>
      <c r="CO56" s="27">
        <v>0</v>
      </c>
      <c r="CP56" s="27">
        <v>0</v>
      </c>
      <c r="CQ56" s="27">
        <v>0</v>
      </c>
      <c r="CR56" s="196"/>
    </row>
    <row r="57" spans="6:97" x14ac:dyDescent="0.25">
      <c r="F57" s="17">
        <f>F56+1</f>
        <v>47</v>
      </c>
    </row>
    <row r="58" spans="6:97" x14ac:dyDescent="0.25">
      <c r="F58" s="17">
        <f t="shared" si="106"/>
        <v>48</v>
      </c>
      <c r="G58" s="165" t="s">
        <v>121</v>
      </c>
    </row>
    <row r="59" spans="6:97" x14ac:dyDescent="0.25">
      <c r="F59" s="17">
        <f t="shared" si="106"/>
        <v>49</v>
      </c>
      <c r="G59" s="27" t="s">
        <v>122</v>
      </c>
      <c r="H59" s="27">
        <f>H45-H50-H51-H54</f>
        <v>0</v>
      </c>
      <c r="I59" s="27">
        <f t="shared" ref="I59:AS59" si="156">I45-I50-I51-I54</f>
        <v>-10471.769729720105</v>
      </c>
      <c r="J59" s="27">
        <f t="shared" si="156"/>
        <v>-5732.4197297201054</v>
      </c>
      <c r="K59" s="27">
        <f t="shared" si="156"/>
        <v>-798.71772551009997</v>
      </c>
      <c r="L59" s="27">
        <f t="shared" si="156"/>
        <v>-798.71772551009997</v>
      </c>
      <c r="M59" s="27">
        <f t="shared" si="156"/>
        <v>-798.71772551009997</v>
      </c>
      <c r="N59" s="27">
        <f t="shared" si="156"/>
        <v>-798.71772551009997</v>
      </c>
      <c r="O59" s="27">
        <f t="shared" si="156"/>
        <v>-798.71772551009997</v>
      </c>
      <c r="P59" s="27">
        <f t="shared" si="156"/>
        <v>-798.71772551009997</v>
      </c>
      <c r="Q59" s="27">
        <f t="shared" si="156"/>
        <v>-798.71772551009997</v>
      </c>
      <c r="R59" s="27">
        <f t="shared" si="156"/>
        <v>-798.71772551009997</v>
      </c>
      <c r="S59" s="27">
        <f t="shared" si="156"/>
        <v>-798.71772551009997</v>
      </c>
      <c r="T59" s="27">
        <f t="shared" si="156"/>
        <v>-798.71772551009997</v>
      </c>
      <c r="U59" s="27">
        <f t="shared" si="156"/>
        <v>-5538.0677255101</v>
      </c>
      <c r="V59" s="27">
        <f t="shared" si="156"/>
        <v>-798.71772551009997</v>
      </c>
      <c r="W59" s="27">
        <f t="shared" si="156"/>
        <v>-650.7066653838001</v>
      </c>
      <c r="X59" s="27">
        <f t="shared" si="156"/>
        <v>-650.7066653838001</v>
      </c>
      <c r="Y59" s="27">
        <f t="shared" si="156"/>
        <v>-650.7066653838001</v>
      </c>
      <c r="Z59" s="27">
        <f t="shared" si="156"/>
        <v>-650.7066653838001</v>
      </c>
      <c r="AA59" s="27">
        <f t="shared" si="156"/>
        <v>-650.7066653838001</v>
      </c>
      <c r="AB59" s="27">
        <f t="shared" si="156"/>
        <v>-650.7066653838001</v>
      </c>
      <c r="AC59" s="27">
        <f t="shared" si="156"/>
        <v>-650.7066653838001</v>
      </c>
      <c r="AD59" s="27">
        <f t="shared" si="156"/>
        <v>-650.7066653838001</v>
      </c>
      <c r="AE59" s="27">
        <f t="shared" si="156"/>
        <v>-650.7066653838001</v>
      </c>
      <c r="AF59" s="27">
        <f t="shared" si="156"/>
        <v>-650.7066653838001</v>
      </c>
      <c r="AG59" s="27">
        <f t="shared" si="156"/>
        <v>-4829.1541653838003</v>
      </c>
      <c r="AH59" s="27">
        <f t="shared" si="156"/>
        <v>-650.7066653838001</v>
      </c>
      <c r="AI59" s="27">
        <f t="shared" si="156"/>
        <v>-498.25527345371097</v>
      </c>
      <c r="AJ59" s="27">
        <f t="shared" si="156"/>
        <v>-498.25527345371097</v>
      </c>
      <c r="AK59" s="27">
        <f t="shared" si="156"/>
        <v>-498.25527345371097</v>
      </c>
      <c r="AL59" s="27">
        <f t="shared" si="156"/>
        <v>-498.25527345371097</v>
      </c>
      <c r="AM59" s="27">
        <f t="shared" si="156"/>
        <v>-498.25527345371097</v>
      </c>
      <c r="AN59" s="27">
        <f t="shared" si="156"/>
        <v>-498.25527345371097</v>
      </c>
      <c r="AO59" s="27">
        <f t="shared" si="156"/>
        <v>-498.25527345371097</v>
      </c>
      <c r="AP59" s="27">
        <f t="shared" si="156"/>
        <v>-498.25527345371097</v>
      </c>
      <c r="AQ59" s="27">
        <f t="shared" si="156"/>
        <v>-498.25527345371097</v>
      </c>
      <c r="AR59" s="27">
        <f t="shared" si="156"/>
        <v>-498.25527345371097</v>
      </c>
      <c r="AS59" s="27">
        <f t="shared" si="156"/>
        <v>-4199.9356484537102</v>
      </c>
      <c r="AT59" s="27">
        <f t="shared" ref="AT59:BE59" si="157">AT45-AT50-AT51-AT54</f>
        <v>-498.25527345371097</v>
      </c>
      <c r="AU59" s="27">
        <f t="shared" si="157"/>
        <v>-341.23033976571912</v>
      </c>
      <c r="AV59" s="27">
        <f t="shared" si="157"/>
        <v>-341.23033976571912</v>
      </c>
      <c r="AW59" s="27">
        <f t="shared" si="157"/>
        <v>-341.23033976571912</v>
      </c>
      <c r="AX59" s="27">
        <f t="shared" si="157"/>
        <v>-341.23033976571912</v>
      </c>
      <c r="AY59" s="27">
        <f t="shared" si="157"/>
        <v>-341.23033976571912</v>
      </c>
      <c r="AZ59" s="27">
        <f t="shared" si="157"/>
        <v>-341.23033976571912</v>
      </c>
      <c r="BA59" s="27">
        <f t="shared" si="157"/>
        <v>-341.23033976571912</v>
      </c>
      <c r="BB59" s="27">
        <f t="shared" si="157"/>
        <v>-341.23033976571912</v>
      </c>
      <c r="BC59" s="27">
        <f t="shared" si="157"/>
        <v>-341.23033976571912</v>
      </c>
      <c r="BD59" s="27">
        <f t="shared" si="157"/>
        <v>-341.23033976571912</v>
      </c>
      <c r="BE59" s="27">
        <f t="shared" si="157"/>
        <v>-3637.6586585157188</v>
      </c>
      <c r="BF59" s="27">
        <f t="shared" ref="BF59:BV59" si="158">BF45-BF50-BF51-BF54</f>
        <v>-341.23033976571912</v>
      </c>
      <c r="BG59" s="27">
        <f t="shared" si="158"/>
        <v>-179.49465806708702</v>
      </c>
      <c r="BH59" s="27">
        <f t="shared" si="158"/>
        <v>-179.49465806708702</v>
      </c>
      <c r="BI59" s="27">
        <f t="shared" si="158"/>
        <v>-179.49465806708702</v>
      </c>
      <c r="BJ59" s="27">
        <f t="shared" si="158"/>
        <v>-179.49465806708702</v>
      </c>
      <c r="BK59" s="27">
        <f t="shared" si="158"/>
        <v>-179.49465806708702</v>
      </c>
      <c r="BL59" s="27">
        <f t="shared" si="158"/>
        <v>-179.49465806708702</v>
      </c>
      <c r="BM59" s="27">
        <f t="shared" si="158"/>
        <v>-179.49465806708702</v>
      </c>
      <c r="BN59" s="27">
        <f t="shared" si="158"/>
        <v>-179.49465806708702</v>
      </c>
      <c r="BO59" s="27">
        <f t="shared" si="158"/>
        <v>-179.49465806708702</v>
      </c>
      <c r="BP59" s="27">
        <f t="shared" ref="BP59:BQ59" si="159">BP45-BP50-BP51-BP54</f>
        <v>-179.49465806708702</v>
      </c>
      <c r="BQ59" s="27">
        <f t="shared" si="159"/>
        <v>2600.9610007155188</v>
      </c>
      <c r="BR59" s="27">
        <f t="shared" si="158"/>
        <v>5552.9250716530178</v>
      </c>
      <c r="BS59" s="27">
        <f t="shared" ref="BS59:BT59" si="160">BS45-BS50-BS51-BS54</f>
        <v>5719.5128238026082</v>
      </c>
      <c r="BT59" s="27">
        <f t="shared" si="160"/>
        <v>5719.5128238026082</v>
      </c>
      <c r="BU59" s="27">
        <f t="shared" si="158"/>
        <v>5719.5128238026082</v>
      </c>
      <c r="BV59" s="27">
        <f t="shared" si="158"/>
        <v>5719.5128238026082</v>
      </c>
      <c r="BW59" s="27">
        <f t="shared" ref="BW59:CH59" si="161">BW45-BW50-BW51-BW54</f>
        <v>5719.5128238026082</v>
      </c>
      <c r="BX59" s="27">
        <f t="shared" si="161"/>
        <v>5719.5128238026082</v>
      </c>
      <c r="BY59" s="27">
        <f t="shared" si="161"/>
        <v>5719.5128238026082</v>
      </c>
      <c r="BZ59" s="27">
        <f t="shared" si="161"/>
        <v>5719.5128238026082</v>
      </c>
      <c r="CA59" s="27">
        <f t="shared" si="161"/>
        <v>5719.5128238026082</v>
      </c>
      <c r="CB59" s="27">
        <f t="shared" si="161"/>
        <v>5719.5128238026082</v>
      </c>
      <c r="CC59" s="27">
        <f t="shared" si="161"/>
        <v>3060.3433635057336</v>
      </c>
      <c r="CD59" s="27">
        <f t="shared" si="161"/>
        <v>5719.5128238026082</v>
      </c>
      <c r="CE59" s="27">
        <f t="shared" si="161"/>
        <v>5891.098208516687</v>
      </c>
      <c r="CF59" s="27">
        <f t="shared" si="161"/>
        <v>5891.098208516687</v>
      </c>
      <c r="CG59" s="27">
        <f t="shared" si="161"/>
        <v>5891.098208516687</v>
      </c>
      <c r="CH59" s="27">
        <f t="shared" si="161"/>
        <v>5891.098208516687</v>
      </c>
      <c r="CI59" s="27">
        <f t="shared" ref="CI59:CO59" si="162">CI45-CI50-CI51-CI54</f>
        <v>5891.098208516687</v>
      </c>
      <c r="CJ59" s="27">
        <f t="shared" si="162"/>
        <v>5891.098208516687</v>
      </c>
      <c r="CK59" s="27">
        <f t="shared" si="162"/>
        <v>5891.098208516687</v>
      </c>
      <c r="CL59" s="27">
        <f t="shared" si="162"/>
        <v>5891.098208516687</v>
      </c>
      <c r="CM59" s="27">
        <f t="shared" si="162"/>
        <v>5891.098208516687</v>
      </c>
      <c r="CN59" s="27">
        <f t="shared" ref="CN59" si="163">CN45-CN50-CN51-CN54</f>
        <v>5891.098208516687</v>
      </c>
      <c r="CO59" s="27">
        <f t="shared" si="162"/>
        <v>3480.8041672643444</v>
      </c>
      <c r="CP59" s="27">
        <f>CP45-CP50-CP51-CP54</f>
        <v>5891.098208516687</v>
      </c>
      <c r="CQ59" s="27">
        <f>CQ45-CQ50-CQ51-CQ54</f>
        <v>0</v>
      </c>
      <c r="CR59" s="27">
        <f>CR45-CR50-CR51-CR54</f>
        <v>0</v>
      </c>
    </row>
    <row r="60" spans="6:97" x14ac:dyDescent="0.25">
      <c r="F60" s="17">
        <f t="shared" si="106"/>
        <v>50</v>
      </c>
      <c r="G60" s="27" t="s">
        <v>123</v>
      </c>
      <c r="H60" s="27">
        <f t="shared" ref="H60:U60" si="164">H42-H53-H54-H56</f>
        <v>0</v>
      </c>
      <c r="I60" s="27">
        <f t="shared" si="164"/>
        <v>0</v>
      </c>
      <c r="J60" s="27">
        <f t="shared" si="164"/>
        <v>0</v>
      </c>
      <c r="K60" s="27">
        <f t="shared" si="164"/>
        <v>-177.15267519605047</v>
      </c>
      <c r="L60" s="27">
        <f t="shared" si="164"/>
        <v>-177.15267519605047</v>
      </c>
      <c r="M60" s="27">
        <f t="shared" si="164"/>
        <v>-177.15267519605047</v>
      </c>
      <c r="N60" s="27">
        <f t="shared" si="164"/>
        <v>-177.15267519605047</v>
      </c>
      <c r="O60" s="27">
        <f t="shared" si="164"/>
        <v>-177.15267519605047</v>
      </c>
      <c r="P60" s="27">
        <f t="shared" si="164"/>
        <v>-177.15267519605047</v>
      </c>
      <c r="Q60" s="27">
        <f t="shared" si="164"/>
        <v>-177.15267519605047</v>
      </c>
      <c r="R60" s="27">
        <f t="shared" si="164"/>
        <v>-177.15267519605047</v>
      </c>
      <c r="S60" s="27">
        <f t="shared" si="164"/>
        <v>-177.15267519605047</v>
      </c>
      <c r="T60" s="27">
        <f t="shared" si="164"/>
        <v>-177.15267519605047</v>
      </c>
      <c r="U60" s="27">
        <f t="shared" si="164"/>
        <v>-177.15267519605047</v>
      </c>
      <c r="V60" s="27">
        <f t="shared" ref="V60:AS60" si="165">V42-V53-V54-V56</f>
        <v>-177.15267519605047</v>
      </c>
      <c r="W60" s="27">
        <f t="shared" si="165"/>
        <v>-182.46725545193198</v>
      </c>
      <c r="X60" s="27">
        <f t="shared" si="165"/>
        <v>-182.46725545193198</v>
      </c>
      <c r="Y60" s="27">
        <f t="shared" si="165"/>
        <v>-182.46725545193198</v>
      </c>
      <c r="Z60" s="27">
        <f t="shared" si="165"/>
        <v>-182.46725545193198</v>
      </c>
      <c r="AA60" s="27">
        <f t="shared" si="165"/>
        <v>-182.46725545193198</v>
      </c>
      <c r="AB60" s="27">
        <f t="shared" si="165"/>
        <v>-182.46725545193198</v>
      </c>
      <c r="AC60" s="27">
        <f t="shared" si="165"/>
        <v>-182.46725545193198</v>
      </c>
      <c r="AD60" s="27">
        <f t="shared" si="165"/>
        <v>-182.46725545193198</v>
      </c>
      <c r="AE60" s="27">
        <f t="shared" si="165"/>
        <v>-182.46725545193198</v>
      </c>
      <c r="AF60" s="27">
        <f t="shared" si="165"/>
        <v>-182.46725545193198</v>
      </c>
      <c r="AG60" s="27">
        <f t="shared" si="165"/>
        <v>-182.46725545193198</v>
      </c>
      <c r="AH60" s="27">
        <f t="shared" si="165"/>
        <v>-182.46725545193198</v>
      </c>
      <c r="AI60" s="27">
        <f t="shared" ref="AI60:AN60" si="166">AI42-AI53-AI54-AI56</f>
        <v>-187.94127311548993</v>
      </c>
      <c r="AJ60" s="27">
        <f t="shared" si="166"/>
        <v>-187.94127311548993</v>
      </c>
      <c r="AK60" s="27">
        <f t="shared" si="166"/>
        <v>-187.94127311548993</v>
      </c>
      <c r="AL60" s="27">
        <f t="shared" si="166"/>
        <v>-187.94127311548993</v>
      </c>
      <c r="AM60" s="27">
        <f t="shared" si="166"/>
        <v>-187.94127311548993</v>
      </c>
      <c r="AN60" s="27">
        <f t="shared" si="166"/>
        <v>-187.94127311548993</v>
      </c>
      <c r="AO60" s="27">
        <f t="shared" si="165"/>
        <v>-187.94127311548993</v>
      </c>
      <c r="AP60" s="27">
        <f t="shared" si="165"/>
        <v>-187.94127311548993</v>
      </c>
      <c r="AQ60" s="27">
        <f t="shared" si="165"/>
        <v>-187.94127311548993</v>
      </c>
      <c r="AR60" s="27">
        <f t="shared" si="165"/>
        <v>-187.94127311548993</v>
      </c>
      <c r="AS60" s="27">
        <f t="shared" si="165"/>
        <v>-187.94127311548993</v>
      </c>
      <c r="AT60" s="27">
        <f t="shared" ref="AT60:BE60" si="167">AT42-AT53-AT54-AT56</f>
        <v>-187.94127311548993</v>
      </c>
      <c r="AU60" s="27">
        <f t="shared" si="167"/>
        <v>-193.57951130895464</v>
      </c>
      <c r="AV60" s="27">
        <f t="shared" si="167"/>
        <v>-193.57951130895464</v>
      </c>
      <c r="AW60" s="27">
        <f t="shared" si="167"/>
        <v>-193.57951130895464</v>
      </c>
      <c r="AX60" s="27">
        <f t="shared" si="167"/>
        <v>-193.57951130895464</v>
      </c>
      <c r="AY60" s="27">
        <f t="shared" si="167"/>
        <v>-193.57951130895464</v>
      </c>
      <c r="AZ60" s="27">
        <f t="shared" si="167"/>
        <v>-193.57951130895464</v>
      </c>
      <c r="BA60" s="27">
        <f t="shared" si="167"/>
        <v>-193.57951130895464</v>
      </c>
      <c r="BB60" s="27">
        <f t="shared" si="167"/>
        <v>-193.57951130895464</v>
      </c>
      <c r="BC60" s="27">
        <f t="shared" si="167"/>
        <v>-193.57951130895464</v>
      </c>
      <c r="BD60" s="27">
        <f t="shared" si="167"/>
        <v>-193.57951130895464</v>
      </c>
      <c r="BE60" s="27">
        <f t="shared" si="167"/>
        <v>-193.57951130895464</v>
      </c>
      <c r="BF60" s="27">
        <f t="shared" ref="BF60:BV60" si="168">BF42-BF53-BF54-BF56</f>
        <v>-193.57951130895464</v>
      </c>
      <c r="BG60" s="27">
        <f t="shared" si="168"/>
        <v>-199.38689664822328</v>
      </c>
      <c r="BH60" s="27">
        <f t="shared" si="168"/>
        <v>-199.38689664822328</v>
      </c>
      <c r="BI60" s="27">
        <f t="shared" si="168"/>
        <v>-199.38689664822328</v>
      </c>
      <c r="BJ60" s="27">
        <f t="shared" si="168"/>
        <v>-199.38689664822328</v>
      </c>
      <c r="BK60" s="27">
        <f t="shared" si="168"/>
        <v>-199.38689664822328</v>
      </c>
      <c r="BL60" s="27">
        <f t="shared" si="168"/>
        <v>-199.38689664822328</v>
      </c>
      <c r="BM60" s="27">
        <f t="shared" si="168"/>
        <v>-199.38689664822328</v>
      </c>
      <c r="BN60" s="27">
        <f t="shared" si="168"/>
        <v>-199.38689664822328</v>
      </c>
      <c r="BO60" s="27">
        <f t="shared" si="168"/>
        <v>-199.38689664822328</v>
      </c>
      <c r="BP60" s="27">
        <f t="shared" ref="BP60:BQ60" si="169">BP42-BP53-BP54-BP56</f>
        <v>-199.38689664822328</v>
      </c>
      <c r="BQ60" s="27">
        <f t="shared" si="169"/>
        <v>-199.38689664822328</v>
      </c>
      <c r="BR60" s="27">
        <f t="shared" si="168"/>
        <v>-199.38689664822328</v>
      </c>
      <c r="BS60" s="27">
        <f t="shared" ref="BS60:BT60" si="170">BS42-BS53-BS54-BS56</f>
        <v>-205.36850354766997</v>
      </c>
      <c r="BT60" s="27">
        <f t="shared" si="170"/>
        <v>-205.36850354766997</v>
      </c>
      <c r="BU60" s="27">
        <f t="shared" si="168"/>
        <v>-205.36850354766997</v>
      </c>
      <c r="BV60" s="27">
        <f t="shared" si="168"/>
        <v>-205.36850354766997</v>
      </c>
      <c r="BW60" s="27">
        <f t="shared" ref="BW60:CH60" si="171">BW42-BW53-BW54-BW56</f>
        <v>-205.36850354766997</v>
      </c>
      <c r="BX60" s="27">
        <f t="shared" si="171"/>
        <v>-205.36850354766997</v>
      </c>
      <c r="BY60" s="27">
        <f t="shared" si="171"/>
        <v>-205.36850354766997</v>
      </c>
      <c r="BZ60" s="27">
        <f t="shared" si="171"/>
        <v>-205.36850354766997</v>
      </c>
      <c r="CA60" s="27">
        <f t="shared" si="171"/>
        <v>-205.36850354766997</v>
      </c>
      <c r="CB60" s="27">
        <f t="shared" si="171"/>
        <v>-205.36850354766997</v>
      </c>
      <c r="CC60" s="27">
        <f t="shared" si="171"/>
        <v>-205.36850354766997</v>
      </c>
      <c r="CD60" s="27">
        <f t="shared" si="171"/>
        <v>-205.36850354766997</v>
      </c>
      <c r="CE60" s="27">
        <f t="shared" si="171"/>
        <v>-211.52955865410007</v>
      </c>
      <c r="CF60" s="27">
        <f t="shared" si="171"/>
        <v>-211.52955865410007</v>
      </c>
      <c r="CG60" s="27">
        <f t="shared" si="171"/>
        <v>-211.52955865410007</v>
      </c>
      <c r="CH60" s="27">
        <f t="shared" si="171"/>
        <v>-211.52955865410007</v>
      </c>
      <c r="CI60" s="27">
        <f t="shared" ref="CI60:CO60" si="172">CI42-CI53-CI54-CI56</f>
        <v>-211.52955865410007</v>
      </c>
      <c r="CJ60" s="27">
        <f t="shared" si="172"/>
        <v>-211.52955865410007</v>
      </c>
      <c r="CK60" s="27">
        <f t="shared" si="172"/>
        <v>-211.52955865410007</v>
      </c>
      <c r="CL60" s="27">
        <f t="shared" si="172"/>
        <v>-211.52955865410007</v>
      </c>
      <c r="CM60" s="27">
        <f t="shared" si="172"/>
        <v>-211.52955865410007</v>
      </c>
      <c r="CN60" s="27">
        <f t="shared" ref="CN60" si="173">CN42-CN53-CN54-CN56</f>
        <v>-211.52955865410007</v>
      </c>
      <c r="CO60" s="27">
        <f t="shared" si="172"/>
        <v>-211.52955865410007</v>
      </c>
      <c r="CP60" s="27">
        <f>CP42-CP53-CP54-CP56</f>
        <v>-211.52955865410007</v>
      </c>
      <c r="CQ60" s="27">
        <f>CQ42-CQ53-CQ54-CQ56</f>
        <v>0</v>
      </c>
      <c r="CR60" s="27">
        <f>CR42-CR53-CR54-CR56</f>
        <v>43938.599441723716</v>
      </c>
    </row>
    <row r="61" spans="6:97" x14ac:dyDescent="0.25">
      <c r="F61" s="17">
        <f t="shared" si="106"/>
        <v>51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</row>
    <row r="62" spans="6:97" x14ac:dyDescent="0.25">
      <c r="F62" s="17">
        <f t="shared" si="106"/>
        <v>52</v>
      </c>
      <c r="G62" s="32" t="s">
        <v>124</v>
      </c>
    </row>
    <row r="63" spans="6:97" x14ac:dyDescent="0.25">
      <c r="F63" s="17">
        <f t="shared" si="106"/>
        <v>53</v>
      </c>
      <c r="G63" s="27"/>
      <c r="H63" s="27">
        <f t="shared" ref="H63:CQ63" si="174">H59+H31+H32</f>
        <v>0</v>
      </c>
      <c r="I63" s="27">
        <f t="shared" si="174"/>
        <v>-10471.769729720105</v>
      </c>
      <c r="J63" s="27">
        <f t="shared" si="174"/>
        <v>-5732.4197297201054</v>
      </c>
      <c r="K63" s="27">
        <f t="shared" si="174"/>
        <v>-798.71772551009997</v>
      </c>
      <c r="L63" s="27">
        <f t="shared" si="174"/>
        <v>-798.71772551009997</v>
      </c>
      <c r="M63" s="27">
        <f t="shared" si="174"/>
        <v>-798.71772551009997</v>
      </c>
      <c r="N63" s="27">
        <f t="shared" si="174"/>
        <v>-798.71772551009997</v>
      </c>
      <c r="O63" s="27">
        <f t="shared" si="174"/>
        <v>-798.71772551009997</v>
      </c>
      <c r="P63" s="27">
        <f t="shared" si="174"/>
        <v>-798.71772551009997</v>
      </c>
      <c r="Q63" s="27">
        <f t="shared" si="174"/>
        <v>-798.71772551009997</v>
      </c>
      <c r="R63" s="27">
        <f t="shared" si="174"/>
        <v>-798.71772551009997</v>
      </c>
      <c r="S63" s="27">
        <f t="shared" si="174"/>
        <v>-798.71772551009997</v>
      </c>
      <c r="T63" s="27">
        <f t="shared" si="174"/>
        <v>-798.71772551009997</v>
      </c>
      <c r="U63" s="27">
        <f t="shared" si="174"/>
        <v>-5538.0677255101</v>
      </c>
      <c r="V63" s="27">
        <f t="shared" si="174"/>
        <v>-798.71772551009997</v>
      </c>
      <c r="W63" s="27">
        <f t="shared" si="174"/>
        <v>-650.7066653838001</v>
      </c>
      <c r="X63" s="27">
        <f t="shared" si="174"/>
        <v>-650.7066653838001</v>
      </c>
      <c r="Y63" s="27">
        <f t="shared" si="174"/>
        <v>-650.7066653838001</v>
      </c>
      <c r="Z63" s="27">
        <f t="shared" si="174"/>
        <v>-650.7066653838001</v>
      </c>
      <c r="AA63" s="27">
        <f t="shared" si="174"/>
        <v>-650.7066653838001</v>
      </c>
      <c r="AB63" s="27">
        <f t="shared" si="174"/>
        <v>-650.7066653838001</v>
      </c>
      <c r="AC63" s="27">
        <f t="shared" si="174"/>
        <v>-650.7066653838001</v>
      </c>
      <c r="AD63" s="27">
        <f t="shared" si="174"/>
        <v>-650.7066653838001</v>
      </c>
      <c r="AE63" s="27">
        <f t="shared" si="174"/>
        <v>-650.7066653838001</v>
      </c>
      <c r="AF63" s="27">
        <f t="shared" si="174"/>
        <v>-650.7066653838001</v>
      </c>
      <c r="AG63" s="27">
        <f t="shared" si="174"/>
        <v>-4829.1541653838003</v>
      </c>
      <c r="AH63" s="27">
        <f t="shared" si="174"/>
        <v>-650.7066653838001</v>
      </c>
      <c r="AI63" s="27">
        <f t="shared" si="174"/>
        <v>-498.25527345371097</v>
      </c>
      <c r="AJ63" s="27">
        <f t="shared" si="174"/>
        <v>-498.25527345371097</v>
      </c>
      <c r="AK63" s="27">
        <f t="shared" si="174"/>
        <v>-498.25527345371097</v>
      </c>
      <c r="AL63" s="27">
        <f t="shared" si="174"/>
        <v>-498.25527345371097</v>
      </c>
      <c r="AM63" s="27">
        <f t="shared" si="174"/>
        <v>-498.25527345371097</v>
      </c>
      <c r="AN63" s="27">
        <f t="shared" si="174"/>
        <v>-498.25527345371097</v>
      </c>
      <c r="AO63" s="27">
        <f t="shared" si="174"/>
        <v>-498.25527345371097</v>
      </c>
      <c r="AP63" s="27">
        <f t="shared" si="174"/>
        <v>-498.25527345371097</v>
      </c>
      <c r="AQ63" s="27">
        <f t="shared" si="174"/>
        <v>-498.25527345371097</v>
      </c>
      <c r="AR63" s="27">
        <f t="shared" si="174"/>
        <v>-498.25527345371097</v>
      </c>
      <c r="AS63" s="27">
        <f t="shared" si="174"/>
        <v>-4199.9356484537102</v>
      </c>
      <c r="AT63" s="27">
        <f t="shared" si="174"/>
        <v>-498.25527345371097</v>
      </c>
      <c r="AU63" s="27">
        <f t="shared" si="174"/>
        <v>-341.23033976571912</v>
      </c>
      <c r="AV63" s="27">
        <f t="shared" si="174"/>
        <v>-341.23033976571912</v>
      </c>
      <c r="AW63" s="27">
        <f t="shared" si="174"/>
        <v>-341.23033976571912</v>
      </c>
      <c r="AX63" s="27">
        <f t="shared" si="174"/>
        <v>-341.23033976571912</v>
      </c>
      <c r="AY63" s="27">
        <f t="shared" si="174"/>
        <v>-341.23033976571912</v>
      </c>
      <c r="AZ63" s="27">
        <f t="shared" si="174"/>
        <v>-341.23033976571912</v>
      </c>
      <c r="BA63" s="27">
        <f t="shared" si="174"/>
        <v>-341.23033976571912</v>
      </c>
      <c r="BB63" s="27">
        <f t="shared" si="174"/>
        <v>-341.23033976571912</v>
      </c>
      <c r="BC63" s="27">
        <f t="shared" si="174"/>
        <v>-341.23033976571912</v>
      </c>
      <c r="BD63" s="27">
        <f t="shared" si="174"/>
        <v>-341.23033976571912</v>
      </c>
      <c r="BE63" s="27">
        <f t="shared" si="174"/>
        <v>-3637.6586585157188</v>
      </c>
      <c r="BF63" s="27">
        <f t="shared" si="174"/>
        <v>-341.23033976571912</v>
      </c>
      <c r="BG63" s="27">
        <f t="shared" si="174"/>
        <v>-179.49465806708702</v>
      </c>
      <c r="BH63" s="27">
        <f t="shared" si="174"/>
        <v>-179.49465806708702</v>
      </c>
      <c r="BI63" s="27">
        <f t="shared" si="174"/>
        <v>-179.49465806708702</v>
      </c>
      <c r="BJ63" s="27">
        <f t="shared" si="174"/>
        <v>-179.49465806708702</v>
      </c>
      <c r="BK63" s="27">
        <f t="shared" si="174"/>
        <v>-179.49465806708702</v>
      </c>
      <c r="BL63" s="27">
        <f t="shared" si="174"/>
        <v>-179.49465806708702</v>
      </c>
      <c r="BM63" s="27">
        <f t="shared" si="174"/>
        <v>-179.49465806708702</v>
      </c>
      <c r="BN63" s="27">
        <f t="shared" si="174"/>
        <v>-179.49465806708702</v>
      </c>
      <c r="BO63" s="27">
        <f t="shared" si="174"/>
        <v>-179.49465806708702</v>
      </c>
      <c r="BP63" s="27">
        <f t="shared" ref="BP63:BQ63" si="175">BP59+BP31+BP32</f>
        <v>-179.49465806708702</v>
      </c>
      <c r="BQ63" s="27">
        <f t="shared" si="175"/>
        <v>2600.9610007155188</v>
      </c>
      <c r="BR63" s="27">
        <f t="shared" si="174"/>
        <v>5552.9250716530178</v>
      </c>
      <c r="BS63" s="27">
        <f t="shared" ref="BS63:BT63" si="176">BS59+BS31+BS32</f>
        <v>5719.5128238026082</v>
      </c>
      <c r="BT63" s="27">
        <f t="shared" si="176"/>
        <v>5719.5128238026082</v>
      </c>
      <c r="BU63" s="27">
        <f t="shared" si="174"/>
        <v>5719.5128238026082</v>
      </c>
      <c r="BV63" s="27">
        <f t="shared" si="174"/>
        <v>5719.5128238026082</v>
      </c>
      <c r="BW63" s="27">
        <f t="shared" ref="BW63:CH63" si="177">BW59+BW31+BW32</f>
        <v>5719.5128238026082</v>
      </c>
      <c r="BX63" s="27">
        <f t="shared" si="177"/>
        <v>5719.5128238026082</v>
      </c>
      <c r="BY63" s="27">
        <f t="shared" si="177"/>
        <v>5719.5128238026082</v>
      </c>
      <c r="BZ63" s="27">
        <f t="shared" si="177"/>
        <v>5719.5128238026082</v>
      </c>
      <c r="CA63" s="27">
        <f t="shared" si="177"/>
        <v>5719.5128238026082</v>
      </c>
      <c r="CB63" s="27">
        <f t="shared" si="177"/>
        <v>5719.5128238026082</v>
      </c>
      <c r="CC63" s="27">
        <f t="shared" si="177"/>
        <v>3060.3433635057336</v>
      </c>
      <c r="CD63" s="27">
        <f t="shared" si="177"/>
        <v>5719.5128238026082</v>
      </c>
      <c r="CE63" s="27">
        <f t="shared" si="177"/>
        <v>5891.098208516687</v>
      </c>
      <c r="CF63" s="27">
        <f t="shared" si="177"/>
        <v>5891.098208516687</v>
      </c>
      <c r="CG63" s="27">
        <f t="shared" si="177"/>
        <v>5891.098208516687</v>
      </c>
      <c r="CH63" s="27">
        <f t="shared" si="177"/>
        <v>5891.098208516687</v>
      </c>
      <c r="CI63" s="27">
        <f t="shared" ref="CI63:CO63" si="178">CI59+CI31+CI32</f>
        <v>5891.098208516687</v>
      </c>
      <c r="CJ63" s="27">
        <f t="shared" si="178"/>
        <v>5891.098208516687</v>
      </c>
      <c r="CK63" s="27">
        <f t="shared" si="178"/>
        <v>5891.098208516687</v>
      </c>
      <c r="CL63" s="27">
        <f t="shared" si="178"/>
        <v>5891.098208516687</v>
      </c>
      <c r="CM63" s="27">
        <f t="shared" si="178"/>
        <v>5891.098208516687</v>
      </c>
      <c r="CN63" s="27">
        <f t="shared" ref="CN63" si="179">CN59+CN31+CN32</f>
        <v>5891.098208516687</v>
      </c>
      <c r="CO63" s="27">
        <f t="shared" si="178"/>
        <v>3480.8041672643444</v>
      </c>
      <c r="CP63" s="27">
        <f t="shared" si="174"/>
        <v>5891.098208516687</v>
      </c>
      <c r="CQ63" s="27">
        <f t="shared" si="174"/>
        <v>0</v>
      </c>
      <c r="CR63" s="27">
        <f>CR60</f>
        <v>43938.599441723716</v>
      </c>
      <c r="CS63" s="28">
        <f>SUM(H63:CR63)</f>
        <v>124968.39211715359</v>
      </c>
    </row>
    <row r="64" spans="6:97" x14ac:dyDescent="0.25">
      <c r="F64" s="17">
        <f t="shared" si="106"/>
        <v>54</v>
      </c>
    </row>
    <row r="65" spans="6:13" x14ac:dyDescent="0.25">
      <c r="F65" s="17">
        <f t="shared" si="106"/>
        <v>55</v>
      </c>
    </row>
    <row r="66" spans="6:13" x14ac:dyDescent="0.25">
      <c r="F66" s="17">
        <f t="shared" si="106"/>
        <v>56</v>
      </c>
      <c r="G66" s="16" t="s">
        <v>125</v>
      </c>
      <c r="H66" s="190">
        <v>5536.021099876577</v>
      </c>
      <c r="I66">
        <f>3300/3150</f>
        <v>1.0476190476190477</v>
      </c>
      <c r="J66">
        <f>3200*I66</f>
        <v>3352.3809523809527</v>
      </c>
    </row>
    <row r="67" spans="6:13" x14ac:dyDescent="0.25">
      <c r="F67" s="17">
        <f t="shared" si="106"/>
        <v>57</v>
      </c>
    </row>
    <row r="68" spans="6:13" x14ac:dyDescent="0.25">
      <c r="F68" s="17">
        <f t="shared" si="106"/>
        <v>58</v>
      </c>
      <c r="G68" s="16" t="s">
        <v>126</v>
      </c>
      <c r="H68" s="46">
        <v>0.25</v>
      </c>
    </row>
    <row r="69" spans="6:13" x14ac:dyDescent="0.25">
      <c r="F69" s="17">
        <f t="shared" si="106"/>
        <v>59</v>
      </c>
      <c r="J69">
        <f>3540/3570</f>
        <v>0.99159663865546221</v>
      </c>
    </row>
    <row r="70" spans="6:13" x14ac:dyDescent="0.25">
      <c r="F70" s="17">
        <f t="shared" si="106"/>
        <v>60</v>
      </c>
      <c r="G70" s="16" t="s">
        <v>127</v>
      </c>
      <c r="H70" s="46">
        <f>(1+H68)^(1/12)-1</f>
        <v>1.8769265121506118E-2</v>
      </c>
      <c r="J70">
        <v>3530</v>
      </c>
    </row>
    <row r="71" spans="6:13" x14ac:dyDescent="0.25">
      <c r="F71" s="17">
        <f t="shared" si="106"/>
        <v>61</v>
      </c>
      <c r="J71">
        <f>3530/3570</f>
        <v>0.98879551820728295</v>
      </c>
    </row>
    <row r="72" spans="6:13" ht="28.5" x14ac:dyDescent="0.45">
      <c r="F72" s="17">
        <f t="shared" si="106"/>
        <v>62</v>
      </c>
      <c r="G72" s="16" t="s">
        <v>128</v>
      </c>
      <c r="H72" s="34">
        <f>NPV(H70,H63:CR63)</f>
        <v>464.35045484384716</v>
      </c>
      <c r="I72" s="227" t="s">
        <v>129</v>
      </c>
      <c r="J72" s="228"/>
      <c r="K72" s="228"/>
      <c r="L72" s="228"/>
      <c r="M72" s="228"/>
    </row>
    <row r="73" spans="6:13" x14ac:dyDescent="0.25">
      <c r="F73" s="17">
        <f t="shared" si="106"/>
        <v>63</v>
      </c>
      <c r="I73" s="226"/>
    </row>
    <row r="74" spans="6:13" x14ac:dyDescent="0.25">
      <c r="F74" s="17">
        <f t="shared" si="106"/>
        <v>64</v>
      </c>
      <c r="G74" s="16" t="s">
        <v>130</v>
      </c>
      <c r="H74" s="204">
        <f>IRR(H63:CR63,0.1)</f>
        <v>1.8946454845895522E-2</v>
      </c>
    </row>
    <row r="75" spans="6:13" x14ac:dyDescent="0.25">
      <c r="F75" s="17">
        <f t="shared" si="106"/>
        <v>65</v>
      </c>
    </row>
    <row r="76" spans="6:13" x14ac:dyDescent="0.25">
      <c r="F76" s="17">
        <f t="shared" si="106"/>
        <v>66</v>
      </c>
      <c r="G76" s="230" t="s">
        <v>131</v>
      </c>
      <c r="H76">
        <v>36</v>
      </c>
      <c r="I76">
        <v>48</v>
      </c>
    </row>
    <row r="77" spans="6:13" x14ac:dyDescent="0.25">
      <c r="F77" s="17">
        <f t="shared" ref="F77" si="180">F76+1</f>
        <v>67</v>
      </c>
      <c r="G77" s="43" t="s">
        <v>132</v>
      </c>
      <c r="H77">
        <v>3950</v>
      </c>
      <c r="I77">
        <v>3570</v>
      </c>
    </row>
    <row r="78" spans="6:13" x14ac:dyDescent="0.25">
      <c r="H78" s="176">
        <v>3570</v>
      </c>
      <c r="I78" s="176">
        <f>H77-H78</f>
        <v>380</v>
      </c>
      <c r="J78" s="176">
        <f>I78*43</f>
        <v>16340</v>
      </c>
    </row>
    <row r="79" spans="6:13" x14ac:dyDescent="0.25">
      <c r="H79" s="26">
        <f>(H78/H77)-1</f>
        <v>-9.6202531645569578E-2</v>
      </c>
      <c r="J79" s="176">
        <f>J78*12</f>
        <v>196080</v>
      </c>
    </row>
    <row r="80" spans="6:13" x14ac:dyDescent="0.25">
      <c r="G80" s="266" t="s">
        <v>133</v>
      </c>
      <c r="H80" s="266"/>
      <c r="J80" s="176">
        <f>J79*3</f>
        <v>588240</v>
      </c>
    </row>
    <row r="81" spans="7:8" x14ac:dyDescent="0.25">
      <c r="G81" t="s">
        <v>134</v>
      </c>
      <c r="H81" s="126">
        <f>SUM(H21:CR21)</f>
        <v>256999.9999999998</v>
      </c>
    </row>
    <row r="82" spans="7:8" x14ac:dyDescent="0.25">
      <c r="G82" s="264" t="s">
        <v>135</v>
      </c>
      <c r="H82" s="265"/>
    </row>
    <row r="83" spans="7:8" x14ac:dyDescent="0.25">
      <c r="G83" s="161" t="s">
        <v>136</v>
      </c>
      <c r="H83" s="162">
        <f>Dados!C32</f>
        <v>257000</v>
      </c>
    </row>
    <row r="84" spans="7:8" x14ac:dyDescent="0.25">
      <c r="G84" s="161" t="s">
        <v>137</v>
      </c>
      <c r="H84" s="162">
        <f>SUM(H21:CV21)</f>
        <v>256999.9999999998</v>
      </c>
    </row>
    <row r="85" spans="7:8" x14ac:dyDescent="0.25">
      <c r="G85" t="s">
        <v>138</v>
      </c>
      <c r="H85" s="126">
        <f ca="1">IF(H83-H84&lt;0,0,H83-H85)</f>
        <v>0</v>
      </c>
    </row>
    <row r="86" spans="7:8" x14ac:dyDescent="0.25">
      <c r="H86" s="126"/>
    </row>
    <row r="87" spans="7:8" x14ac:dyDescent="0.25">
      <c r="G87" s="161" t="s">
        <v>139</v>
      </c>
      <c r="H87" s="162">
        <f>Dados!C36</f>
        <v>66573.635517763207</v>
      </c>
    </row>
    <row r="88" spans="7:8" x14ac:dyDescent="0.25">
      <c r="H88" s="126"/>
    </row>
    <row r="89" spans="7:8" ht="29.1" customHeight="1" x14ac:dyDescent="0.25">
      <c r="G89" t="s">
        <v>140</v>
      </c>
      <c r="H89" s="126">
        <f>H87</f>
        <v>66573.635517763207</v>
      </c>
    </row>
    <row r="90" spans="7:8" ht="31.5" x14ac:dyDescent="0.25">
      <c r="G90" s="163" t="s">
        <v>141</v>
      </c>
      <c r="H90" s="164">
        <f>IF(H89&gt;0,H89,0)</f>
        <v>66573.635517763207</v>
      </c>
    </row>
    <row r="91" spans="7:8" x14ac:dyDescent="0.25">
      <c r="G91" s="262" t="s">
        <v>142</v>
      </c>
      <c r="H91" s="263"/>
    </row>
    <row r="92" spans="7:8" x14ac:dyDescent="0.25">
      <c r="G92" s="27" t="s">
        <v>118</v>
      </c>
      <c r="H92" s="202">
        <f>$H$90*15%</f>
        <v>9986.0453276644803</v>
      </c>
    </row>
    <row r="93" spans="7:8" x14ac:dyDescent="0.25">
      <c r="G93" s="27" t="s">
        <v>119</v>
      </c>
      <c r="H93" s="202">
        <f>H90*10%</f>
        <v>6657.3635517763214</v>
      </c>
    </row>
    <row r="94" spans="7:8" x14ac:dyDescent="0.25">
      <c r="G94" s="27" t="s">
        <v>120</v>
      </c>
      <c r="H94" s="202">
        <f>H90*9%</f>
        <v>5991.627196598688</v>
      </c>
    </row>
    <row r="95" spans="7:8" x14ac:dyDescent="0.25">
      <c r="G95" s="203" t="s">
        <v>143</v>
      </c>
      <c r="H95" s="202">
        <f>SUM(H92:H94)</f>
        <v>22635.036076039491</v>
      </c>
    </row>
    <row r="96" spans="7:8" x14ac:dyDescent="0.25">
      <c r="G96" s="203" t="s">
        <v>144</v>
      </c>
      <c r="H96" s="202">
        <f>H87-H95</f>
        <v>43938.599441723716</v>
      </c>
    </row>
  </sheetData>
  <mergeCells count="12">
    <mergeCell ref="CD5:CO5"/>
    <mergeCell ref="G91:H91"/>
    <mergeCell ref="G82:H82"/>
    <mergeCell ref="G80:H80"/>
    <mergeCell ref="AT5:BE5"/>
    <mergeCell ref="BF5:BQ5"/>
    <mergeCell ref="BR5:CC5"/>
    <mergeCell ref="G1:H1"/>
    <mergeCell ref="G5:H5"/>
    <mergeCell ref="J5:U5"/>
    <mergeCell ref="V5:AG5"/>
    <mergeCell ref="AH5:AS5"/>
  </mergeCells>
  <dataValidations disablePrompts="1" count="1">
    <dataValidation type="list" allowBlank="1" showInputMessage="1" showErrorMessage="1" sqref="H6" xr:uid="{00000000-0002-0000-0100-000000000000}">
      <formula1>#REF!</formula1>
    </dataValidation>
  </dataValidation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W88"/>
  <sheetViews>
    <sheetView showGridLines="0" topLeftCell="A27" workbookViewId="0">
      <selection activeCell="C41" sqref="C41"/>
    </sheetView>
  </sheetViews>
  <sheetFormatPr defaultColWidth="11" defaultRowHeight="15.75" x14ac:dyDescent="0.25"/>
  <cols>
    <col min="1" max="1" width="44.125" bestFit="1" customWidth="1"/>
    <col min="2" max="2" width="13.625" bestFit="1" customWidth="1"/>
    <col min="3" max="3" width="13.125" customWidth="1"/>
    <col min="4" max="4" width="14.625" customWidth="1"/>
    <col min="5" max="5" width="11" customWidth="1"/>
    <col min="6" max="6" width="10.875" customWidth="1"/>
    <col min="8" max="8" width="11.625" bestFit="1" customWidth="1"/>
    <col min="10" max="10" width="11" bestFit="1" customWidth="1"/>
    <col min="11" max="11" width="11.875" bestFit="1" customWidth="1"/>
    <col min="12" max="12" width="11.5" bestFit="1" customWidth="1"/>
    <col min="34" max="34" width="11.875" bestFit="1" customWidth="1"/>
  </cols>
  <sheetData>
    <row r="1" spans="1:34" ht="39" customHeight="1" x14ac:dyDescent="0.25">
      <c r="A1" s="234" t="s">
        <v>145</v>
      </c>
      <c r="B1" s="234"/>
      <c r="C1" s="234"/>
      <c r="D1" s="234"/>
      <c r="E1" s="234"/>
      <c r="F1" s="234"/>
    </row>
    <row r="2" spans="1:34" ht="20.100000000000001" customHeight="1" x14ac:dyDescent="0.25">
      <c r="A2" s="234"/>
      <c r="B2" s="234"/>
      <c r="C2" s="234"/>
      <c r="D2" s="234"/>
      <c r="E2" s="234"/>
      <c r="F2" s="234"/>
    </row>
    <row r="3" spans="1:34" hidden="1" x14ac:dyDescent="0.25">
      <c r="A3" s="235" t="s">
        <v>146</v>
      </c>
      <c r="B3" s="235"/>
      <c r="C3" s="236" t="s">
        <v>147</v>
      </c>
      <c r="D3" s="237">
        <v>12</v>
      </c>
    </row>
    <row r="4" spans="1:34" ht="30.95" hidden="1" customHeight="1" x14ac:dyDescent="0.25">
      <c r="A4" s="235"/>
      <c r="B4" s="235"/>
      <c r="C4" s="236"/>
      <c r="D4" s="237"/>
    </row>
    <row r="5" spans="1:34" ht="30" hidden="1" customHeight="1" x14ac:dyDescent="0.25">
      <c r="A5" s="235"/>
      <c r="B5" s="235"/>
      <c r="C5" s="123" t="s">
        <v>14</v>
      </c>
      <c r="D5" s="124">
        <v>3</v>
      </c>
    </row>
    <row r="6" spans="1:34" ht="44.1" hidden="1" customHeight="1" x14ac:dyDescent="0.25">
      <c r="A6" s="235"/>
      <c r="B6" s="235"/>
      <c r="C6" s="125" t="s">
        <v>148</v>
      </c>
      <c r="D6" s="124">
        <f>D3+D5</f>
        <v>15</v>
      </c>
    </row>
    <row r="7" spans="1:34" ht="30" hidden="1" customHeight="1" thickBot="1" x14ac:dyDescent="0.3"/>
    <row r="8" spans="1:34" hidden="1" x14ac:dyDescent="0.25">
      <c r="A8" s="238" t="s">
        <v>149</v>
      </c>
      <c r="B8" s="239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6.5" hidden="1" thickBot="1" x14ac:dyDescent="0.3">
      <c r="A9" s="7" t="s">
        <v>150</v>
      </c>
      <c r="B9" s="8">
        <v>260000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idden="1" x14ac:dyDescent="0.25">
      <c r="A11" s="5"/>
      <c r="B11" s="14">
        <f>Dados!C6</f>
        <v>42705</v>
      </c>
      <c r="C11" s="14">
        <f t="shared" ref="C11:O11" si="0">EDATE(B11,1)</f>
        <v>42736</v>
      </c>
      <c r="D11" s="14">
        <f t="shared" si="0"/>
        <v>42767</v>
      </c>
      <c r="E11" s="14">
        <f t="shared" si="0"/>
        <v>42795</v>
      </c>
      <c r="F11" s="14">
        <f t="shared" si="0"/>
        <v>42826</v>
      </c>
      <c r="G11" s="14">
        <f t="shared" si="0"/>
        <v>42856</v>
      </c>
      <c r="H11" s="14">
        <f t="shared" si="0"/>
        <v>42887</v>
      </c>
      <c r="I11" s="14">
        <f t="shared" si="0"/>
        <v>42917</v>
      </c>
      <c r="J11" s="14">
        <f t="shared" si="0"/>
        <v>42948</v>
      </c>
      <c r="K11" s="14">
        <f t="shared" si="0"/>
        <v>42979</v>
      </c>
      <c r="L11" s="14">
        <f t="shared" si="0"/>
        <v>43009</v>
      </c>
      <c r="M11" s="14">
        <f t="shared" si="0"/>
        <v>43040</v>
      </c>
      <c r="N11" s="14">
        <f t="shared" si="0"/>
        <v>43070</v>
      </c>
      <c r="O11" s="14">
        <f t="shared" si="0"/>
        <v>43101</v>
      </c>
      <c r="P11" s="14"/>
      <c r="Q11" s="14"/>
      <c r="R11" s="14"/>
      <c r="S11" s="14"/>
      <c r="T11" s="14"/>
      <c r="U11" s="14"/>
      <c r="V11" s="14"/>
      <c r="W11" s="14"/>
      <c r="X11" s="14">
        <f>EDATE(O11,1)</f>
        <v>43132</v>
      </c>
      <c r="Y11" s="72">
        <f>EDATE(X11,1)</f>
        <v>43160</v>
      </c>
      <c r="Z11" s="77"/>
      <c r="AA11" s="77"/>
      <c r="AB11" s="77"/>
      <c r="AC11" s="77"/>
      <c r="AD11" s="77"/>
      <c r="AE11" s="77"/>
      <c r="AF11" s="77"/>
      <c r="AG11" s="77"/>
      <c r="AH11" s="77"/>
    </row>
    <row r="12" spans="1:34" hidden="1" x14ac:dyDescent="0.25">
      <c r="A12" s="5"/>
      <c r="B12" s="15">
        <v>0</v>
      </c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/>
      <c r="Q12" s="15"/>
      <c r="R12" s="15"/>
      <c r="S12" s="15"/>
      <c r="T12" s="15"/>
      <c r="U12" s="15"/>
      <c r="V12" s="15"/>
      <c r="W12" s="15"/>
      <c r="X12" s="15">
        <v>14</v>
      </c>
      <c r="Y12" s="73">
        <v>15</v>
      </c>
      <c r="Z12" s="78"/>
      <c r="AA12" s="78"/>
      <c r="AB12" s="78"/>
      <c r="AC12" s="78"/>
      <c r="AD12" s="78"/>
      <c r="AE12" s="78"/>
      <c r="AF12" s="78"/>
      <c r="AG12" s="78"/>
      <c r="AH12" s="78"/>
    </row>
    <row r="13" spans="1:34" hidden="1" x14ac:dyDescent="0.25">
      <c r="A13" s="12" t="s">
        <v>151</v>
      </c>
      <c r="B13" s="13">
        <v>0</v>
      </c>
      <c r="C13" s="13">
        <v>0</v>
      </c>
      <c r="D13" s="13">
        <v>0</v>
      </c>
      <c r="E13" s="13">
        <v>4226.04</v>
      </c>
      <c r="F13" s="13">
        <v>0</v>
      </c>
      <c r="G13" s="13">
        <v>0</v>
      </c>
      <c r="H13" s="13">
        <v>3678.48</v>
      </c>
      <c r="I13" s="13">
        <v>6387.9</v>
      </c>
      <c r="J13" s="13">
        <v>6321.82</v>
      </c>
      <c r="K13" s="13">
        <v>6417.5</v>
      </c>
      <c r="L13" s="13">
        <v>6233.47</v>
      </c>
      <c r="M13" s="13">
        <v>6248.4</v>
      </c>
      <c r="N13" s="13">
        <v>6299.2</v>
      </c>
      <c r="O13" s="13">
        <v>6172.51</v>
      </c>
      <c r="P13" s="13"/>
      <c r="Q13" s="13"/>
      <c r="R13" s="13"/>
      <c r="S13" s="13"/>
      <c r="T13" s="13"/>
      <c r="U13" s="13"/>
      <c r="V13" s="13"/>
      <c r="W13" s="13"/>
      <c r="X13" s="13">
        <v>6210.86</v>
      </c>
      <c r="Y13" s="74">
        <v>219215.68</v>
      </c>
      <c r="Z13" s="4"/>
      <c r="AA13" s="4"/>
      <c r="AB13" s="4"/>
      <c r="AC13" s="4"/>
      <c r="AD13" s="4"/>
      <c r="AE13" s="4"/>
      <c r="AF13" s="4"/>
      <c r="AG13" s="4"/>
      <c r="AH13" s="4"/>
    </row>
    <row r="14" spans="1:34" hidden="1" x14ac:dyDescent="0.25"/>
    <row r="15" spans="1:34" hidden="1" x14ac:dyDescent="0.25">
      <c r="A15" s="240" t="s">
        <v>152</v>
      </c>
      <c r="B15" s="241"/>
      <c r="E15" s="4"/>
      <c r="I15" s="4"/>
      <c r="J15" s="4"/>
      <c r="K15" s="6"/>
      <c r="AH15" s="4"/>
    </row>
    <row r="16" spans="1:34" hidden="1" x14ac:dyDescent="0.25">
      <c r="A16" s="71" t="s">
        <v>153</v>
      </c>
      <c r="B16" s="70">
        <v>1</v>
      </c>
      <c r="E16" s="4"/>
      <c r="I16" s="4"/>
      <c r="J16" s="4"/>
      <c r="K16" s="6"/>
      <c r="AH16" s="4"/>
    </row>
    <row r="17" spans="1:34" ht="16.5" hidden="1" thickBot="1" x14ac:dyDescent="0.3">
      <c r="A17" s="9" t="s">
        <v>154</v>
      </c>
      <c r="B17" s="10">
        <f>B16*B9</f>
        <v>260000</v>
      </c>
      <c r="AH17" s="4"/>
    </row>
    <row r="18" spans="1:34" hidden="1" x14ac:dyDescent="0.25"/>
    <row r="19" spans="1:34" hidden="1" x14ac:dyDescent="0.25">
      <c r="B19" s="14">
        <f>Dados!C6</f>
        <v>42705</v>
      </c>
      <c r="C19" s="14">
        <f t="shared" ref="C19:O19" si="1">EDATE(B19,1)</f>
        <v>42736</v>
      </c>
      <c r="D19" s="14">
        <f t="shared" si="1"/>
        <v>42767</v>
      </c>
      <c r="E19" s="14">
        <f t="shared" si="1"/>
        <v>42795</v>
      </c>
      <c r="F19" s="14">
        <f t="shared" si="1"/>
        <v>42826</v>
      </c>
      <c r="G19" s="14">
        <f t="shared" si="1"/>
        <v>42856</v>
      </c>
      <c r="H19" s="14">
        <f t="shared" si="1"/>
        <v>42887</v>
      </c>
      <c r="I19" s="14">
        <f t="shared" si="1"/>
        <v>42917</v>
      </c>
      <c r="J19" s="14">
        <f t="shared" si="1"/>
        <v>42948</v>
      </c>
      <c r="K19" s="14">
        <f t="shared" si="1"/>
        <v>42979</v>
      </c>
      <c r="L19" s="14">
        <f t="shared" si="1"/>
        <v>43009</v>
      </c>
      <c r="M19" s="14">
        <f t="shared" si="1"/>
        <v>43040</v>
      </c>
      <c r="N19" s="14">
        <f t="shared" si="1"/>
        <v>43070</v>
      </c>
      <c r="O19" s="14">
        <f t="shared" si="1"/>
        <v>43101</v>
      </c>
      <c r="P19" s="14"/>
      <c r="Q19" s="14"/>
      <c r="R19" s="14"/>
      <c r="S19" s="14"/>
      <c r="T19" s="14"/>
      <c r="U19" s="14"/>
      <c r="V19" s="14"/>
      <c r="W19" s="14"/>
      <c r="X19" s="14">
        <f>EDATE(O19,1)</f>
        <v>43132</v>
      </c>
      <c r="Y19" s="72">
        <f>EDATE(X19,1)</f>
        <v>43160</v>
      </c>
      <c r="Z19" s="77"/>
      <c r="AA19" s="77"/>
      <c r="AB19" s="77"/>
      <c r="AC19" s="77"/>
      <c r="AD19" s="77"/>
      <c r="AE19" s="77"/>
      <c r="AF19" s="77"/>
      <c r="AG19" s="77"/>
      <c r="AH19" s="77"/>
    </row>
    <row r="20" spans="1:34" hidden="1" x14ac:dyDescent="0.25">
      <c r="B20" s="15">
        <v>0</v>
      </c>
      <c r="C20" s="15">
        <f t="shared" ref="C20:O20" si="2">B20+1</f>
        <v>1</v>
      </c>
      <c r="D20" s="15">
        <f t="shared" si="2"/>
        <v>2</v>
      </c>
      <c r="E20" s="15">
        <f t="shared" si="2"/>
        <v>3</v>
      </c>
      <c r="F20" s="15">
        <f t="shared" si="2"/>
        <v>4</v>
      </c>
      <c r="G20" s="15">
        <f t="shared" si="2"/>
        <v>5</v>
      </c>
      <c r="H20" s="15">
        <f t="shared" si="2"/>
        <v>6</v>
      </c>
      <c r="I20" s="15">
        <f t="shared" si="2"/>
        <v>7</v>
      </c>
      <c r="J20" s="15">
        <f t="shared" si="2"/>
        <v>8</v>
      </c>
      <c r="K20" s="15">
        <f t="shared" si="2"/>
        <v>9</v>
      </c>
      <c r="L20" s="15">
        <f t="shared" si="2"/>
        <v>10</v>
      </c>
      <c r="M20" s="15">
        <f t="shared" si="2"/>
        <v>11</v>
      </c>
      <c r="N20" s="15">
        <f t="shared" si="2"/>
        <v>12</v>
      </c>
      <c r="O20" s="15">
        <f t="shared" si="2"/>
        <v>13</v>
      </c>
      <c r="P20" s="15"/>
      <c r="Q20" s="15"/>
      <c r="R20" s="15"/>
      <c r="S20" s="15"/>
      <c r="T20" s="15"/>
      <c r="U20" s="15"/>
      <c r="V20" s="15"/>
      <c r="W20" s="15"/>
      <c r="X20" s="15">
        <f>O20+1</f>
        <v>14</v>
      </c>
      <c r="Y20" s="73">
        <f>X20+1</f>
        <v>15</v>
      </c>
      <c r="Z20" s="78"/>
      <c r="AA20" s="78"/>
      <c r="AB20" s="78"/>
      <c r="AC20" s="78"/>
      <c r="AD20" s="78"/>
      <c r="AE20" s="78"/>
      <c r="AF20" s="78"/>
      <c r="AG20" s="78"/>
      <c r="AH20" s="78"/>
    </row>
    <row r="21" spans="1:34" hidden="1" x14ac:dyDescent="0.25">
      <c r="A21" s="12" t="s">
        <v>151</v>
      </c>
      <c r="B21" s="13" t="e">
        <f>B13*#REF!</f>
        <v>#REF!</v>
      </c>
      <c r="C21" s="13" t="e">
        <f>C13*#REF!</f>
        <v>#REF!</v>
      </c>
      <c r="D21" s="13" t="e">
        <f>D13*#REF!</f>
        <v>#REF!</v>
      </c>
      <c r="E21" s="13" t="e">
        <f>E13*#REF!</f>
        <v>#REF!</v>
      </c>
      <c r="F21" s="13" t="e">
        <f>F13*#REF!</f>
        <v>#REF!</v>
      </c>
      <c r="G21" s="13" t="e">
        <f>G13*#REF!</f>
        <v>#REF!</v>
      </c>
      <c r="H21" s="13" t="e">
        <f>H13*#REF!</f>
        <v>#REF!</v>
      </c>
      <c r="I21" s="13" t="e">
        <f>I13*#REF!</f>
        <v>#REF!</v>
      </c>
      <c r="J21" s="13" t="e">
        <f>J13*#REF!</f>
        <v>#REF!</v>
      </c>
      <c r="K21" s="13" t="e">
        <f>K13*#REF!</f>
        <v>#REF!</v>
      </c>
      <c r="L21" s="13" t="e">
        <f>L13*#REF!</f>
        <v>#REF!</v>
      </c>
      <c r="M21" s="13" t="e">
        <f>M13*#REF!</f>
        <v>#REF!</v>
      </c>
      <c r="N21" s="13" t="e">
        <f>N13*#REF!</f>
        <v>#REF!</v>
      </c>
      <c r="O21" s="13" t="e">
        <f>O13*#REF!</f>
        <v>#REF!</v>
      </c>
      <c r="P21" s="13"/>
      <c r="Q21" s="13"/>
      <c r="R21" s="13"/>
      <c r="S21" s="13"/>
      <c r="T21" s="13"/>
      <c r="U21" s="13"/>
      <c r="V21" s="13"/>
      <c r="W21" s="13"/>
      <c r="X21" s="13" t="e">
        <f>X13*#REF!</f>
        <v>#REF!</v>
      </c>
      <c r="Y21" s="74" t="e">
        <f>Y13*#REF!</f>
        <v>#REF!</v>
      </c>
      <c r="Z21" s="4"/>
      <c r="AA21" s="4"/>
      <c r="AB21" s="4"/>
      <c r="AC21" s="4"/>
      <c r="AD21" s="4"/>
      <c r="AE21" s="4"/>
      <c r="AF21" s="4"/>
      <c r="AG21" s="4"/>
      <c r="AH21" s="4"/>
    </row>
    <row r="22" spans="1:34" ht="36" customHeight="1" x14ac:dyDescent="0.25">
      <c r="A22" s="198" t="s">
        <v>155</v>
      </c>
      <c r="B22" s="131" t="s">
        <v>156</v>
      </c>
      <c r="C22" s="131" t="s">
        <v>157</v>
      </c>
      <c r="D22" s="131" t="s">
        <v>158</v>
      </c>
      <c r="E22" s="132" t="s">
        <v>159</v>
      </c>
      <c r="F22" s="132" t="s">
        <v>160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x14ac:dyDescent="0.25">
      <c r="A23" s="199" t="s">
        <v>161</v>
      </c>
      <c r="B23" s="136">
        <v>1</v>
      </c>
      <c r="C23" s="136">
        <v>9.9000000000000008E-3</v>
      </c>
      <c r="D23" s="200">
        <v>0.13500000000000001</v>
      </c>
      <c r="E23" s="137">
        <v>60</v>
      </c>
      <c r="F23" s="137">
        <v>180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spans="1:34" x14ac:dyDescent="0.25">
      <c r="A24" s="199" t="s">
        <v>162</v>
      </c>
      <c r="B24" s="136">
        <v>0</v>
      </c>
      <c r="C24" s="136">
        <v>1.41E-2</v>
      </c>
      <c r="D24" s="136">
        <v>6.4799999999999996E-2</v>
      </c>
      <c r="E24" s="137">
        <v>60</v>
      </c>
      <c r="F24" s="137">
        <v>180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4" x14ac:dyDescent="0.25">
      <c r="A25" s="178"/>
      <c r="B25" s="135" t="s">
        <v>163</v>
      </c>
      <c r="C25" s="136">
        <v>1.24E-2</v>
      </c>
      <c r="D25" s="136">
        <f>SUM(D23:D24)</f>
        <v>0.19980000000000001</v>
      </c>
      <c r="E25" s="137">
        <v>60</v>
      </c>
      <c r="F25" s="137">
        <v>180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spans="1:34" x14ac:dyDescent="0.25">
      <c r="A26" s="127" t="s">
        <v>164</v>
      </c>
      <c r="B26" s="128">
        <v>0</v>
      </c>
      <c r="C26" s="129">
        <v>0</v>
      </c>
      <c r="D26" s="129">
        <v>0</v>
      </c>
      <c r="E26" s="130">
        <v>0</v>
      </c>
      <c r="F26" s="130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spans="1:34" x14ac:dyDescent="0.25">
      <c r="A27" s="139" t="s">
        <v>165</v>
      </c>
      <c r="B27" s="140">
        <v>0</v>
      </c>
      <c r="C27" s="141" t="s">
        <v>166</v>
      </c>
      <c r="D27" s="141" t="s">
        <v>166</v>
      </c>
      <c r="E27" s="142" t="s">
        <v>166</v>
      </c>
      <c r="F27" s="142" t="s">
        <v>166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spans="1:34" x14ac:dyDescent="0.25">
      <c r="A28" s="55" t="s">
        <v>167</v>
      </c>
      <c r="B28" s="138">
        <f>Dados!C29</f>
        <v>257000</v>
      </c>
      <c r="C28" s="138"/>
      <c r="D28" s="138"/>
      <c r="E28" s="138"/>
      <c r="F28" s="138"/>
    </row>
    <row r="29" spans="1:34" x14ac:dyDescent="0.25">
      <c r="A29" s="55" t="s">
        <v>168</v>
      </c>
      <c r="B29" s="138">
        <f>Dados!C30</f>
        <v>0</v>
      </c>
      <c r="C29" s="138"/>
      <c r="D29" s="138"/>
      <c r="E29" s="138"/>
      <c r="F29" s="138"/>
    </row>
    <row r="30" spans="1:34" ht="15" customHeight="1" x14ac:dyDescent="0.25">
      <c r="A30" s="235" t="str">
        <f>Dados!A29</f>
        <v>express</v>
      </c>
      <c r="B30" s="235"/>
      <c r="C30" s="243" t="s">
        <v>147</v>
      </c>
      <c r="D30" s="242">
        <f>Dados!C13</f>
        <v>60</v>
      </c>
    </row>
    <row r="31" spans="1:34" ht="32.1" customHeight="1" x14ac:dyDescent="0.25">
      <c r="A31" s="235"/>
      <c r="B31" s="235"/>
      <c r="C31" s="243"/>
      <c r="D31" s="242"/>
    </row>
    <row r="32" spans="1:34" ht="51.95" customHeight="1" x14ac:dyDescent="0.25">
      <c r="A32" s="235"/>
      <c r="B32" s="235"/>
      <c r="C32" s="110" t="s">
        <v>14</v>
      </c>
      <c r="D32" s="109">
        <f>Dados!C9</f>
        <v>2</v>
      </c>
    </row>
    <row r="33" spans="1:65" ht="78.75" x14ac:dyDescent="0.25">
      <c r="A33" s="235"/>
      <c r="B33" s="235"/>
      <c r="C33" s="110" t="str">
        <f>Dados!B11</f>
        <v>Meses para vender os caminhões após o fim do contrato</v>
      </c>
      <c r="D33" s="109">
        <f>Dados!C11</f>
        <v>2</v>
      </c>
    </row>
    <row r="34" spans="1:65" ht="24" customHeight="1" x14ac:dyDescent="0.25">
      <c r="A34" s="235"/>
      <c r="B34" s="235"/>
      <c r="C34" s="108" t="s">
        <v>148</v>
      </c>
      <c r="D34" s="109">
        <f>Dados!C13+Dados!C9+Dados!C11</f>
        <v>64</v>
      </c>
    </row>
    <row r="35" spans="1:65" ht="24" customHeight="1" thickBot="1" x14ac:dyDescent="0.3"/>
    <row r="36" spans="1:65" x14ac:dyDescent="0.25">
      <c r="A36" s="238" t="s">
        <v>169</v>
      </c>
      <c r="B36" s="239"/>
      <c r="C36" s="5"/>
      <c r="D36" s="5">
        <f>B37/4</f>
        <v>64250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65" ht="16.5" thickBot="1" x14ac:dyDescent="0.3">
      <c r="A37" s="7" t="s">
        <v>150</v>
      </c>
      <c r="B37" s="8">
        <f>((B28+B29)*B23)-B58-B78</f>
        <v>257000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65" x14ac:dyDescent="0.25">
      <c r="A38" s="5" t="s">
        <v>170</v>
      </c>
      <c r="B38" s="35">
        <v>1.01E-2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65" x14ac:dyDescent="0.25">
      <c r="A39" s="5"/>
      <c r="B39" s="14">
        <f>Cashflow!H7</f>
        <v>43282</v>
      </c>
      <c r="C39" s="14">
        <f>EDATE(B39,1)</f>
        <v>43313</v>
      </c>
      <c r="D39" s="14">
        <f t="shared" ref="D39:AP39" si="3">EDATE(C39,1)</f>
        <v>43344</v>
      </c>
      <c r="E39" s="14">
        <f t="shared" si="3"/>
        <v>43374</v>
      </c>
      <c r="F39" s="14">
        <f t="shared" si="3"/>
        <v>43405</v>
      </c>
      <c r="G39" s="14">
        <f t="shared" si="3"/>
        <v>43435</v>
      </c>
      <c r="H39" s="14">
        <f t="shared" si="3"/>
        <v>43466</v>
      </c>
      <c r="I39" s="14">
        <f t="shared" si="3"/>
        <v>43497</v>
      </c>
      <c r="J39" s="14">
        <f t="shared" si="3"/>
        <v>43525</v>
      </c>
      <c r="K39" s="14">
        <f t="shared" si="3"/>
        <v>43556</v>
      </c>
      <c r="L39" s="14">
        <f t="shared" si="3"/>
        <v>43586</v>
      </c>
      <c r="M39" s="14">
        <f t="shared" si="3"/>
        <v>43617</v>
      </c>
      <c r="N39" s="14">
        <f t="shared" si="3"/>
        <v>43647</v>
      </c>
      <c r="O39" s="14">
        <f t="shared" si="3"/>
        <v>43678</v>
      </c>
      <c r="P39" s="14">
        <f t="shared" si="3"/>
        <v>43709</v>
      </c>
      <c r="Q39" s="14">
        <f t="shared" si="3"/>
        <v>43739</v>
      </c>
      <c r="R39" s="14">
        <f t="shared" si="3"/>
        <v>43770</v>
      </c>
      <c r="S39" s="14">
        <f t="shared" si="3"/>
        <v>43800</v>
      </c>
      <c r="T39" s="14">
        <f t="shared" si="3"/>
        <v>43831</v>
      </c>
      <c r="U39" s="14">
        <f t="shared" si="3"/>
        <v>43862</v>
      </c>
      <c r="V39" s="14">
        <f t="shared" si="3"/>
        <v>43891</v>
      </c>
      <c r="W39" s="14">
        <f t="shared" si="3"/>
        <v>43922</v>
      </c>
      <c r="X39" s="14">
        <f t="shared" si="3"/>
        <v>43952</v>
      </c>
      <c r="Y39" s="14">
        <f t="shared" si="3"/>
        <v>43983</v>
      </c>
      <c r="Z39" s="14">
        <f t="shared" si="3"/>
        <v>44013</v>
      </c>
      <c r="AA39" s="14">
        <f t="shared" si="3"/>
        <v>44044</v>
      </c>
      <c r="AB39" s="14">
        <f t="shared" si="3"/>
        <v>44075</v>
      </c>
      <c r="AC39" s="14">
        <f t="shared" si="3"/>
        <v>44105</v>
      </c>
      <c r="AD39" s="14">
        <f t="shared" si="3"/>
        <v>44136</v>
      </c>
      <c r="AE39" s="14">
        <f t="shared" si="3"/>
        <v>44166</v>
      </c>
      <c r="AF39" s="14">
        <f t="shared" si="3"/>
        <v>44197</v>
      </c>
      <c r="AG39" s="14">
        <f t="shared" si="3"/>
        <v>44228</v>
      </c>
      <c r="AH39" s="14">
        <f>EDATE(AG39,1)</f>
        <v>44256</v>
      </c>
      <c r="AI39" s="14">
        <f t="shared" si="3"/>
        <v>44287</v>
      </c>
      <c r="AJ39" s="14">
        <f t="shared" si="3"/>
        <v>44317</v>
      </c>
      <c r="AK39" s="14">
        <f t="shared" si="3"/>
        <v>44348</v>
      </c>
      <c r="AL39" s="14">
        <f t="shared" si="3"/>
        <v>44378</v>
      </c>
      <c r="AM39" s="14">
        <f t="shared" si="3"/>
        <v>44409</v>
      </c>
      <c r="AN39" s="14">
        <f t="shared" si="3"/>
        <v>44440</v>
      </c>
      <c r="AO39" s="14">
        <f t="shared" si="3"/>
        <v>44470</v>
      </c>
      <c r="AP39" s="14">
        <f t="shared" si="3"/>
        <v>44501</v>
      </c>
      <c r="AQ39" s="14">
        <f t="shared" ref="AQ39" si="4">EDATE(AP39,1)</f>
        <v>44531</v>
      </c>
      <c r="AR39" s="14">
        <f t="shared" ref="AR39" si="5">EDATE(AQ39,1)</f>
        <v>44562</v>
      </c>
      <c r="AS39" s="14">
        <f t="shared" ref="AS39" si="6">EDATE(AR39,1)</f>
        <v>44593</v>
      </c>
      <c r="AT39" s="14">
        <f t="shared" ref="AT39" si="7">EDATE(AS39,1)</f>
        <v>44621</v>
      </c>
      <c r="AU39" s="14">
        <f t="shared" ref="AU39" si="8">EDATE(AT39,1)</f>
        <v>44652</v>
      </c>
      <c r="AV39" s="14">
        <f t="shared" ref="AV39" si="9">EDATE(AU39,1)</f>
        <v>44682</v>
      </c>
      <c r="AW39" s="14">
        <f t="shared" ref="AW39" si="10">EDATE(AV39,1)</f>
        <v>44713</v>
      </c>
      <c r="AX39" s="14">
        <f t="shared" ref="AX39" si="11">EDATE(AW39,1)</f>
        <v>44743</v>
      </c>
      <c r="AY39" s="14">
        <f t="shared" ref="AY39" si="12">EDATE(AX39,1)</f>
        <v>44774</v>
      </c>
      <c r="AZ39" s="14">
        <f t="shared" ref="AZ39" si="13">EDATE(AY39,1)</f>
        <v>44805</v>
      </c>
      <c r="BA39" s="14">
        <f t="shared" ref="BA39" si="14">EDATE(AZ39,1)</f>
        <v>44835</v>
      </c>
      <c r="BB39" s="212">
        <f t="shared" ref="BB39" si="15">EDATE(BA39,1)</f>
        <v>44866</v>
      </c>
      <c r="BC39" s="14">
        <f t="shared" ref="BC39" si="16">EDATE(BB39,1)</f>
        <v>44896</v>
      </c>
      <c r="BD39" s="14">
        <f t="shared" ref="BD39" si="17">EDATE(BC39,1)</f>
        <v>44927</v>
      </c>
      <c r="BE39" s="14">
        <f t="shared" ref="BE39" si="18">EDATE(BD39,1)</f>
        <v>44958</v>
      </c>
      <c r="BF39" s="14">
        <f t="shared" ref="BF39" si="19">EDATE(BE39,1)</f>
        <v>44986</v>
      </c>
      <c r="BG39" s="14">
        <f t="shared" ref="BG39" si="20">EDATE(BF39,1)</f>
        <v>45017</v>
      </c>
      <c r="BH39" s="14">
        <f t="shared" ref="BH39" si="21">EDATE(BG39,1)</f>
        <v>45047</v>
      </c>
      <c r="BI39" s="14">
        <f t="shared" ref="BI39" si="22">EDATE(BH39,1)</f>
        <v>45078</v>
      </c>
      <c r="BJ39" s="14">
        <f t="shared" ref="BJ39" si="23">EDATE(BI39,1)</f>
        <v>45108</v>
      </c>
      <c r="BK39" s="14">
        <f t="shared" ref="BK39" si="24">EDATE(BJ39,1)</f>
        <v>45139</v>
      </c>
    </row>
    <row r="40" spans="1:65" x14ac:dyDescent="0.25">
      <c r="A40" s="5"/>
      <c r="B40" s="15">
        <f>Cashflow!H8</f>
        <v>0</v>
      </c>
      <c r="C40" s="15">
        <f>B40+1</f>
        <v>1</v>
      </c>
      <c r="D40" s="15">
        <f>C40+1</f>
        <v>2</v>
      </c>
      <c r="E40" s="15">
        <f t="shared" ref="E40:AP40" si="25">D40+1</f>
        <v>3</v>
      </c>
      <c r="F40" s="15">
        <f t="shared" si="25"/>
        <v>4</v>
      </c>
      <c r="G40" s="15">
        <f t="shared" si="25"/>
        <v>5</v>
      </c>
      <c r="H40" s="15">
        <f t="shared" si="25"/>
        <v>6</v>
      </c>
      <c r="I40" s="15">
        <f t="shared" si="25"/>
        <v>7</v>
      </c>
      <c r="J40" s="15">
        <f t="shared" si="25"/>
        <v>8</v>
      </c>
      <c r="K40" s="15">
        <f t="shared" si="25"/>
        <v>9</v>
      </c>
      <c r="L40" s="15">
        <f t="shared" si="25"/>
        <v>10</v>
      </c>
      <c r="M40" s="15">
        <f t="shared" si="25"/>
        <v>11</v>
      </c>
      <c r="N40" s="15">
        <f t="shared" si="25"/>
        <v>12</v>
      </c>
      <c r="O40" s="15">
        <f t="shared" si="25"/>
        <v>13</v>
      </c>
      <c r="P40" s="15">
        <f t="shared" si="25"/>
        <v>14</v>
      </c>
      <c r="Q40" s="15">
        <f t="shared" si="25"/>
        <v>15</v>
      </c>
      <c r="R40" s="15">
        <f t="shared" si="25"/>
        <v>16</v>
      </c>
      <c r="S40" s="15">
        <f t="shared" si="25"/>
        <v>17</v>
      </c>
      <c r="T40" s="15">
        <f t="shared" si="25"/>
        <v>18</v>
      </c>
      <c r="U40" s="15">
        <f t="shared" si="25"/>
        <v>19</v>
      </c>
      <c r="V40" s="15">
        <f t="shared" si="25"/>
        <v>20</v>
      </c>
      <c r="W40" s="15">
        <f t="shared" si="25"/>
        <v>21</v>
      </c>
      <c r="X40" s="15">
        <f t="shared" si="25"/>
        <v>22</v>
      </c>
      <c r="Y40" s="15">
        <f t="shared" si="25"/>
        <v>23</v>
      </c>
      <c r="Z40" s="15">
        <f t="shared" si="25"/>
        <v>24</v>
      </c>
      <c r="AA40" s="15">
        <f t="shared" si="25"/>
        <v>25</v>
      </c>
      <c r="AB40" s="15">
        <f t="shared" si="25"/>
        <v>26</v>
      </c>
      <c r="AC40" s="15">
        <f t="shared" si="25"/>
        <v>27</v>
      </c>
      <c r="AD40" s="15">
        <f t="shared" si="25"/>
        <v>28</v>
      </c>
      <c r="AE40" s="15">
        <f t="shared" si="25"/>
        <v>29</v>
      </c>
      <c r="AF40" s="15">
        <f t="shared" si="25"/>
        <v>30</v>
      </c>
      <c r="AG40" s="15">
        <f t="shared" si="25"/>
        <v>31</v>
      </c>
      <c r="AH40" s="15">
        <f t="shared" si="25"/>
        <v>32</v>
      </c>
      <c r="AI40" s="15">
        <f t="shared" si="25"/>
        <v>33</v>
      </c>
      <c r="AJ40" s="15">
        <f t="shared" si="25"/>
        <v>34</v>
      </c>
      <c r="AK40" s="15">
        <f t="shared" si="25"/>
        <v>35</v>
      </c>
      <c r="AL40" s="15">
        <f t="shared" si="25"/>
        <v>36</v>
      </c>
      <c r="AM40" s="15">
        <f t="shared" si="25"/>
        <v>37</v>
      </c>
      <c r="AN40" s="15">
        <f t="shared" si="25"/>
        <v>38</v>
      </c>
      <c r="AO40" s="15">
        <f t="shared" si="25"/>
        <v>39</v>
      </c>
      <c r="AP40" s="15">
        <f t="shared" si="25"/>
        <v>40</v>
      </c>
      <c r="AQ40" s="15">
        <f t="shared" ref="AQ40" si="26">AP40+1</f>
        <v>41</v>
      </c>
      <c r="AR40" s="15">
        <f t="shared" ref="AR40" si="27">AQ40+1</f>
        <v>42</v>
      </c>
      <c r="AS40" s="15">
        <f t="shared" ref="AS40" si="28">AR40+1</f>
        <v>43</v>
      </c>
      <c r="AT40" s="15">
        <f t="shared" ref="AT40" si="29">AS40+1</f>
        <v>44</v>
      </c>
      <c r="AU40" s="15">
        <f t="shared" ref="AU40" si="30">AT40+1</f>
        <v>45</v>
      </c>
      <c r="AV40" s="15">
        <f t="shared" ref="AV40" si="31">AU40+1</f>
        <v>46</v>
      </c>
      <c r="AW40" s="15">
        <f t="shared" ref="AW40" si="32">AV40+1</f>
        <v>47</v>
      </c>
      <c r="AX40" s="15">
        <f t="shared" ref="AX40" si="33">AW40+1</f>
        <v>48</v>
      </c>
      <c r="AY40" s="15">
        <f t="shared" ref="AY40" si="34">AX40+1</f>
        <v>49</v>
      </c>
      <c r="AZ40" s="15">
        <f t="shared" ref="AZ40" si="35">AY40+1</f>
        <v>50</v>
      </c>
      <c r="BA40" s="15">
        <f t="shared" ref="BA40" si="36">AZ40+1</f>
        <v>51</v>
      </c>
      <c r="BB40" s="213">
        <f t="shared" ref="BB40" si="37">BA40+1</f>
        <v>52</v>
      </c>
      <c r="BC40" s="15">
        <f t="shared" ref="BC40" si="38">BB40+1</f>
        <v>53</v>
      </c>
      <c r="BD40" s="15">
        <f t="shared" ref="BD40" si="39">BC40+1</f>
        <v>54</v>
      </c>
      <c r="BE40" s="15">
        <f t="shared" ref="BE40" si="40">BD40+1</f>
        <v>55</v>
      </c>
      <c r="BF40" s="15">
        <f t="shared" ref="BF40" si="41">BE40+1</f>
        <v>56</v>
      </c>
      <c r="BG40" s="15">
        <f t="shared" ref="BG40" si="42">BF40+1</f>
        <v>57</v>
      </c>
      <c r="BH40" s="15">
        <f t="shared" ref="BH40" si="43">BG40+1</f>
        <v>58</v>
      </c>
      <c r="BI40" s="15">
        <f t="shared" ref="BI40" si="44">BH40+1</f>
        <v>59</v>
      </c>
      <c r="BJ40" s="15">
        <f t="shared" ref="BJ40" si="45">BI40+1</f>
        <v>60</v>
      </c>
      <c r="BK40" s="15">
        <f t="shared" ref="BK40" si="46">BJ40+1</f>
        <v>61</v>
      </c>
    </row>
    <row r="41" spans="1:65" x14ac:dyDescent="0.25">
      <c r="A41" s="12" t="s">
        <v>151</v>
      </c>
      <c r="B41" s="218"/>
      <c r="C41" s="229">
        <f>-PMT($B$38,60,$B$37,,)</f>
        <v>5732.4197297201054</v>
      </c>
      <c r="D41" s="229">
        <f t="shared" ref="D41:BJ41" si="47">-PMT($B$38,60,$B$37,,)</f>
        <v>5732.4197297201054</v>
      </c>
      <c r="E41" s="229">
        <f t="shared" si="47"/>
        <v>5732.4197297201054</v>
      </c>
      <c r="F41" s="229">
        <f t="shared" si="47"/>
        <v>5732.4197297201054</v>
      </c>
      <c r="G41" s="229">
        <f t="shared" si="47"/>
        <v>5732.4197297201054</v>
      </c>
      <c r="H41" s="229">
        <f t="shared" si="47"/>
        <v>5732.4197297201054</v>
      </c>
      <c r="I41" s="229">
        <f t="shared" si="47"/>
        <v>5732.4197297201054</v>
      </c>
      <c r="J41" s="229">
        <f t="shared" si="47"/>
        <v>5732.4197297201054</v>
      </c>
      <c r="K41" s="229">
        <f t="shared" si="47"/>
        <v>5732.4197297201054</v>
      </c>
      <c r="L41" s="229">
        <f t="shared" si="47"/>
        <v>5732.4197297201054</v>
      </c>
      <c r="M41" s="229">
        <f t="shared" si="47"/>
        <v>5732.4197297201054</v>
      </c>
      <c r="N41" s="229">
        <f t="shared" si="47"/>
        <v>5732.4197297201054</v>
      </c>
      <c r="O41" s="229">
        <f t="shared" si="47"/>
        <v>5732.4197297201054</v>
      </c>
      <c r="P41" s="229">
        <f t="shared" si="47"/>
        <v>5732.4197297201054</v>
      </c>
      <c r="Q41" s="229">
        <f t="shared" si="47"/>
        <v>5732.4197297201054</v>
      </c>
      <c r="R41" s="229">
        <f t="shared" si="47"/>
        <v>5732.4197297201054</v>
      </c>
      <c r="S41" s="229">
        <f t="shared" si="47"/>
        <v>5732.4197297201054</v>
      </c>
      <c r="T41" s="229">
        <f t="shared" si="47"/>
        <v>5732.4197297201054</v>
      </c>
      <c r="U41" s="229">
        <f t="shared" si="47"/>
        <v>5732.4197297201054</v>
      </c>
      <c r="V41" s="229">
        <f t="shared" si="47"/>
        <v>5732.4197297201054</v>
      </c>
      <c r="W41" s="229">
        <f t="shared" si="47"/>
        <v>5732.4197297201054</v>
      </c>
      <c r="X41" s="229">
        <f t="shared" si="47"/>
        <v>5732.4197297201054</v>
      </c>
      <c r="Y41" s="229">
        <f t="shared" si="47"/>
        <v>5732.4197297201054</v>
      </c>
      <c r="Z41" s="229">
        <f t="shared" si="47"/>
        <v>5732.4197297201054</v>
      </c>
      <c r="AA41" s="229">
        <f t="shared" si="47"/>
        <v>5732.4197297201054</v>
      </c>
      <c r="AB41" s="229">
        <f t="shared" si="47"/>
        <v>5732.4197297201054</v>
      </c>
      <c r="AC41" s="229">
        <f t="shared" si="47"/>
        <v>5732.4197297201054</v>
      </c>
      <c r="AD41" s="229">
        <f t="shared" si="47"/>
        <v>5732.4197297201054</v>
      </c>
      <c r="AE41" s="229">
        <f t="shared" si="47"/>
        <v>5732.4197297201054</v>
      </c>
      <c r="AF41" s="229">
        <f t="shared" si="47"/>
        <v>5732.4197297201054</v>
      </c>
      <c r="AG41" s="229">
        <f t="shared" si="47"/>
        <v>5732.4197297201054</v>
      </c>
      <c r="AH41" s="229">
        <f t="shared" si="47"/>
        <v>5732.4197297201054</v>
      </c>
      <c r="AI41" s="229">
        <f t="shared" si="47"/>
        <v>5732.4197297201054</v>
      </c>
      <c r="AJ41" s="229">
        <f t="shared" si="47"/>
        <v>5732.4197297201054</v>
      </c>
      <c r="AK41" s="229">
        <f t="shared" si="47"/>
        <v>5732.4197297201054</v>
      </c>
      <c r="AL41" s="229">
        <f t="shared" si="47"/>
        <v>5732.4197297201054</v>
      </c>
      <c r="AM41" s="229">
        <f t="shared" si="47"/>
        <v>5732.4197297201054</v>
      </c>
      <c r="AN41" s="229">
        <f t="shared" si="47"/>
        <v>5732.4197297201054</v>
      </c>
      <c r="AO41" s="229">
        <f t="shared" si="47"/>
        <v>5732.4197297201054</v>
      </c>
      <c r="AP41" s="229">
        <f t="shared" si="47"/>
        <v>5732.4197297201054</v>
      </c>
      <c r="AQ41" s="229">
        <f t="shared" si="47"/>
        <v>5732.4197297201054</v>
      </c>
      <c r="AR41" s="229">
        <f t="shared" si="47"/>
        <v>5732.4197297201054</v>
      </c>
      <c r="AS41" s="229">
        <f t="shared" si="47"/>
        <v>5732.4197297201054</v>
      </c>
      <c r="AT41" s="229">
        <f t="shared" si="47"/>
        <v>5732.4197297201054</v>
      </c>
      <c r="AU41" s="229">
        <f t="shared" si="47"/>
        <v>5732.4197297201054</v>
      </c>
      <c r="AV41" s="229">
        <f t="shared" si="47"/>
        <v>5732.4197297201054</v>
      </c>
      <c r="AW41" s="229">
        <f t="shared" si="47"/>
        <v>5732.4197297201054</v>
      </c>
      <c r="AX41" s="229">
        <f t="shared" si="47"/>
        <v>5732.4197297201054</v>
      </c>
      <c r="AY41" s="229">
        <f t="shared" si="47"/>
        <v>5732.4197297201054</v>
      </c>
      <c r="AZ41" s="229">
        <f t="shared" si="47"/>
        <v>5732.4197297201054</v>
      </c>
      <c r="BA41" s="229">
        <f t="shared" si="47"/>
        <v>5732.4197297201054</v>
      </c>
      <c r="BB41" s="229">
        <f t="shared" si="47"/>
        <v>5732.4197297201054</v>
      </c>
      <c r="BC41" s="229">
        <f t="shared" si="47"/>
        <v>5732.4197297201054</v>
      </c>
      <c r="BD41" s="229">
        <f t="shared" si="47"/>
        <v>5732.4197297201054</v>
      </c>
      <c r="BE41" s="229">
        <f t="shared" si="47"/>
        <v>5732.4197297201054</v>
      </c>
      <c r="BF41" s="229">
        <f t="shared" si="47"/>
        <v>5732.4197297201054</v>
      </c>
      <c r="BG41" s="229">
        <f t="shared" si="47"/>
        <v>5732.4197297201054</v>
      </c>
      <c r="BH41" s="229">
        <f t="shared" si="47"/>
        <v>5732.4197297201054</v>
      </c>
      <c r="BI41" s="229">
        <f t="shared" si="47"/>
        <v>5732.4197297201054</v>
      </c>
      <c r="BJ41" s="229">
        <f t="shared" si="47"/>
        <v>5732.4197297201054</v>
      </c>
      <c r="BK41" s="218"/>
    </row>
    <row r="42" spans="1:65" ht="16.5" thickBot="1" x14ac:dyDescent="0.3">
      <c r="A42" s="5"/>
      <c r="B42" s="4"/>
      <c r="C42" s="4"/>
      <c r="D42" s="4"/>
      <c r="E42" s="4"/>
      <c r="F42" s="21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65" s="134" customFormat="1" x14ac:dyDescent="0.25">
      <c r="A43" s="238" t="s">
        <v>155</v>
      </c>
      <c r="B43" s="23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/>
      <c r="AJ43"/>
      <c r="AK43"/>
      <c r="AL43"/>
      <c r="AM43"/>
      <c r="AN43"/>
      <c r="AO43"/>
      <c r="AP43"/>
    </row>
    <row r="44" spans="1:65" ht="16.5" thickBot="1" x14ac:dyDescent="0.3">
      <c r="A44" s="7" t="s">
        <v>150</v>
      </c>
      <c r="B44" s="8">
        <f>(B28+B29)*B24</f>
        <v>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6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65" x14ac:dyDescent="0.25">
      <c r="A46" s="5"/>
      <c r="B46" s="14">
        <f>Cashflow!H7</f>
        <v>43282</v>
      </c>
      <c r="C46" s="14">
        <f>EDATE(B46,1)</f>
        <v>43313</v>
      </c>
      <c r="D46" s="14">
        <f t="shared" ref="D46" si="48">EDATE(C46,1)</f>
        <v>43344</v>
      </c>
      <c r="E46" s="14">
        <f t="shared" ref="E46" si="49">EDATE(D46,1)</f>
        <v>43374</v>
      </c>
      <c r="F46" s="14">
        <f t="shared" ref="F46" si="50">EDATE(E46,1)</f>
        <v>43405</v>
      </c>
      <c r="G46" s="14">
        <f t="shared" ref="G46" si="51">EDATE(F46,1)</f>
        <v>43435</v>
      </c>
      <c r="H46" s="14">
        <f t="shared" ref="H46" si="52">EDATE(G46,1)</f>
        <v>43466</v>
      </c>
      <c r="I46" s="14">
        <f t="shared" ref="I46" si="53">EDATE(H46,1)</f>
        <v>43497</v>
      </c>
      <c r="J46" s="14">
        <f t="shared" ref="J46" si="54">EDATE(I46,1)</f>
        <v>43525</v>
      </c>
      <c r="K46" s="14">
        <f t="shared" ref="K46" si="55">EDATE(J46,1)</f>
        <v>43556</v>
      </c>
      <c r="L46" s="14">
        <f t="shared" ref="L46" si="56">EDATE(K46,1)</f>
        <v>43586</v>
      </c>
      <c r="M46" s="14">
        <f t="shared" ref="M46" si="57">EDATE(L46,1)</f>
        <v>43617</v>
      </c>
      <c r="N46" s="14">
        <f t="shared" ref="N46" si="58">EDATE(M46,1)</f>
        <v>43647</v>
      </c>
      <c r="O46" s="14">
        <f t="shared" ref="O46" si="59">EDATE(N46,1)</f>
        <v>43678</v>
      </c>
      <c r="P46" s="14">
        <f t="shared" ref="P46" si="60">EDATE(O46,1)</f>
        <v>43709</v>
      </c>
      <c r="Q46" s="14">
        <f t="shared" ref="Q46" si="61">EDATE(P46,1)</f>
        <v>43739</v>
      </c>
      <c r="R46" s="14">
        <f t="shared" ref="R46" si="62">EDATE(Q46,1)</f>
        <v>43770</v>
      </c>
      <c r="S46" s="14">
        <f t="shared" ref="S46" si="63">EDATE(R46,1)</f>
        <v>43800</v>
      </c>
      <c r="T46" s="14">
        <f t="shared" ref="T46" si="64">EDATE(S46,1)</f>
        <v>43831</v>
      </c>
      <c r="U46" s="14">
        <f t="shared" ref="U46" si="65">EDATE(T46,1)</f>
        <v>43862</v>
      </c>
      <c r="V46" s="14">
        <f t="shared" ref="V46" si="66">EDATE(U46,1)</f>
        <v>43891</v>
      </c>
      <c r="W46" s="14">
        <f t="shared" ref="W46" si="67">EDATE(V46,1)</f>
        <v>43922</v>
      </c>
      <c r="X46" s="14">
        <f t="shared" ref="X46" si="68">EDATE(W46,1)</f>
        <v>43952</v>
      </c>
      <c r="Y46" s="14">
        <f t="shared" ref="Y46" si="69">EDATE(X46,1)</f>
        <v>43983</v>
      </c>
      <c r="Z46" s="14">
        <f t="shared" ref="Z46" si="70">EDATE(Y46,1)</f>
        <v>44013</v>
      </c>
      <c r="AA46" s="14">
        <f t="shared" ref="AA46" si="71">EDATE(Z46,1)</f>
        <v>44044</v>
      </c>
      <c r="AB46" s="14">
        <f t="shared" ref="AB46" si="72">EDATE(AA46,1)</f>
        <v>44075</v>
      </c>
      <c r="AC46" s="14">
        <f t="shared" ref="AC46" si="73">EDATE(AB46,1)</f>
        <v>44105</v>
      </c>
      <c r="AD46" s="14">
        <f t="shared" ref="AD46" si="74">EDATE(AC46,1)</f>
        <v>44136</v>
      </c>
      <c r="AE46" s="14">
        <f t="shared" ref="AE46" si="75">EDATE(AD46,1)</f>
        <v>44166</v>
      </c>
      <c r="AF46" s="14">
        <f t="shared" ref="AF46" si="76">EDATE(AE46,1)</f>
        <v>44197</v>
      </c>
      <c r="AG46" s="14">
        <f t="shared" ref="AG46" si="77">EDATE(AF46,1)</f>
        <v>44228</v>
      </c>
      <c r="AH46" s="14">
        <f>EDATE(AG46,1)</f>
        <v>44256</v>
      </c>
      <c r="AI46" s="14">
        <f t="shared" ref="AI46" si="78">EDATE(AH46,1)</f>
        <v>44287</v>
      </c>
      <c r="AJ46" s="14">
        <f t="shared" ref="AJ46" si="79">EDATE(AI46,1)</f>
        <v>44317</v>
      </c>
      <c r="AK46" s="14">
        <f t="shared" ref="AK46" si="80">EDATE(AJ46,1)</f>
        <v>44348</v>
      </c>
      <c r="AL46" s="14">
        <f t="shared" ref="AL46" si="81">EDATE(AK46,1)</f>
        <v>44378</v>
      </c>
      <c r="AM46" s="14">
        <f t="shared" ref="AM46" si="82">EDATE(AL46,1)</f>
        <v>44409</v>
      </c>
      <c r="AN46" s="14">
        <f t="shared" ref="AN46" si="83">EDATE(AM46,1)</f>
        <v>44440</v>
      </c>
      <c r="AO46" s="14">
        <f t="shared" ref="AO46" si="84">EDATE(AN46,1)</f>
        <v>44470</v>
      </c>
      <c r="AP46" s="14">
        <f t="shared" ref="AP46" si="85">EDATE(AO46,1)</f>
        <v>44501</v>
      </c>
      <c r="AQ46" s="14">
        <f t="shared" ref="AQ46" si="86">EDATE(AP46,1)</f>
        <v>44531</v>
      </c>
      <c r="AR46" s="14">
        <f t="shared" ref="AR46" si="87">EDATE(AQ46,1)</f>
        <v>44562</v>
      </c>
      <c r="AS46" s="14">
        <f t="shared" ref="AS46" si="88">EDATE(AR46,1)</f>
        <v>44593</v>
      </c>
      <c r="AT46" s="14">
        <f t="shared" ref="AT46" si="89">EDATE(AS46,1)</f>
        <v>44621</v>
      </c>
      <c r="AU46" s="14">
        <f t="shared" ref="AU46" si="90">EDATE(AT46,1)</f>
        <v>44652</v>
      </c>
      <c r="AV46" s="14">
        <f t="shared" ref="AV46" si="91">EDATE(AU46,1)</f>
        <v>44682</v>
      </c>
      <c r="AW46" s="14">
        <f t="shared" ref="AW46" si="92">EDATE(AV46,1)</f>
        <v>44713</v>
      </c>
      <c r="AX46" s="14">
        <f t="shared" ref="AX46" si="93">EDATE(AW46,1)</f>
        <v>44743</v>
      </c>
      <c r="AY46" s="14">
        <f t="shared" ref="AY46" si="94">EDATE(AX46,1)</f>
        <v>44774</v>
      </c>
      <c r="AZ46" s="14">
        <f t="shared" ref="AZ46" si="95">EDATE(AY46,1)</f>
        <v>44805</v>
      </c>
      <c r="BA46" s="14">
        <f t="shared" ref="BA46" si="96">EDATE(AZ46,1)</f>
        <v>44835</v>
      </c>
      <c r="BB46" s="14">
        <f t="shared" ref="BB46" si="97">EDATE(BA46,1)</f>
        <v>44866</v>
      </c>
      <c r="BC46" s="14">
        <f t="shared" ref="BC46" si="98">EDATE(BB46,1)</f>
        <v>44896</v>
      </c>
      <c r="BD46" s="14">
        <f t="shared" ref="BD46" si="99">EDATE(BC46,1)</f>
        <v>44927</v>
      </c>
      <c r="BE46" s="14">
        <f t="shared" ref="BE46" si="100">EDATE(BD46,1)</f>
        <v>44958</v>
      </c>
      <c r="BF46" s="14">
        <f t="shared" ref="BF46" si="101">EDATE(BE46,1)</f>
        <v>44986</v>
      </c>
      <c r="BG46" s="14">
        <f t="shared" ref="BG46" si="102">EDATE(BF46,1)</f>
        <v>45017</v>
      </c>
      <c r="BH46" s="14">
        <f t="shared" ref="BH46" si="103">EDATE(BG46,1)</f>
        <v>45047</v>
      </c>
      <c r="BI46" s="14">
        <f t="shared" ref="BI46" si="104">EDATE(BH46,1)</f>
        <v>45078</v>
      </c>
      <c r="BJ46" s="14">
        <f t="shared" ref="BJ46" si="105">EDATE(BI46,1)</f>
        <v>45108</v>
      </c>
      <c r="BK46" s="14">
        <f t="shared" ref="BK46" si="106">EDATE(BJ46,1)</f>
        <v>45139</v>
      </c>
      <c r="BL46" s="14">
        <f t="shared" ref="BL46" si="107">EDATE(BK46,1)</f>
        <v>45170</v>
      </c>
      <c r="BM46" s="14">
        <f t="shared" ref="BM46" si="108">EDATE(BL46,1)</f>
        <v>45200</v>
      </c>
    </row>
    <row r="47" spans="1:65" x14ac:dyDescent="0.25">
      <c r="A47" s="5"/>
      <c r="B47" s="15">
        <f>Cashflow!H8</f>
        <v>0</v>
      </c>
      <c r="C47" s="15">
        <f>B47+1</f>
        <v>1</v>
      </c>
      <c r="D47" s="15">
        <f>C47+1</f>
        <v>2</v>
      </c>
      <c r="E47" s="15">
        <f t="shared" ref="E47" si="109">D47+1</f>
        <v>3</v>
      </c>
      <c r="F47" s="15">
        <f t="shared" ref="F47" si="110">E47+1</f>
        <v>4</v>
      </c>
      <c r="G47" s="15">
        <f t="shared" ref="G47" si="111">F47+1</f>
        <v>5</v>
      </c>
      <c r="H47" s="15">
        <f t="shared" ref="H47" si="112">G47+1</f>
        <v>6</v>
      </c>
      <c r="I47" s="15">
        <f t="shared" ref="I47" si="113">H47+1</f>
        <v>7</v>
      </c>
      <c r="J47" s="15">
        <f t="shared" ref="J47" si="114">I47+1</f>
        <v>8</v>
      </c>
      <c r="K47" s="15">
        <f t="shared" ref="K47" si="115">J47+1</f>
        <v>9</v>
      </c>
      <c r="L47" s="15">
        <f t="shared" ref="L47" si="116">K47+1</f>
        <v>10</v>
      </c>
      <c r="M47" s="15">
        <f t="shared" ref="M47" si="117">L47+1</f>
        <v>11</v>
      </c>
      <c r="N47" s="15">
        <f t="shared" ref="N47" si="118">M47+1</f>
        <v>12</v>
      </c>
      <c r="O47" s="15">
        <f t="shared" ref="O47" si="119">N47+1</f>
        <v>13</v>
      </c>
      <c r="P47" s="15">
        <f t="shared" ref="P47" si="120">O47+1</f>
        <v>14</v>
      </c>
      <c r="Q47" s="15">
        <f t="shared" ref="Q47" si="121">P47+1</f>
        <v>15</v>
      </c>
      <c r="R47" s="15">
        <f t="shared" ref="R47" si="122">Q47+1</f>
        <v>16</v>
      </c>
      <c r="S47" s="15">
        <f t="shared" ref="S47" si="123">R47+1</f>
        <v>17</v>
      </c>
      <c r="T47" s="15">
        <f t="shared" ref="T47" si="124">S47+1</f>
        <v>18</v>
      </c>
      <c r="U47" s="15">
        <f t="shared" ref="U47" si="125">T47+1</f>
        <v>19</v>
      </c>
      <c r="V47" s="15">
        <f t="shared" ref="V47" si="126">U47+1</f>
        <v>20</v>
      </c>
      <c r="W47" s="15">
        <f t="shared" ref="W47" si="127">V47+1</f>
        <v>21</v>
      </c>
      <c r="X47" s="15">
        <f t="shared" ref="X47" si="128">W47+1</f>
        <v>22</v>
      </c>
      <c r="Y47" s="15">
        <f t="shared" ref="Y47" si="129">X47+1</f>
        <v>23</v>
      </c>
      <c r="Z47" s="15">
        <f t="shared" ref="Z47" si="130">Y47+1</f>
        <v>24</v>
      </c>
      <c r="AA47" s="15">
        <f t="shared" ref="AA47" si="131">Z47+1</f>
        <v>25</v>
      </c>
      <c r="AB47" s="15">
        <f t="shared" ref="AB47" si="132">AA47+1</f>
        <v>26</v>
      </c>
      <c r="AC47" s="15">
        <f t="shared" ref="AC47" si="133">AB47+1</f>
        <v>27</v>
      </c>
      <c r="AD47" s="15">
        <f t="shared" ref="AD47" si="134">AC47+1</f>
        <v>28</v>
      </c>
      <c r="AE47" s="15">
        <f t="shared" ref="AE47" si="135">AD47+1</f>
        <v>29</v>
      </c>
      <c r="AF47" s="15">
        <f t="shared" ref="AF47" si="136">AE47+1</f>
        <v>30</v>
      </c>
      <c r="AG47" s="15">
        <f t="shared" ref="AG47" si="137">AF47+1</f>
        <v>31</v>
      </c>
      <c r="AH47" s="15">
        <f t="shared" ref="AH47" si="138">AG47+1</f>
        <v>32</v>
      </c>
      <c r="AI47" s="15">
        <f t="shared" ref="AI47" si="139">AH47+1</f>
        <v>33</v>
      </c>
      <c r="AJ47" s="15">
        <f t="shared" ref="AJ47" si="140">AI47+1</f>
        <v>34</v>
      </c>
      <c r="AK47" s="15">
        <f t="shared" ref="AK47" si="141">AJ47+1</f>
        <v>35</v>
      </c>
      <c r="AL47" s="15">
        <f t="shared" ref="AL47" si="142">AK47+1</f>
        <v>36</v>
      </c>
      <c r="AM47" s="15">
        <f t="shared" ref="AM47" si="143">AL47+1</f>
        <v>37</v>
      </c>
      <c r="AN47" s="15">
        <f t="shared" ref="AN47" si="144">AM47+1</f>
        <v>38</v>
      </c>
      <c r="AO47" s="15">
        <f t="shared" ref="AO47" si="145">AN47+1</f>
        <v>39</v>
      </c>
      <c r="AP47" s="15">
        <f t="shared" ref="AP47" si="146">AO47+1</f>
        <v>40</v>
      </c>
      <c r="AQ47" s="15">
        <f t="shared" ref="AQ47" si="147">AP47+1</f>
        <v>41</v>
      </c>
      <c r="AR47" s="15">
        <f t="shared" ref="AR47" si="148">AQ47+1</f>
        <v>42</v>
      </c>
      <c r="AS47" s="15">
        <f t="shared" ref="AS47" si="149">AR47+1</f>
        <v>43</v>
      </c>
      <c r="AT47" s="15">
        <f t="shared" ref="AT47" si="150">AS47+1</f>
        <v>44</v>
      </c>
      <c r="AU47" s="15">
        <f t="shared" ref="AU47" si="151">AT47+1</f>
        <v>45</v>
      </c>
      <c r="AV47" s="15">
        <f t="shared" ref="AV47" si="152">AU47+1</f>
        <v>46</v>
      </c>
      <c r="AW47" s="15">
        <f t="shared" ref="AW47" si="153">AV47+1</f>
        <v>47</v>
      </c>
      <c r="AX47" s="15">
        <f t="shared" ref="AX47" si="154">AW47+1</f>
        <v>48</v>
      </c>
      <c r="AY47" s="15">
        <f t="shared" ref="AY47" si="155">AX47+1</f>
        <v>49</v>
      </c>
      <c r="AZ47" s="15">
        <f t="shared" ref="AZ47" si="156">AY47+1</f>
        <v>50</v>
      </c>
      <c r="BA47" s="15">
        <f t="shared" ref="BA47" si="157">AZ47+1</f>
        <v>51</v>
      </c>
      <c r="BB47" s="15">
        <f t="shared" ref="BB47" si="158">BA47+1</f>
        <v>52</v>
      </c>
      <c r="BC47" s="15">
        <f t="shared" ref="BC47" si="159">BB47+1</f>
        <v>53</v>
      </c>
      <c r="BD47" s="15">
        <f t="shared" ref="BD47" si="160">BC47+1</f>
        <v>54</v>
      </c>
      <c r="BE47" s="15">
        <f t="shared" ref="BE47" si="161">BD47+1</f>
        <v>55</v>
      </c>
      <c r="BF47" s="15">
        <f t="shared" ref="BF47" si="162">BE47+1</f>
        <v>56</v>
      </c>
      <c r="BG47" s="15">
        <f t="shared" ref="BG47" si="163">BF47+1</f>
        <v>57</v>
      </c>
      <c r="BH47" s="15">
        <f t="shared" ref="BH47" si="164">BG47+1</f>
        <v>58</v>
      </c>
      <c r="BI47" s="15">
        <f t="shared" ref="BI47" si="165">BH47+1</f>
        <v>59</v>
      </c>
      <c r="BJ47" s="15">
        <f t="shared" ref="BJ47" si="166">BI47+1</f>
        <v>60</v>
      </c>
      <c r="BK47" s="15">
        <f t="shared" ref="BK47" si="167">BJ47+1</f>
        <v>61</v>
      </c>
      <c r="BL47" s="15">
        <f t="shared" ref="BL47" si="168">BK47+1</f>
        <v>62</v>
      </c>
      <c r="BM47" s="15">
        <f t="shared" ref="BM47" si="169">BL47+1</f>
        <v>63</v>
      </c>
    </row>
    <row r="48" spans="1:65" x14ac:dyDescent="0.25">
      <c r="A48" s="12" t="s">
        <v>151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</row>
    <row r="49" spans="1:75" ht="16.5" thickBot="1" x14ac:dyDescent="0.3">
      <c r="A49" s="134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4"/>
      <c r="BO49" s="4"/>
      <c r="BP49" s="4"/>
      <c r="BQ49" s="4"/>
      <c r="BR49" s="4"/>
      <c r="BS49" s="4"/>
      <c r="BT49" s="4"/>
    </row>
    <row r="50" spans="1:75" ht="78.75" x14ac:dyDescent="0.25">
      <c r="A50" s="238" t="s">
        <v>164</v>
      </c>
      <c r="B50" s="239"/>
      <c r="C50" s="144" t="s">
        <v>171</v>
      </c>
      <c r="D50" s="145" t="s">
        <v>172</v>
      </c>
      <c r="E50" s="82" t="s">
        <v>173</v>
      </c>
      <c r="F50" s="146" t="s">
        <v>174</v>
      </c>
      <c r="G50" s="147" t="s">
        <v>175</v>
      </c>
      <c r="H50" s="147" t="s">
        <v>176</v>
      </c>
      <c r="I50" s="147" t="s">
        <v>177</v>
      </c>
      <c r="J50" s="147" t="s">
        <v>178</v>
      </c>
      <c r="K50" s="147" t="s">
        <v>179</v>
      </c>
      <c r="L50" s="148" t="s">
        <v>180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75" ht="16.5" thickBot="1" x14ac:dyDescent="0.3">
      <c r="A51" s="7" t="s">
        <v>150</v>
      </c>
      <c r="B51" s="8">
        <f>B28*B26</f>
        <v>0</v>
      </c>
      <c r="C51" s="149">
        <f>Dados!C6</f>
        <v>42705</v>
      </c>
      <c r="D51" s="150">
        <v>0</v>
      </c>
      <c r="E51" s="150">
        <v>0</v>
      </c>
      <c r="F51" s="150">
        <v>0</v>
      </c>
      <c r="G51" s="150">
        <f>E51-F51</f>
        <v>0</v>
      </c>
      <c r="H51" s="175">
        <v>0</v>
      </c>
      <c r="I51" s="151">
        <f>H51*G51</f>
        <v>0</v>
      </c>
      <c r="J51" s="152">
        <v>0</v>
      </c>
      <c r="K51" s="152">
        <v>0</v>
      </c>
      <c r="L51" s="153">
        <f>NPV(J51,AR55:BL55)</f>
        <v>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7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75" x14ac:dyDescent="0.25">
      <c r="A53" s="5"/>
      <c r="B53" s="14">
        <f>Cashflow!H7</f>
        <v>43282</v>
      </c>
      <c r="C53" s="14">
        <f>EDATE(B53,1)</f>
        <v>43313</v>
      </c>
      <c r="D53" s="14">
        <f t="shared" ref="D53:AP53" si="170">EDATE(C53,1)</f>
        <v>43344</v>
      </c>
      <c r="E53" s="14">
        <f t="shared" si="170"/>
        <v>43374</v>
      </c>
      <c r="F53" s="14">
        <f t="shared" si="170"/>
        <v>43405</v>
      </c>
      <c r="G53" s="14">
        <f t="shared" si="170"/>
        <v>43435</v>
      </c>
      <c r="H53" s="14">
        <f t="shared" si="170"/>
        <v>43466</v>
      </c>
      <c r="I53" s="14">
        <f t="shared" si="170"/>
        <v>43497</v>
      </c>
      <c r="J53" s="14">
        <f t="shared" si="170"/>
        <v>43525</v>
      </c>
      <c r="K53" s="14">
        <f t="shared" si="170"/>
        <v>43556</v>
      </c>
      <c r="L53" s="14">
        <f t="shared" si="170"/>
        <v>43586</v>
      </c>
      <c r="M53" s="14">
        <f t="shared" si="170"/>
        <v>43617</v>
      </c>
      <c r="N53" s="14">
        <f t="shared" si="170"/>
        <v>43647</v>
      </c>
      <c r="O53" s="14">
        <f t="shared" si="170"/>
        <v>43678</v>
      </c>
      <c r="P53" s="14">
        <f t="shared" si="170"/>
        <v>43709</v>
      </c>
      <c r="Q53" s="14">
        <f t="shared" si="170"/>
        <v>43739</v>
      </c>
      <c r="R53" s="14">
        <f t="shared" si="170"/>
        <v>43770</v>
      </c>
      <c r="S53" s="14">
        <f t="shared" si="170"/>
        <v>43800</v>
      </c>
      <c r="T53" s="14">
        <f t="shared" si="170"/>
        <v>43831</v>
      </c>
      <c r="U53" s="14">
        <f t="shared" si="170"/>
        <v>43862</v>
      </c>
      <c r="V53" s="14">
        <f t="shared" si="170"/>
        <v>43891</v>
      </c>
      <c r="W53" s="14">
        <f t="shared" si="170"/>
        <v>43922</v>
      </c>
      <c r="X53" s="14">
        <f t="shared" si="170"/>
        <v>43952</v>
      </c>
      <c r="Y53" s="14">
        <f t="shared" si="170"/>
        <v>43983</v>
      </c>
      <c r="Z53" s="14">
        <f t="shared" si="170"/>
        <v>44013</v>
      </c>
      <c r="AA53" s="14">
        <f t="shared" si="170"/>
        <v>44044</v>
      </c>
      <c r="AB53" s="14">
        <f t="shared" si="170"/>
        <v>44075</v>
      </c>
      <c r="AC53" s="14">
        <f t="shared" si="170"/>
        <v>44105</v>
      </c>
      <c r="AD53" s="14">
        <f t="shared" si="170"/>
        <v>44136</v>
      </c>
      <c r="AE53" s="14">
        <f t="shared" si="170"/>
        <v>44166</v>
      </c>
      <c r="AF53" s="14">
        <f t="shared" si="170"/>
        <v>44197</v>
      </c>
      <c r="AG53" s="14">
        <f t="shared" si="170"/>
        <v>44228</v>
      </c>
      <c r="AH53" s="14">
        <f>EDATE(AG53,1)</f>
        <v>44256</v>
      </c>
      <c r="AI53" s="14">
        <f t="shared" si="170"/>
        <v>44287</v>
      </c>
      <c r="AJ53" s="14">
        <f t="shared" si="170"/>
        <v>44317</v>
      </c>
      <c r="AK53" s="14">
        <f t="shared" si="170"/>
        <v>44348</v>
      </c>
      <c r="AL53" s="14">
        <f t="shared" si="170"/>
        <v>44378</v>
      </c>
      <c r="AM53" s="14">
        <f t="shared" si="170"/>
        <v>44409</v>
      </c>
      <c r="AN53" s="14">
        <f t="shared" si="170"/>
        <v>44440</v>
      </c>
      <c r="AO53" s="14">
        <f t="shared" si="170"/>
        <v>44470</v>
      </c>
      <c r="AP53" s="14">
        <f t="shared" si="170"/>
        <v>44501</v>
      </c>
      <c r="AQ53" s="14">
        <f t="shared" ref="AQ53" si="171">EDATE(AP53,1)</f>
        <v>44531</v>
      </c>
      <c r="AR53" s="14">
        <f t="shared" ref="AR53" si="172">EDATE(AQ53,1)</f>
        <v>44562</v>
      </c>
      <c r="AS53" s="14">
        <f t="shared" ref="AS53" si="173">EDATE(AR53,1)</f>
        <v>44593</v>
      </c>
      <c r="AT53" s="14">
        <f t="shared" ref="AT53" si="174">EDATE(AS53,1)</f>
        <v>44621</v>
      </c>
      <c r="AU53" s="14">
        <f t="shared" ref="AU53" si="175">EDATE(AT53,1)</f>
        <v>44652</v>
      </c>
      <c r="AV53" s="14">
        <f t="shared" ref="AV53" si="176">EDATE(AU53,1)</f>
        <v>44682</v>
      </c>
      <c r="AW53" s="14">
        <f t="shared" ref="AW53" si="177">EDATE(AV53,1)</f>
        <v>44713</v>
      </c>
      <c r="AX53" s="14">
        <f t="shared" ref="AX53" si="178">EDATE(AW53,1)</f>
        <v>44743</v>
      </c>
      <c r="AY53" s="14">
        <f t="shared" ref="AY53" si="179">EDATE(AX53,1)</f>
        <v>44774</v>
      </c>
      <c r="AZ53" s="14">
        <f t="shared" ref="AZ53" si="180">EDATE(AY53,1)</f>
        <v>44805</v>
      </c>
      <c r="BA53" s="14">
        <f t="shared" ref="BA53" si="181">EDATE(AZ53,1)</f>
        <v>44835</v>
      </c>
      <c r="BB53" s="14">
        <f t="shared" ref="BB53" si="182">EDATE(BA53,1)</f>
        <v>44866</v>
      </c>
      <c r="BC53" s="14">
        <f t="shared" ref="BC53" si="183">EDATE(BB53,1)</f>
        <v>44896</v>
      </c>
      <c r="BD53" s="14">
        <f t="shared" ref="BD53" si="184">EDATE(BC53,1)</f>
        <v>44927</v>
      </c>
      <c r="BE53" s="14">
        <f t="shared" ref="BE53" si="185">EDATE(BD53,1)</f>
        <v>44958</v>
      </c>
      <c r="BF53" s="14">
        <f t="shared" ref="BF53" si="186">EDATE(BE53,1)</f>
        <v>44986</v>
      </c>
      <c r="BG53" s="14">
        <f t="shared" ref="BG53" si="187">EDATE(BF53,1)</f>
        <v>45017</v>
      </c>
      <c r="BH53" s="14">
        <f t="shared" ref="BH53" si="188">EDATE(BG53,1)</f>
        <v>45047</v>
      </c>
      <c r="BI53" s="14">
        <f t="shared" ref="BI53" si="189">EDATE(BH53,1)</f>
        <v>45078</v>
      </c>
      <c r="BJ53" s="14">
        <f t="shared" ref="BJ53" si="190">EDATE(BI53,1)</f>
        <v>45108</v>
      </c>
      <c r="BK53" s="14">
        <f t="shared" ref="BK53" si="191">EDATE(BJ53,1)</f>
        <v>45139</v>
      </c>
      <c r="BL53" s="14">
        <f t="shared" ref="BL53" si="192">EDATE(BK53,1)</f>
        <v>45170</v>
      </c>
      <c r="BM53" s="14">
        <f t="shared" ref="BM53" si="193">EDATE(BL53,1)</f>
        <v>45200</v>
      </c>
    </row>
    <row r="54" spans="1:75" x14ac:dyDescent="0.25">
      <c r="A54" s="5"/>
      <c r="B54" s="15">
        <f>Cashflow!H8</f>
        <v>0</v>
      </c>
      <c r="C54" s="15">
        <f>B54+1</f>
        <v>1</v>
      </c>
      <c r="D54" s="15">
        <f>C54+1</f>
        <v>2</v>
      </c>
      <c r="E54" s="15">
        <f t="shared" ref="E54:AP54" si="194">D54+1</f>
        <v>3</v>
      </c>
      <c r="F54" s="15">
        <f t="shared" si="194"/>
        <v>4</v>
      </c>
      <c r="G54" s="15">
        <f t="shared" si="194"/>
        <v>5</v>
      </c>
      <c r="H54" s="15">
        <f t="shared" si="194"/>
        <v>6</v>
      </c>
      <c r="I54" s="15">
        <f t="shared" si="194"/>
        <v>7</v>
      </c>
      <c r="J54" s="15">
        <f t="shared" si="194"/>
        <v>8</v>
      </c>
      <c r="K54" s="15">
        <f t="shared" si="194"/>
        <v>9</v>
      </c>
      <c r="L54" s="15">
        <f t="shared" si="194"/>
        <v>10</v>
      </c>
      <c r="M54" s="15">
        <f t="shared" si="194"/>
        <v>11</v>
      </c>
      <c r="N54" s="15">
        <f t="shared" si="194"/>
        <v>12</v>
      </c>
      <c r="O54" s="15">
        <f t="shared" si="194"/>
        <v>13</v>
      </c>
      <c r="P54" s="15">
        <f t="shared" si="194"/>
        <v>14</v>
      </c>
      <c r="Q54" s="15">
        <f t="shared" si="194"/>
        <v>15</v>
      </c>
      <c r="R54" s="15">
        <f t="shared" si="194"/>
        <v>16</v>
      </c>
      <c r="S54" s="15">
        <f t="shared" si="194"/>
        <v>17</v>
      </c>
      <c r="T54" s="15">
        <f t="shared" si="194"/>
        <v>18</v>
      </c>
      <c r="U54" s="15">
        <f t="shared" si="194"/>
        <v>19</v>
      </c>
      <c r="V54" s="15">
        <f t="shared" si="194"/>
        <v>20</v>
      </c>
      <c r="W54" s="15">
        <f t="shared" si="194"/>
        <v>21</v>
      </c>
      <c r="X54" s="15">
        <f t="shared" si="194"/>
        <v>22</v>
      </c>
      <c r="Y54" s="15">
        <f t="shared" si="194"/>
        <v>23</v>
      </c>
      <c r="Z54" s="15">
        <f t="shared" si="194"/>
        <v>24</v>
      </c>
      <c r="AA54" s="15">
        <f t="shared" si="194"/>
        <v>25</v>
      </c>
      <c r="AB54" s="15">
        <f t="shared" si="194"/>
        <v>26</v>
      </c>
      <c r="AC54" s="15">
        <f t="shared" si="194"/>
        <v>27</v>
      </c>
      <c r="AD54" s="15">
        <f t="shared" si="194"/>
        <v>28</v>
      </c>
      <c r="AE54" s="15">
        <f t="shared" si="194"/>
        <v>29</v>
      </c>
      <c r="AF54" s="15">
        <f t="shared" si="194"/>
        <v>30</v>
      </c>
      <c r="AG54" s="15">
        <f t="shared" si="194"/>
        <v>31</v>
      </c>
      <c r="AH54" s="15">
        <f t="shared" si="194"/>
        <v>32</v>
      </c>
      <c r="AI54" s="15">
        <f t="shared" si="194"/>
        <v>33</v>
      </c>
      <c r="AJ54" s="15">
        <f t="shared" si="194"/>
        <v>34</v>
      </c>
      <c r="AK54" s="15">
        <f t="shared" si="194"/>
        <v>35</v>
      </c>
      <c r="AL54" s="15">
        <f t="shared" si="194"/>
        <v>36</v>
      </c>
      <c r="AM54" s="15">
        <f t="shared" si="194"/>
        <v>37</v>
      </c>
      <c r="AN54" s="15">
        <f t="shared" si="194"/>
        <v>38</v>
      </c>
      <c r="AO54" s="15">
        <f t="shared" si="194"/>
        <v>39</v>
      </c>
      <c r="AP54" s="15">
        <f t="shared" si="194"/>
        <v>40</v>
      </c>
      <c r="AQ54" s="15">
        <f t="shared" ref="AQ54" si="195">AP54+1</f>
        <v>41</v>
      </c>
      <c r="AR54" s="15">
        <f t="shared" ref="AR54" si="196">AQ54+1</f>
        <v>42</v>
      </c>
      <c r="AS54" s="15">
        <f t="shared" ref="AS54" si="197">AR54+1</f>
        <v>43</v>
      </c>
      <c r="AT54" s="15">
        <f t="shared" ref="AT54" si="198">AS54+1</f>
        <v>44</v>
      </c>
      <c r="AU54" s="15">
        <f t="shared" ref="AU54" si="199">AT54+1</f>
        <v>45</v>
      </c>
      <c r="AV54" s="15">
        <f t="shared" ref="AV54" si="200">AU54+1</f>
        <v>46</v>
      </c>
      <c r="AW54" s="15">
        <f t="shared" ref="AW54" si="201">AV54+1</f>
        <v>47</v>
      </c>
      <c r="AX54" s="15">
        <f t="shared" ref="AX54" si="202">AW54+1</f>
        <v>48</v>
      </c>
      <c r="AY54" s="15">
        <f t="shared" ref="AY54" si="203">AX54+1</f>
        <v>49</v>
      </c>
      <c r="AZ54" s="15">
        <f t="shared" ref="AZ54" si="204">AY54+1</f>
        <v>50</v>
      </c>
      <c r="BA54" s="15">
        <f t="shared" ref="BA54" si="205">AZ54+1</f>
        <v>51</v>
      </c>
      <c r="BB54" s="15">
        <f t="shared" ref="BB54" si="206">BA54+1</f>
        <v>52</v>
      </c>
      <c r="BC54" s="15">
        <f t="shared" ref="BC54" si="207">BB54+1</f>
        <v>53</v>
      </c>
      <c r="BD54" s="15">
        <f t="shared" ref="BD54" si="208">BC54+1</f>
        <v>54</v>
      </c>
      <c r="BE54" s="15">
        <f t="shared" ref="BE54" si="209">BD54+1</f>
        <v>55</v>
      </c>
      <c r="BF54" s="15">
        <f t="shared" ref="BF54" si="210">BE54+1</f>
        <v>56</v>
      </c>
      <c r="BG54" s="15">
        <f t="shared" ref="BG54" si="211">BF54+1</f>
        <v>57</v>
      </c>
      <c r="BH54" s="15">
        <f t="shared" ref="BH54" si="212">BG54+1</f>
        <v>58</v>
      </c>
      <c r="BI54" s="15">
        <f t="shared" ref="BI54" si="213">BH54+1</f>
        <v>59</v>
      </c>
      <c r="BJ54" s="15">
        <f t="shared" ref="BJ54" si="214">BI54+1</f>
        <v>60</v>
      </c>
      <c r="BK54" s="15">
        <f t="shared" ref="BK54" si="215">BJ54+1</f>
        <v>61</v>
      </c>
      <c r="BL54" s="15">
        <f t="shared" ref="BL54" si="216">BK54+1</f>
        <v>62</v>
      </c>
      <c r="BM54" s="15">
        <f t="shared" ref="BM54" si="217">BL54+1</f>
        <v>63</v>
      </c>
    </row>
    <row r="55" spans="1:75" x14ac:dyDescent="0.25">
      <c r="A55" s="12" t="s">
        <v>151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f>$H$51</f>
        <v>0</v>
      </c>
      <c r="I55" s="13">
        <f t="shared" ref="I55:AO55" si="218">$H$51</f>
        <v>0</v>
      </c>
      <c r="J55" s="13">
        <f t="shared" si="218"/>
        <v>0</v>
      </c>
      <c r="K55" s="13">
        <f t="shared" si="218"/>
        <v>0</v>
      </c>
      <c r="L55" s="13">
        <f t="shared" si="218"/>
        <v>0</v>
      </c>
      <c r="M55" s="13">
        <f t="shared" si="218"/>
        <v>0</v>
      </c>
      <c r="N55" s="13">
        <f t="shared" si="218"/>
        <v>0</v>
      </c>
      <c r="O55" s="13">
        <f t="shared" si="218"/>
        <v>0</v>
      </c>
      <c r="P55" s="13">
        <f t="shared" si="218"/>
        <v>0</v>
      </c>
      <c r="Q55" s="13">
        <f t="shared" si="218"/>
        <v>0</v>
      </c>
      <c r="R55" s="13">
        <f t="shared" si="218"/>
        <v>0</v>
      </c>
      <c r="S55" s="13">
        <f t="shared" si="218"/>
        <v>0</v>
      </c>
      <c r="T55" s="13">
        <f t="shared" si="218"/>
        <v>0</v>
      </c>
      <c r="U55" s="13">
        <f t="shared" si="218"/>
        <v>0</v>
      </c>
      <c r="V55" s="13">
        <f t="shared" si="218"/>
        <v>0</v>
      </c>
      <c r="W55" s="13">
        <f t="shared" si="218"/>
        <v>0</v>
      </c>
      <c r="X55" s="13">
        <f t="shared" si="218"/>
        <v>0</v>
      </c>
      <c r="Y55" s="13">
        <f t="shared" si="218"/>
        <v>0</v>
      </c>
      <c r="Z55" s="13">
        <f t="shared" si="218"/>
        <v>0</v>
      </c>
      <c r="AA55" s="13">
        <f t="shared" si="218"/>
        <v>0</v>
      </c>
      <c r="AB55" s="13">
        <f t="shared" si="218"/>
        <v>0</v>
      </c>
      <c r="AC55" s="13">
        <f t="shared" si="218"/>
        <v>0</v>
      </c>
      <c r="AD55" s="13">
        <f t="shared" si="218"/>
        <v>0</v>
      </c>
      <c r="AE55" s="13">
        <f t="shared" si="218"/>
        <v>0</v>
      </c>
      <c r="AF55" s="13">
        <f t="shared" si="218"/>
        <v>0</v>
      </c>
      <c r="AG55" s="13">
        <f t="shared" si="218"/>
        <v>0</v>
      </c>
      <c r="AH55" s="13">
        <f t="shared" si="218"/>
        <v>0</v>
      </c>
      <c r="AI55" s="13">
        <f t="shared" si="218"/>
        <v>0</v>
      </c>
      <c r="AJ55" s="13">
        <f t="shared" si="218"/>
        <v>0</v>
      </c>
      <c r="AK55" s="13">
        <f t="shared" si="218"/>
        <v>0</v>
      </c>
      <c r="AL55" s="13">
        <f t="shared" si="218"/>
        <v>0</v>
      </c>
      <c r="AM55" s="13">
        <f t="shared" si="218"/>
        <v>0</v>
      </c>
      <c r="AN55" s="13">
        <f t="shared" si="218"/>
        <v>0</v>
      </c>
      <c r="AO55" s="13">
        <f t="shared" si="218"/>
        <v>0</v>
      </c>
      <c r="AP55" s="74">
        <f>L51</f>
        <v>0</v>
      </c>
      <c r="AQ55" s="74">
        <f t="shared" ref="AQ55:BM55" si="219">M51</f>
        <v>0</v>
      </c>
      <c r="AR55" s="74">
        <f t="shared" si="219"/>
        <v>0</v>
      </c>
      <c r="AS55" s="74">
        <f t="shared" si="219"/>
        <v>0</v>
      </c>
      <c r="AT55" s="74">
        <f t="shared" si="219"/>
        <v>0</v>
      </c>
      <c r="AU55" s="74">
        <f t="shared" si="219"/>
        <v>0</v>
      </c>
      <c r="AV55" s="74">
        <f t="shared" si="219"/>
        <v>0</v>
      </c>
      <c r="AW55" s="74">
        <f t="shared" si="219"/>
        <v>0</v>
      </c>
      <c r="AX55" s="74">
        <f t="shared" si="219"/>
        <v>0</v>
      </c>
      <c r="AY55" s="74">
        <f t="shared" si="219"/>
        <v>0</v>
      </c>
      <c r="AZ55" s="74">
        <f t="shared" si="219"/>
        <v>0</v>
      </c>
      <c r="BA55" s="74">
        <f t="shared" si="219"/>
        <v>0</v>
      </c>
      <c r="BB55" s="74">
        <f t="shared" si="219"/>
        <v>0</v>
      </c>
      <c r="BC55" s="74">
        <f t="shared" si="219"/>
        <v>0</v>
      </c>
      <c r="BD55" s="74">
        <f t="shared" si="219"/>
        <v>0</v>
      </c>
      <c r="BE55" s="74">
        <f t="shared" si="219"/>
        <v>0</v>
      </c>
      <c r="BF55" s="74">
        <f t="shared" si="219"/>
        <v>0</v>
      </c>
      <c r="BG55" s="74">
        <f t="shared" si="219"/>
        <v>0</v>
      </c>
      <c r="BH55" s="74">
        <f t="shared" si="219"/>
        <v>0</v>
      </c>
      <c r="BI55" s="74">
        <f t="shared" si="219"/>
        <v>0</v>
      </c>
      <c r="BJ55" s="74">
        <f t="shared" si="219"/>
        <v>0</v>
      </c>
      <c r="BK55" s="74">
        <f t="shared" si="219"/>
        <v>0</v>
      </c>
      <c r="BL55" s="74">
        <f t="shared" si="219"/>
        <v>0</v>
      </c>
      <c r="BM55" s="74">
        <f t="shared" si="219"/>
        <v>0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ht="16.5" thickBot="1" x14ac:dyDescent="0.3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spans="1:75" x14ac:dyDescent="0.25">
      <c r="A57" s="238" t="s">
        <v>181</v>
      </c>
      <c r="B57" s="23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4"/>
      <c r="AF57" s="4"/>
      <c r="AG57" s="4"/>
      <c r="AH57" s="4"/>
    </row>
    <row r="58" spans="1:75" ht="16.5" thickBot="1" x14ac:dyDescent="0.3">
      <c r="A58" s="7" t="s">
        <v>182</v>
      </c>
      <c r="B58" s="8">
        <f>SUM(B28:B29)*B27</f>
        <v>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H58" s="4"/>
    </row>
    <row r="59" spans="1:75" ht="15" hidden="1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H59" s="4"/>
    </row>
    <row r="60" spans="1:75" ht="15" hidden="1" customHeight="1" x14ac:dyDescent="0.25">
      <c r="A60" s="5"/>
      <c r="B60" s="14">
        <v>42095</v>
      </c>
      <c r="C60" s="14">
        <f>EDATE(B60,1)</f>
        <v>42125</v>
      </c>
      <c r="D60" s="14">
        <f t="shared" ref="D60:AP60" si="220">EDATE(C60,1)</f>
        <v>42156</v>
      </c>
      <c r="E60" s="14">
        <f t="shared" si="220"/>
        <v>42186</v>
      </c>
      <c r="F60" s="14">
        <f t="shared" si="220"/>
        <v>42217</v>
      </c>
      <c r="G60" s="14">
        <f t="shared" si="220"/>
        <v>42248</v>
      </c>
      <c r="H60" s="14">
        <f t="shared" si="220"/>
        <v>42278</v>
      </c>
      <c r="I60" s="14">
        <f t="shared" si="220"/>
        <v>42309</v>
      </c>
      <c r="J60" s="14">
        <f t="shared" si="220"/>
        <v>42339</v>
      </c>
      <c r="K60" s="14">
        <f t="shared" si="220"/>
        <v>42370</v>
      </c>
      <c r="L60" s="14">
        <f t="shared" si="220"/>
        <v>42401</v>
      </c>
      <c r="M60" s="14">
        <f t="shared" si="220"/>
        <v>42430</v>
      </c>
      <c r="N60" s="14">
        <f t="shared" si="220"/>
        <v>42461</v>
      </c>
      <c r="O60" s="14">
        <f t="shared" si="220"/>
        <v>42491</v>
      </c>
      <c r="P60" s="14">
        <f t="shared" si="220"/>
        <v>42522</v>
      </c>
      <c r="Q60" s="14">
        <f t="shared" si="220"/>
        <v>42552</v>
      </c>
      <c r="R60" s="14">
        <f t="shared" si="220"/>
        <v>42583</v>
      </c>
      <c r="S60" s="14">
        <f t="shared" si="220"/>
        <v>42614</v>
      </c>
      <c r="T60" s="14">
        <f t="shared" si="220"/>
        <v>42644</v>
      </c>
      <c r="U60" s="14">
        <f t="shared" si="220"/>
        <v>42675</v>
      </c>
      <c r="V60" s="14">
        <f t="shared" si="220"/>
        <v>42705</v>
      </c>
      <c r="W60" s="14">
        <f t="shared" si="220"/>
        <v>42736</v>
      </c>
      <c r="X60" s="14">
        <f t="shared" si="220"/>
        <v>42767</v>
      </c>
      <c r="Y60" s="14">
        <f t="shared" si="220"/>
        <v>42795</v>
      </c>
      <c r="Z60" s="14">
        <f t="shared" si="220"/>
        <v>42826</v>
      </c>
      <c r="AA60" s="14">
        <f t="shared" si="220"/>
        <v>42856</v>
      </c>
      <c r="AB60" s="14">
        <f t="shared" si="220"/>
        <v>42887</v>
      </c>
      <c r="AC60" s="14">
        <f t="shared" si="220"/>
        <v>42917</v>
      </c>
      <c r="AD60" s="14">
        <f t="shared" si="220"/>
        <v>42948</v>
      </c>
      <c r="AE60" s="14">
        <f t="shared" si="220"/>
        <v>42979</v>
      </c>
      <c r="AF60" s="14">
        <f t="shared" si="220"/>
        <v>43009</v>
      </c>
      <c r="AG60" s="14">
        <f t="shared" si="220"/>
        <v>43040</v>
      </c>
      <c r="AH60" s="14">
        <f>EDATE(AG60,1)</f>
        <v>43070</v>
      </c>
      <c r="AI60" s="14">
        <f t="shared" si="220"/>
        <v>43101</v>
      </c>
      <c r="AJ60" s="14">
        <f t="shared" si="220"/>
        <v>43132</v>
      </c>
      <c r="AK60" s="14">
        <f t="shared" si="220"/>
        <v>43160</v>
      </c>
      <c r="AL60" s="14">
        <f t="shared" si="220"/>
        <v>43191</v>
      </c>
      <c r="AM60" s="14">
        <f t="shared" si="220"/>
        <v>43221</v>
      </c>
      <c r="AN60" s="14">
        <f t="shared" si="220"/>
        <v>43252</v>
      </c>
      <c r="AO60" s="14">
        <f t="shared" si="220"/>
        <v>43282</v>
      </c>
      <c r="AP60" s="14">
        <f t="shared" si="220"/>
        <v>43313</v>
      </c>
      <c r="AQ60" s="14">
        <f t="shared" ref="AQ60" si="221">EDATE(AP60,1)</f>
        <v>43344</v>
      </c>
      <c r="AR60" s="14">
        <f t="shared" ref="AR60" si="222">EDATE(AQ60,1)</f>
        <v>43374</v>
      </c>
      <c r="AS60" s="14">
        <f t="shared" ref="AS60" si="223">EDATE(AR60,1)</f>
        <v>43405</v>
      </c>
      <c r="AT60" s="14">
        <f t="shared" ref="AT60" si="224">EDATE(AS60,1)</f>
        <v>43435</v>
      </c>
      <c r="AU60" s="14">
        <f t="shared" ref="AU60" si="225">EDATE(AT60,1)</f>
        <v>43466</v>
      </c>
      <c r="AV60" s="14">
        <f t="shared" ref="AV60" si="226">EDATE(AU60,1)</f>
        <v>43497</v>
      </c>
      <c r="AW60" s="14">
        <f t="shared" ref="AW60" si="227">EDATE(AV60,1)</f>
        <v>43525</v>
      </c>
      <c r="AX60" s="14">
        <f t="shared" ref="AX60" si="228">EDATE(AW60,1)</f>
        <v>43556</v>
      </c>
      <c r="AY60" s="14">
        <f t="shared" ref="AY60" si="229">EDATE(AX60,1)</f>
        <v>43586</v>
      </c>
      <c r="AZ60" s="14">
        <f t="shared" ref="AZ60" si="230">EDATE(AY60,1)</f>
        <v>43617</v>
      </c>
      <c r="BA60" s="14">
        <f t="shared" ref="BA60" si="231">EDATE(AZ60,1)</f>
        <v>43647</v>
      </c>
      <c r="BB60" s="14">
        <f t="shared" ref="BB60" si="232">EDATE(BA60,1)</f>
        <v>43678</v>
      </c>
      <c r="BC60" s="14">
        <f t="shared" ref="BC60" si="233">EDATE(BB60,1)</f>
        <v>43709</v>
      </c>
      <c r="BD60" s="14">
        <f t="shared" ref="BD60" si="234">EDATE(BC60,1)</f>
        <v>43739</v>
      </c>
      <c r="BE60" s="14">
        <f t="shared" ref="BE60" si="235">EDATE(BD60,1)</f>
        <v>43770</v>
      </c>
      <c r="BF60" s="14">
        <f t="shared" ref="BF60" si="236">EDATE(BE60,1)</f>
        <v>43800</v>
      </c>
      <c r="BG60" s="14">
        <f t="shared" ref="BG60" si="237">EDATE(BF60,1)</f>
        <v>43831</v>
      </c>
      <c r="BH60" s="14">
        <f t="shared" ref="BH60" si="238">EDATE(BG60,1)</f>
        <v>43862</v>
      </c>
      <c r="BI60" s="14">
        <f t="shared" ref="BI60" si="239">EDATE(BH60,1)</f>
        <v>43891</v>
      </c>
      <c r="BJ60" s="14">
        <f t="shared" ref="BJ60" si="240">EDATE(BI60,1)</f>
        <v>43922</v>
      </c>
      <c r="BK60" s="14">
        <f t="shared" ref="BK60" si="241">EDATE(BJ60,1)</f>
        <v>43952</v>
      </c>
      <c r="BL60" s="14">
        <f t="shared" ref="BL60" si="242">EDATE(BK60,1)</f>
        <v>43983</v>
      </c>
      <c r="BM60" s="14">
        <f t="shared" ref="BM60" si="243">EDATE(BL60,1)</f>
        <v>44013</v>
      </c>
    </row>
    <row r="61" spans="1:75" hidden="1" x14ac:dyDescent="0.25">
      <c r="A61" s="5"/>
      <c r="B61" s="15">
        <v>0</v>
      </c>
      <c r="C61" s="15">
        <f>B61+1</f>
        <v>1</v>
      </c>
      <c r="D61" s="15">
        <f>C61+1</f>
        <v>2</v>
      </c>
      <c r="E61" s="15">
        <f t="shared" ref="E61:AP61" si="244">D61+1</f>
        <v>3</v>
      </c>
      <c r="F61" s="15">
        <f t="shared" si="244"/>
        <v>4</v>
      </c>
      <c r="G61" s="15">
        <f t="shared" si="244"/>
        <v>5</v>
      </c>
      <c r="H61" s="15">
        <f t="shared" si="244"/>
        <v>6</v>
      </c>
      <c r="I61" s="15">
        <f t="shared" si="244"/>
        <v>7</v>
      </c>
      <c r="J61" s="15">
        <f t="shared" si="244"/>
        <v>8</v>
      </c>
      <c r="K61" s="15">
        <f t="shared" si="244"/>
        <v>9</v>
      </c>
      <c r="L61" s="15">
        <f t="shared" si="244"/>
        <v>10</v>
      </c>
      <c r="M61" s="15">
        <f t="shared" si="244"/>
        <v>11</v>
      </c>
      <c r="N61" s="15">
        <f t="shared" si="244"/>
        <v>12</v>
      </c>
      <c r="O61" s="15">
        <f t="shared" si="244"/>
        <v>13</v>
      </c>
      <c r="P61" s="15">
        <f t="shared" si="244"/>
        <v>14</v>
      </c>
      <c r="Q61" s="15">
        <f t="shared" si="244"/>
        <v>15</v>
      </c>
      <c r="R61" s="15">
        <f t="shared" si="244"/>
        <v>16</v>
      </c>
      <c r="S61" s="15">
        <f t="shared" si="244"/>
        <v>17</v>
      </c>
      <c r="T61" s="15">
        <f t="shared" si="244"/>
        <v>18</v>
      </c>
      <c r="U61" s="15">
        <f t="shared" si="244"/>
        <v>19</v>
      </c>
      <c r="V61" s="15">
        <f t="shared" si="244"/>
        <v>20</v>
      </c>
      <c r="W61" s="15">
        <f t="shared" si="244"/>
        <v>21</v>
      </c>
      <c r="X61" s="15">
        <f t="shared" si="244"/>
        <v>22</v>
      </c>
      <c r="Y61" s="15">
        <f t="shared" si="244"/>
        <v>23</v>
      </c>
      <c r="Z61" s="15">
        <f t="shared" si="244"/>
        <v>24</v>
      </c>
      <c r="AA61" s="15">
        <f t="shared" si="244"/>
        <v>25</v>
      </c>
      <c r="AB61" s="15">
        <f t="shared" si="244"/>
        <v>26</v>
      </c>
      <c r="AC61" s="15">
        <f t="shared" si="244"/>
        <v>27</v>
      </c>
      <c r="AD61" s="15">
        <f t="shared" si="244"/>
        <v>28</v>
      </c>
      <c r="AE61" s="15">
        <f t="shared" si="244"/>
        <v>29</v>
      </c>
      <c r="AF61" s="15">
        <f t="shared" si="244"/>
        <v>30</v>
      </c>
      <c r="AG61" s="15">
        <f t="shared" si="244"/>
        <v>31</v>
      </c>
      <c r="AH61" s="15">
        <f t="shared" si="244"/>
        <v>32</v>
      </c>
      <c r="AI61" s="15">
        <f t="shared" si="244"/>
        <v>33</v>
      </c>
      <c r="AJ61" s="15">
        <f t="shared" si="244"/>
        <v>34</v>
      </c>
      <c r="AK61" s="15">
        <f t="shared" si="244"/>
        <v>35</v>
      </c>
      <c r="AL61" s="15">
        <f t="shared" si="244"/>
        <v>36</v>
      </c>
      <c r="AM61" s="15">
        <f t="shared" si="244"/>
        <v>37</v>
      </c>
      <c r="AN61" s="15">
        <f t="shared" si="244"/>
        <v>38</v>
      </c>
      <c r="AO61" s="15">
        <f t="shared" si="244"/>
        <v>39</v>
      </c>
      <c r="AP61" s="15">
        <f t="shared" si="244"/>
        <v>40</v>
      </c>
      <c r="AQ61" s="15">
        <f t="shared" ref="AQ61" si="245">AP61+1</f>
        <v>41</v>
      </c>
      <c r="AR61" s="15">
        <f t="shared" ref="AR61" si="246">AQ61+1</f>
        <v>42</v>
      </c>
      <c r="AS61" s="15">
        <f t="shared" ref="AS61" si="247">AR61+1</f>
        <v>43</v>
      </c>
      <c r="AT61" s="15">
        <f t="shared" ref="AT61" si="248">AS61+1</f>
        <v>44</v>
      </c>
      <c r="AU61" s="15">
        <f t="shared" ref="AU61" si="249">AT61+1</f>
        <v>45</v>
      </c>
      <c r="AV61" s="15">
        <f t="shared" ref="AV61" si="250">AU61+1</f>
        <v>46</v>
      </c>
      <c r="AW61" s="15">
        <f t="shared" ref="AW61" si="251">AV61+1</f>
        <v>47</v>
      </c>
      <c r="AX61" s="15">
        <f t="shared" ref="AX61" si="252">AW61+1</f>
        <v>48</v>
      </c>
      <c r="AY61" s="15">
        <f t="shared" ref="AY61" si="253">AX61+1</f>
        <v>49</v>
      </c>
      <c r="AZ61" s="15">
        <f t="shared" ref="AZ61" si="254">AY61+1</f>
        <v>50</v>
      </c>
      <c r="BA61" s="15">
        <f t="shared" ref="BA61" si="255">AZ61+1</f>
        <v>51</v>
      </c>
      <c r="BB61" s="15">
        <f t="shared" ref="BB61" si="256">BA61+1</f>
        <v>52</v>
      </c>
      <c r="BC61" s="15">
        <f t="shared" ref="BC61" si="257">BB61+1</f>
        <v>53</v>
      </c>
      <c r="BD61" s="15">
        <f t="shared" ref="BD61" si="258">BC61+1</f>
        <v>54</v>
      </c>
      <c r="BE61" s="15">
        <f t="shared" ref="BE61" si="259">BD61+1</f>
        <v>55</v>
      </c>
      <c r="BF61" s="15">
        <f t="shared" ref="BF61" si="260">BE61+1</f>
        <v>56</v>
      </c>
      <c r="BG61" s="15">
        <f t="shared" ref="BG61" si="261">BF61+1</f>
        <v>57</v>
      </c>
      <c r="BH61" s="15">
        <f t="shared" ref="BH61" si="262">BG61+1</f>
        <v>58</v>
      </c>
      <c r="BI61" s="15">
        <f t="shared" ref="BI61" si="263">BH61+1</f>
        <v>59</v>
      </c>
      <c r="BJ61" s="15">
        <f t="shared" ref="BJ61" si="264">BI61+1</f>
        <v>60</v>
      </c>
      <c r="BK61" s="15">
        <f t="shared" ref="BK61" si="265">BJ61+1</f>
        <v>61</v>
      </c>
      <c r="BL61" s="15">
        <f t="shared" ref="BL61" si="266">BK61+1</f>
        <v>62</v>
      </c>
      <c r="BM61" s="15">
        <f t="shared" ref="BM61" si="267">BL61+1</f>
        <v>63</v>
      </c>
    </row>
    <row r="62" spans="1:75" hidden="1" x14ac:dyDescent="0.25">
      <c r="A62" s="12" t="s">
        <v>151</v>
      </c>
      <c r="B62" s="13"/>
      <c r="C62" s="13">
        <f>B58</f>
        <v>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</row>
    <row r="63" spans="1:75" hidden="1" x14ac:dyDescent="0.25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78"/>
      <c r="AF63" s="78"/>
      <c r="AG63" s="78"/>
      <c r="AH63" s="78"/>
    </row>
    <row r="64" spans="1:75" hidden="1" x14ac:dyDescent="0.25">
      <c r="A64" s="240" t="s">
        <v>183</v>
      </c>
      <c r="B64" s="241"/>
      <c r="E64" s="4"/>
      <c r="I64" s="4"/>
      <c r="J64" s="4"/>
      <c r="K64" s="6"/>
      <c r="AE64" s="4"/>
      <c r="AF64" s="4"/>
      <c r="AG64" s="4"/>
      <c r="AH64" s="4"/>
    </row>
    <row r="65" spans="1:65" ht="16.5" hidden="1" thickBot="1" x14ac:dyDescent="0.3">
      <c r="A65" s="9" t="s">
        <v>154</v>
      </c>
      <c r="B65" s="10">
        <f>B51+B37</f>
        <v>257000</v>
      </c>
    </row>
    <row r="66" spans="1:65" hidden="1" x14ac:dyDescent="0.25"/>
    <row r="67" spans="1:65" hidden="1" x14ac:dyDescent="0.25">
      <c r="B67" s="14">
        <f>B39</f>
        <v>43282</v>
      </c>
      <c r="C67" s="14">
        <f>EDATE(B67,1)</f>
        <v>43313</v>
      </c>
      <c r="D67" s="14">
        <f t="shared" ref="D67:AC67" si="268">EDATE(C67,1)</f>
        <v>43344</v>
      </c>
      <c r="E67" s="14">
        <f t="shared" si="268"/>
        <v>43374</v>
      </c>
      <c r="F67" s="14">
        <f t="shared" si="268"/>
        <v>43405</v>
      </c>
      <c r="G67" s="14">
        <f t="shared" si="268"/>
        <v>43435</v>
      </c>
      <c r="H67" s="14">
        <f t="shared" si="268"/>
        <v>43466</v>
      </c>
      <c r="I67" s="14">
        <f t="shared" si="268"/>
        <v>43497</v>
      </c>
      <c r="J67" s="14">
        <f t="shared" si="268"/>
        <v>43525</v>
      </c>
      <c r="K67" s="14">
        <f t="shared" si="268"/>
        <v>43556</v>
      </c>
      <c r="L67" s="14">
        <f t="shared" si="268"/>
        <v>43586</v>
      </c>
      <c r="M67" s="14">
        <f t="shared" si="268"/>
        <v>43617</v>
      </c>
      <c r="N67" s="14">
        <f t="shared" si="268"/>
        <v>43647</v>
      </c>
      <c r="O67" s="14">
        <f t="shared" si="268"/>
        <v>43678</v>
      </c>
      <c r="P67" s="14"/>
      <c r="Q67" s="14"/>
      <c r="R67" s="14"/>
      <c r="S67" s="14"/>
      <c r="T67" s="14"/>
      <c r="U67" s="14"/>
      <c r="V67" s="14"/>
      <c r="W67" s="14"/>
      <c r="X67" s="14">
        <f>EDATE(O67,1)</f>
        <v>43709</v>
      </c>
      <c r="Y67" s="14">
        <f t="shared" si="268"/>
        <v>43739</v>
      </c>
      <c r="Z67" s="14">
        <f t="shared" si="268"/>
        <v>43770</v>
      </c>
      <c r="AA67" s="14">
        <f t="shared" si="268"/>
        <v>43800</v>
      </c>
      <c r="AB67" s="14">
        <f t="shared" si="268"/>
        <v>43831</v>
      </c>
      <c r="AC67" s="72">
        <f t="shared" si="268"/>
        <v>43862</v>
      </c>
      <c r="AD67" s="72">
        <f>EDATE(AC67,1)</f>
        <v>43891</v>
      </c>
    </row>
    <row r="68" spans="1:65" hidden="1" x14ac:dyDescent="0.25">
      <c r="B68" s="15">
        <v>0</v>
      </c>
      <c r="C68" s="15">
        <f>B68+1</f>
        <v>1</v>
      </c>
      <c r="D68" s="15">
        <f t="shared" ref="D68:AC68" si="269">C68+1</f>
        <v>2</v>
      </c>
      <c r="E68" s="15">
        <f t="shared" si="269"/>
        <v>3</v>
      </c>
      <c r="F68" s="15">
        <f t="shared" si="269"/>
        <v>4</v>
      </c>
      <c r="G68" s="15">
        <f t="shared" si="269"/>
        <v>5</v>
      </c>
      <c r="H68" s="15">
        <f t="shared" si="269"/>
        <v>6</v>
      </c>
      <c r="I68" s="15">
        <f t="shared" si="269"/>
        <v>7</v>
      </c>
      <c r="J68" s="15">
        <f t="shared" si="269"/>
        <v>8</v>
      </c>
      <c r="K68" s="15">
        <f t="shared" si="269"/>
        <v>9</v>
      </c>
      <c r="L68" s="15">
        <f t="shared" si="269"/>
        <v>10</v>
      </c>
      <c r="M68" s="15">
        <f t="shared" si="269"/>
        <v>11</v>
      </c>
      <c r="N68" s="15">
        <f t="shared" si="269"/>
        <v>12</v>
      </c>
      <c r="O68" s="15">
        <f t="shared" si="269"/>
        <v>13</v>
      </c>
      <c r="P68" s="15"/>
      <c r="Q68" s="15"/>
      <c r="R68" s="15"/>
      <c r="S68" s="15"/>
      <c r="T68" s="15"/>
      <c r="U68" s="15"/>
      <c r="V68" s="15"/>
      <c r="W68" s="15"/>
      <c r="X68" s="15">
        <f>O68+1</f>
        <v>14</v>
      </c>
      <c r="Y68" s="15">
        <f t="shared" si="269"/>
        <v>15</v>
      </c>
      <c r="Z68" s="15">
        <f t="shared" si="269"/>
        <v>16</v>
      </c>
      <c r="AA68" s="15">
        <f t="shared" si="269"/>
        <v>17</v>
      </c>
      <c r="AB68" s="15">
        <f t="shared" si="269"/>
        <v>18</v>
      </c>
      <c r="AC68" s="73">
        <f t="shared" si="269"/>
        <v>19</v>
      </c>
      <c r="AD68" s="73">
        <f>AC68+1</f>
        <v>20</v>
      </c>
    </row>
    <row r="69" spans="1:65" hidden="1" x14ac:dyDescent="0.25">
      <c r="A69" s="12" t="s">
        <v>151</v>
      </c>
      <c r="B69" s="13">
        <f>SUM(B55,B41)</f>
        <v>0</v>
      </c>
      <c r="C69" s="13" t="e">
        <f>C41*#REF!</f>
        <v>#REF!</v>
      </c>
      <c r="D69" s="13" t="e">
        <f>D41*#REF!</f>
        <v>#REF!</v>
      </c>
      <c r="E69" s="13" t="e">
        <f>#REF!*#REF!</f>
        <v>#REF!</v>
      </c>
      <c r="F69" s="13" t="e">
        <f>I41*#REF!</f>
        <v>#REF!</v>
      </c>
      <c r="G69" s="13" t="e">
        <f>J41*#REF!</f>
        <v>#REF!</v>
      </c>
      <c r="H69" s="13" t="e">
        <f>#REF!*#REF!</f>
        <v>#REF!</v>
      </c>
      <c r="I69" s="13" t="e">
        <f>#REF!*#REF!</f>
        <v>#REF!</v>
      </c>
      <c r="J69" s="13" t="e">
        <f>K41*#REF!</f>
        <v>#REF!</v>
      </c>
      <c r="K69" s="13" t="e">
        <f>L41*#REF!</f>
        <v>#REF!</v>
      </c>
      <c r="L69" s="13" t="e">
        <f>M41*#REF!</f>
        <v>#REF!</v>
      </c>
      <c r="M69" s="13" t="e">
        <f>N41*#REF!</f>
        <v>#REF!</v>
      </c>
      <c r="N69" s="13" t="e">
        <f>O41*#REF!</f>
        <v>#REF!</v>
      </c>
      <c r="O69" s="13" t="e">
        <f>P41*#REF!</f>
        <v>#REF!</v>
      </c>
      <c r="P69" s="13"/>
      <c r="Q69" s="13"/>
      <c r="R69" s="13"/>
      <c r="S69" s="13"/>
      <c r="T69" s="13"/>
      <c r="U69" s="13"/>
      <c r="V69" s="13"/>
      <c r="W69" s="13"/>
      <c r="X69" s="13" t="e">
        <f>W41*#REF!</f>
        <v>#REF!</v>
      </c>
      <c r="Y69" s="13" t="e">
        <f>X41*#REF!</f>
        <v>#REF!</v>
      </c>
      <c r="Z69" s="13" t="e">
        <f>Y41*#REF!</f>
        <v>#REF!</v>
      </c>
      <c r="AA69" s="13" t="e">
        <f>Z41*#REF!</f>
        <v>#REF!</v>
      </c>
      <c r="AB69" s="13" t="e">
        <f>AA41*#REF!</f>
        <v>#REF!</v>
      </c>
      <c r="AC69" s="13" t="e">
        <f>AB41*#REF!</f>
        <v>#REF!</v>
      </c>
      <c r="AD69" s="13" t="e">
        <f>AC41*#REF!</f>
        <v>#REF!</v>
      </c>
    </row>
    <row r="70" spans="1:65" hidden="1" x14ac:dyDescent="0.25">
      <c r="AE70" s="5"/>
      <c r="AF70" s="5"/>
      <c r="AG70" s="5"/>
      <c r="AH70" s="5"/>
    </row>
    <row r="71" spans="1:65" hidden="1" x14ac:dyDescent="0.25">
      <c r="A71" s="235" t="s">
        <v>146</v>
      </c>
      <c r="B71" s="235"/>
      <c r="C71" s="244" t="s">
        <v>147</v>
      </c>
      <c r="D71" s="245">
        <v>24</v>
      </c>
      <c r="AE71" s="5"/>
      <c r="AF71" s="5"/>
      <c r="AG71" s="5"/>
      <c r="AH71" s="5"/>
    </row>
    <row r="72" spans="1:65" hidden="1" x14ac:dyDescent="0.25">
      <c r="A72" s="235"/>
      <c r="B72" s="235"/>
      <c r="C72" s="244"/>
      <c r="D72" s="245"/>
      <c r="AE72" s="5"/>
      <c r="AF72" s="5"/>
      <c r="AG72" s="5"/>
      <c r="AH72" s="5"/>
    </row>
    <row r="73" spans="1:65" ht="47.25" hidden="1" x14ac:dyDescent="0.25">
      <c r="A73" s="235"/>
      <c r="B73" s="235"/>
      <c r="C73" s="110" t="s">
        <v>14</v>
      </c>
      <c r="D73" s="109">
        <v>3</v>
      </c>
      <c r="AE73" s="80" t="e">
        <f>EDATE(#REF!,1)</f>
        <v>#REF!</v>
      </c>
      <c r="AF73" s="80" t="e">
        <f>EDATE(AE73,1)</f>
        <v>#REF!</v>
      </c>
      <c r="AG73" s="80" t="e">
        <f>EDATE(AF73,1)</f>
        <v>#REF!</v>
      </c>
      <c r="AH73" s="80" t="e">
        <f>EDATE(AG73,1)</f>
        <v>#REF!</v>
      </c>
      <c r="AI73" s="80" t="e">
        <f>EDATE(AH73,1)</f>
        <v>#REF!</v>
      </c>
      <c r="AJ73" s="80" t="e">
        <f>EDATE(AI73,1)</f>
        <v>#REF!</v>
      </c>
    </row>
    <row r="74" spans="1:65" ht="30" hidden="1" x14ac:dyDescent="0.25">
      <c r="A74" s="235"/>
      <c r="B74" s="235"/>
      <c r="C74" s="108" t="s">
        <v>148</v>
      </c>
      <c r="D74" s="109">
        <f>D71+D73</f>
        <v>27</v>
      </c>
      <c r="AE74" s="81">
        <v>22</v>
      </c>
      <c r="AF74" s="81">
        <v>23</v>
      </c>
      <c r="AG74" s="81">
        <v>24</v>
      </c>
      <c r="AH74" s="81">
        <v>25</v>
      </c>
      <c r="AI74" s="81">
        <v>26</v>
      </c>
      <c r="AJ74" s="81">
        <v>27</v>
      </c>
    </row>
    <row r="75" spans="1:65" hidden="1" x14ac:dyDescent="0.25">
      <c r="AE75" s="13">
        <v>6008.53</v>
      </c>
      <c r="AF75" s="13">
        <v>6011.96</v>
      </c>
      <c r="AG75" s="13">
        <v>5902.31</v>
      </c>
      <c r="AH75" s="13">
        <v>5905.74</v>
      </c>
      <c r="AI75" s="13">
        <v>5933.63</v>
      </c>
      <c r="AJ75" s="13">
        <v>158039.20000000001</v>
      </c>
    </row>
    <row r="76" spans="1:65" hidden="1" x14ac:dyDescent="0.25">
      <c r="A76" s="238" t="s">
        <v>149</v>
      </c>
      <c r="B76" s="23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65" ht="16.5" hidden="1" thickBot="1" x14ac:dyDescent="0.3">
      <c r="A77" s="7" t="s">
        <v>150</v>
      </c>
      <c r="B77" s="8">
        <v>260000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H77" s="4"/>
      <c r="AI77" s="4"/>
      <c r="AJ77" s="4"/>
    </row>
    <row r="78" spans="1:65" ht="16.5" thickBot="1" x14ac:dyDescent="0.3">
      <c r="A78" s="180" t="s">
        <v>184</v>
      </c>
      <c r="B78" s="8">
        <f>Dados!C31</f>
        <v>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H78" s="4"/>
      <c r="AI78" s="4"/>
      <c r="AJ78" s="4"/>
    </row>
    <row r="79" spans="1:65" x14ac:dyDescent="0.25">
      <c r="A79" s="5"/>
      <c r="B79" s="80">
        <f>Cashflow!H7</f>
        <v>43282</v>
      </c>
      <c r="C79" s="80">
        <f t="shared" ref="C79:AP79" si="270">EDATE(B79,1)</f>
        <v>43313</v>
      </c>
      <c r="D79" s="80">
        <f t="shared" si="270"/>
        <v>43344</v>
      </c>
      <c r="E79" s="80">
        <f t="shared" si="270"/>
        <v>43374</v>
      </c>
      <c r="F79" s="80">
        <f t="shared" si="270"/>
        <v>43405</v>
      </c>
      <c r="G79" s="80">
        <f t="shared" si="270"/>
        <v>43435</v>
      </c>
      <c r="H79" s="80">
        <f t="shared" si="270"/>
        <v>43466</v>
      </c>
      <c r="I79" s="80">
        <f t="shared" si="270"/>
        <v>43497</v>
      </c>
      <c r="J79" s="80">
        <f t="shared" si="270"/>
        <v>43525</v>
      </c>
      <c r="K79" s="80">
        <f t="shared" si="270"/>
        <v>43556</v>
      </c>
      <c r="L79" s="80">
        <f t="shared" si="270"/>
        <v>43586</v>
      </c>
      <c r="M79" s="80">
        <f t="shared" si="270"/>
        <v>43617</v>
      </c>
      <c r="N79" s="80">
        <f t="shared" si="270"/>
        <v>43647</v>
      </c>
      <c r="O79" s="80">
        <f t="shared" si="270"/>
        <v>43678</v>
      </c>
      <c r="P79" s="80">
        <f t="shared" si="270"/>
        <v>43709</v>
      </c>
      <c r="Q79" s="80">
        <f t="shared" si="270"/>
        <v>43739</v>
      </c>
      <c r="R79" s="80">
        <f t="shared" si="270"/>
        <v>43770</v>
      </c>
      <c r="S79" s="80">
        <f t="shared" si="270"/>
        <v>43800</v>
      </c>
      <c r="T79" s="80">
        <f t="shared" si="270"/>
        <v>43831</v>
      </c>
      <c r="U79" s="80">
        <f t="shared" si="270"/>
        <v>43862</v>
      </c>
      <c r="V79" s="80">
        <f t="shared" si="270"/>
        <v>43891</v>
      </c>
      <c r="W79" s="80">
        <f t="shared" si="270"/>
        <v>43922</v>
      </c>
      <c r="X79" s="80">
        <f t="shared" si="270"/>
        <v>43952</v>
      </c>
      <c r="Y79" s="80">
        <f t="shared" si="270"/>
        <v>43983</v>
      </c>
      <c r="Z79" s="80">
        <f t="shared" si="270"/>
        <v>44013</v>
      </c>
      <c r="AA79" s="80">
        <f t="shared" si="270"/>
        <v>44044</v>
      </c>
      <c r="AB79" s="80">
        <f t="shared" si="270"/>
        <v>44075</v>
      </c>
      <c r="AC79" s="80">
        <f t="shared" si="270"/>
        <v>44105</v>
      </c>
      <c r="AD79" s="80">
        <f t="shared" si="270"/>
        <v>44136</v>
      </c>
      <c r="AE79" s="80">
        <f t="shared" si="270"/>
        <v>44166</v>
      </c>
      <c r="AF79" s="80">
        <f t="shared" si="270"/>
        <v>44197</v>
      </c>
      <c r="AG79" s="80">
        <f t="shared" si="270"/>
        <v>44228</v>
      </c>
      <c r="AH79" s="80">
        <f t="shared" si="270"/>
        <v>44256</v>
      </c>
      <c r="AI79" s="80">
        <f t="shared" si="270"/>
        <v>44287</v>
      </c>
      <c r="AJ79" s="80">
        <f t="shared" si="270"/>
        <v>44317</v>
      </c>
      <c r="AK79" s="80">
        <f t="shared" si="270"/>
        <v>44348</v>
      </c>
      <c r="AL79" s="80">
        <f t="shared" si="270"/>
        <v>44378</v>
      </c>
      <c r="AM79" s="80">
        <f t="shared" si="270"/>
        <v>44409</v>
      </c>
      <c r="AN79" s="80">
        <f t="shared" si="270"/>
        <v>44440</v>
      </c>
      <c r="AO79" s="80">
        <f t="shared" si="270"/>
        <v>44470</v>
      </c>
      <c r="AP79" s="80">
        <f t="shared" si="270"/>
        <v>44501</v>
      </c>
      <c r="AQ79" s="80">
        <f t="shared" ref="AQ79" si="271">EDATE(AP79,1)</f>
        <v>44531</v>
      </c>
      <c r="AR79" s="80">
        <f t="shared" ref="AR79" si="272">EDATE(AQ79,1)</f>
        <v>44562</v>
      </c>
      <c r="AS79" s="80">
        <f t="shared" ref="AS79" si="273">EDATE(AR79,1)</f>
        <v>44593</v>
      </c>
      <c r="AT79" s="80">
        <f t="shared" ref="AT79" si="274">EDATE(AS79,1)</f>
        <v>44621</v>
      </c>
      <c r="AU79" s="80">
        <f t="shared" ref="AU79" si="275">EDATE(AT79,1)</f>
        <v>44652</v>
      </c>
      <c r="AV79" s="80">
        <f t="shared" ref="AV79" si="276">EDATE(AU79,1)</f>
        <v>44682</v>
      </c>
      <c r="AW79" s="80">
        <f t="shared" ref="AW79" si="277">EDATE(AV79,1)</f>
        <v>44713</v>
      </c>
      <c r="AX79" s="80">
        <f t="shared" ref="AX79" si="278">EDATE(AW79,1)</f>
        <v>44743</v>
      </c>
      <c r="AY79" s="80">
        <f t="shared" ref="AY79" si="279">EDATE(AX79,1)</f>
        <v>44774</v>
      </c>
      <c r="AZ79" s="80">
        <f t="shared" ref="AZ79" si="280">EDATE(AY79,1)</f>
        <v>44805</v>
      </c>
      <c r="BA79" s="80">
        <f t="shared" ref="BA79" si="281">EDATE(AZ79,1)</f>
        <v>44835</v>
      </c>
      <c r="BB79" s="80">
        <f t="shared" ref="BB79" si="282">EDATE(BA79,1)</f>
        <v>44866</v>
      </c>
      <c r="BC79" s="80">
        <f t="shared" ref="BC79" si="283">EDATE(BB79,1)</f>
        <v>44896</v>
      </c>
      <c r="BD79" s="80">
        <f t="shared" ref="BD79" si="284">EDATE(BC79,1)</f>
        <v>44927</v>
      </c>
      <c r="BE79" s="80">
        <f t="shared" ref="BE79" si="285">EDATE(BD79,1)</f>
        <v>44958</v>
      </c>
      <c r="BF79" s="80">
        <f t="shared" ref="BF79" si="286">EDATE(BE79,1)</f>
        <v>44986</v>
      </c>
      <c r="BG79" s="80">
        <f t="shared" ref="BG79" si="287">EDATE(BF79,1)</f>
        <v>45017</v>
      </c>
      <c r="BH79" s="80">
        <f t="shared" ref="BH79" si="288">EDATE(BG79,1)</f>
        <v>45047</v>
      </c>
      <c r="BI79" s="80">
        <f t="shared" ref="BI79" si="289">EDATE(BH79,1)</f>
        <v>45078</v>
      </c>
      <c r="BJ79" s="80">
        <f t="shared" ref="BJ79" si="290">EDATE(BI79,1)</f>
        <v>45108</v>
      </c>
      <c r="BK79" s="80">
        <f t="shared" ref="BK79" si="291">EDATE(BJ79,1)</f>
        <v>45139</v>
      </c>
      <c r="BL79" s="80">
        <f t="shared" ref="BL79" si="292">EDATE(BK79,1)</f>
        <v>45170</v>
      </c>
      <c r="BM79" s="80">
        <f t="shared" ref="BM79" si="293">EDATE(BL79,1)</f>
        <v>45200</v>
      </c>
    </row>
    <row r="80" spans="1:65" x14ac:dyDescent="0.25">
      <c r="A80" s="5"/>
      <c r="B80" s="81">
        <f>Cashflow!H8</f>
        <v>0</v>
      </c>
      <c r="C80" s="81">
        <f>B80+1</f>
        <v>1</v>
      </c>
      <c r="D80" s="81">
        <f t="shared" ref="D80:AP80" si="294">C80+1</f>
        <v>2</v>
      </c>
      <c r="E80" s="81">
        <f t="shared" si="294"/>
        <v>3</v>
      </c>
      <c r="F80" s="81">
        <f t="shared" si="294"/>
        <v>4</v>
      </c>
      <c r="G80" s="81">
        <f t="shared" si="294"/>
        <v>5</v>
      </c>
      <c r="H80" s="81">
        <f t="shared" si="294"/>
        <v>6</v>
      </c>
      <c r="I80" s="81">
        <f t="shared" si="294"/>
        <v>7</v>
      </c>
      <c r="J80" s="81">
        <f t="shared" si="294"/>
        <v>8</v>
      </c>
      <c r="K80" s="81">
        <f t="shared" si="294"/>
        <v>9</v>
      </c>
      <c r="L80" s="81">
        <f t="shared" si="294"/>
        <v>10</v>
      </c>
      <c r="M80" s="81">
        <f t="shared" si="294"/>
        <v>11</v>
      </c>
      <c r="N80" s="81">
        <f t="shared" si="294"/>
        <v>12</v>
      </c>
      <c r="O80" s="81">
        <f t="shared" si="294"/>
        <v>13</v>
      </c>
      <c r="P80" s="81">
        <f t="shared" si="294"/>
        <v>14</v>
      </c>
      <c r="Q80" s="81">
        <f t="shared" si="294"/>
        <v>15</v>
      </c>
      <c r="R80" s="81">
        <f t="shared" si="294"/>
        <v>16</v>
      </c>
      <c r="S80" s="81">
        <f t="shared" si="294"/>
        <v>17</v>
      </c>
      <c r="T80" s="81">
        <f t="shared" si="294"/>
        <v>18</v>
      </c>
      <c r="U80" s="81">
        <f t="shared" si="294"/>
        <v>19</v>
      </c>
      <c r="V80" s="81">
        <f t="shared" si="294"/>
        <v>20</v>
      </c>
      <c r="W80" s="81">
        <f t="shared" si="294"/>
        <v>21</v>
      </c>
      <c r="X80" s="81">
        <f t="shared" si="294"/>
        <v>22</v>
      </c>
      <c r="Y80" s="81">
        <f t="shared" si="294"/>
        <v>23</v>
      </c>
      <c r="Z80" s="81">
        <f t="shared" si="294"/>
        <v>24</v>
      </c>
      <c r="AA80" s="81">
        <f t="shared" si="294"/>
        <v>25</v>
      </c>
      <c r="AB80" s="81">
        <f t="shared" si="294"/>
        <v>26</v>
      </c>
      <c r="AC80" s="81">
        <f t="shared" si="294"/>
        <v>27</v>
      </c>
      <c r="AD80" s="81">
        <f t="shared" si="294"/>
        <v>28</v>
      </c>
      <c r="AE80" s="81">
        <f t="shared" si="294"/>
        <v>29</v>
      </c>
      <c r="AF80" s="81">
        <f t="shared" si="294"/>
        <v>30</v>
      </c>
      <c r="AG80" s="81">
        <f t="shared" si="294"/>
        <v>31</v>
      </c>
      <c r="AH80" s="81">
        <f t="shared" si="294"/>
        <v>32</v>
      </c>
      <c r="AI80" s="81">
        <f t="shared" si="294"/>
        <v>33</v>
      </c>
      <c r="AJ80" s="81">
        <f t="shared" si="294"/>
        <v>34</v>
      </c>
      <c r="AK80" s="81">
        <f t="shared" si="294"/>
        <v>35</v>
      </c>
      <c r="AL80" s="81">
        <f t="shared" si="294"/>
        <v>36</v>
      </c>
      <c r="AM80" s="81">
        <f t="shared" si="294"/>
        <v>37</v>
      </c>
      <c r="AN80" s="81">
        <f t="shared" si="294"/>
        <v>38</v>
      </c>
      <c r="AO80" s="81">
        <f t="shared" si="294"/>
        <v>39</v>
      </c>
      <c r="AP80" s="81">
        <f t="shared" si="294"/>
        <v>40</v>
      </c>
      <c r="AQ80" s="81">
        <f t="shared" ref="AQ80" si="295">AP80+1</f>
        <v>41</v>
      </c>
      <c r="AR80" s="81">
        <f t="shared" ref="AR80" si="296">AQ80+1</f>
        <v>42</v>
      </c>
      <c r="AS80" s="81">
        <f t="shared" ref="AS80" si="297">AR80+1</f>
        <v>43</v>
      </c>
      <c r="AT80" s="81">
        <f t="shared" ref="AT80" si="298">AS80+1</f>
        <v>44</v>
      </c>
      <c r="AU80" s="81">
        <f t="shared" ref="AU80" si="299">AT80+1</f>
        <v>45</v>
      </c>
      <c r="AV80" s="81">
        <f t="shared" ref="AV80" si="300">AU80+1</f>
        <v>46</v>
      </c>
      <c r="AW80" s="81">
        <f t="shared" ref="AW80" si="301">AV80+1</f>
        <v>47</v>
      </c>
      <c r="AX80" s="81">
        <f t="shared" ref="AX80" si="302">AW80+1</f>
        <v>48</v>
      </c>
      <c r="AY80" s="81">
        <f t="shared" ref="AY80" si="303">AX80+1</f>
        <v>49</v>
      </c>
      <c r="AZ80" s="81">
        <f t="shared" ref="AZ80" si="304">AY80+1</f>
        <v>50</v>
      </c>
      <c r="BA80" s="81">
        <f t="shared" ref="BA80" si="305">AZ80+1</f>
        <v>51</v>
      </c>
      <c r="BB80" s="81">
        <f t="shared" ref="BB80" si="306">BA80+1</f>
        <v>52</v>
      </c>
      <c r="BC80" s="81">
        <f t="shared" ref="BC80" si="307">BB80+1</f>
        <v>53</v>
      </c>
      <c r="BD80" s="81">
        <f t="shared" ref="BD80" si="308">BC80+1</f>
        <v>54</v>
      </c>
      <c r="BE80" s="81">
        <f t="shared" ref="BE80" si="309">BD80+1</f>
        <v>55</v>
      </c>
      <c r="BF80" s="81">
        <f t="shared" ref="BF80" si="310">BE80+1</f>
        <v>56</v>
      </c>
      <c r="BG80" s="81">
        <f t="shared" ref="BG80" si="311">BF80+1</f>
        <v>57</v>
      </c>
      <c r="BH80" s="81">
        <f t="shared" ref="BH80" si="312">BG80+1</f>
        <v>58</v>
      </c>
      <c r="BI80" s="81">
        <f t="shared" ref="BI80" si="313">BH80+1</f>
        <v>59</v>
      </c>
      <c r="BJ80" s="81">
        <f t="shared" ref="BJ80" si="314">BI80+1</f>
        <v>60</v>
      </c>
      <c r="BK80" s="81">
        <f t="shared" ref="BK80" si="315">BJ80+1</f>
        <v>61</v>
      </c>
      <c r="BL80" s="81">
        <f t="shared" ref="BL80" si="316">BK80+1</f>
        <v>62</v>
      </c>
      <c r="BM80" s="81">
        <f t="shared" ref="BM80" si="317">BL80+1</f>
        <v>63</v>
      </c>
    </row>
    <row r="81" spans="1:65" x14ac:dyDescent="0.25">
      <c r="A81" s="12" t="s">
        <v>151</v>
      </c>
      <c r="B81" s="13">
        <f>B58+B78</f>
        <v>0</v>
      </c>
      <c r="C81" s="13"/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</row>
    <row r="82" spans="1:65" ht="16.5" thickBot="1" x14ac:dyDescent="0.3"/>
    <row r="83" spans="1:65" x14ac:dyDescent="0.25">
      <c r="A83" s="240" t="s">
        <v>185</v>
      </c>
      <c r="B83" s="241"/>
      <c r="E83" s="4"/>
      <c r="I83" s="4"/>
      <c r="J83" s="4"/>
      <c r="K83" s="6"/>
    </row>
    <row r="84" spans="1:65" ht="16.5" thickBot="1" x14ac:dyDescent="0.3">
      <c r="A84" s="9" t="s">
        <v>186</v>
      </c>
      <c r="B84" s="10">
        <f>B28+B29</f>
        <v>257000</v>
      </c>
    </row>
    <row r="86" spans="1:65" x14ac:dyDescent="0.25">
      <c r="B86" s="173">
        <f>Cashflow!H7</f>
        <v>43282</v>
      </c>
      <c r="C86" s="173">
        <f>EDATE(B86,1)</f>
        <v>43313</v>
      </c>
      <c r="D86" s="173">
        <f t="shared" ref="D86:AP86" si="318">EDATE(C86,1)</f>
        <v>43344</v>
      </c>
      <c r="E86" s="173">
        <f t="shared" si="318"/>
        <v>43374</v>
      </c>
      <c r="F86" s="173">
        <f t="shared" si="318"/>
        <v>43405</v>
      </c>
      <c r="G86" s="173">
        <f t="shared" si="318"/>
        <v>43435</v>
      </c>
      <c r="H86" s="173">
        <f t="shared" si="318"/>
        <v>43466</v>
      </c>
      <c r="I86" s="173">
        <f t="shared" si="318"/>
        <v>43497</v>
      </c>
      <c r="J86" s="173">
        <f t="shared" si="318"/>
        <v>43525</v>
      </c>
      <c r="K86" s="173">
        <f t="shared" si="318"/>
        <v>43556</v>
      </c>
      <c r="L86" s="173">
        <f t="shared" si="318"/>
        <v>43586</v>
      </c>
      <c r="M86" s="173">
        <f t="shared" si="318"/>
        <v>43617</v>
      </c>
      <c r="N86" s="173">
        <f t="shared" si="318"/>
        <v>43647</v>
      </c>
      <c r="O86" s="173">
        <f t="shared" si="318"/>
        <v>43678</v>
      </c>
      <c r="P86" s="173">
        <f t="shared" si="318"/>
        <v>43709</v>
      </c>
      <c r="Q86" s="173">
        <f t="shared" si="318"/>
        <v>43739</v>
      </c>
      <c r="R86" s="173">
        <f t="shared" si="318"/>
        <v>43770</v>
      </c>
      <c r="S86" s="173">
        <f t="shared" si="318"/>
        <v>43800</v>
      </c>
      <c r="T86" s="173">
        <f t="shared" si="318"/>
        <v>43831</v>
      </c>
      <c r="U86" s="173">
        <f t="shared" si="318"/>
        <v>43862</v>
      </c>
      <c r="V86" s="173">
        <f t="shared" si="318"/>
        <v>43891</v>
      </c>
      <c r="W86" s="173">
        <f t="shared" si="318"/>
        <v>43922</v>
      </c>
      <c r="X86" s="173">
        <f t="shared" si="318"/>
        <v>43952</v>
      </c>
      <c r="Y86" s="173">
        <f t="shared" si="318"/>
        <v>43983</v>
      </c>
      <c r="Z86" s="173">
        <f t="shared" si="318"/>
        <v>44013</v>
      </c>
      <c r="AA86" s="173">
        <f t="shared" si="318"/>
        <v>44044</v>
      </c>
      <c r="AB86" s="173">
        <f t="shared" si="318"/>
        <v>44075</v>
      </c>
      <c r="AC86" s="173">
        <f t="shared" si="318"/>
        <v>44105</v>
      </c>
      <c r="AD86" s="173">
        <f t="shared" si="318"/>
        <v>44136</v>
      </c>
      <c r="AE86" s="173">
        <f t="shared" si="318"/>
        <v>44166</v>
      </c>
      <c r="AF86" s="173">
        <f t="shared" si="318"/>
        <v>44197</v>
      </c>
      <c r="AG86" s="173">
        <f t="shared" si="318"/>
        <v>44228</v>
      </c>
      <c r="AH86" s="173">
        <f>EDATE(AG86,1)</f>
        <v>44256</v>
      </c>
      <c r="AI86" s="173">
        <f t="shared" si="318"/>
        <v>44287</v>
      </c>
      <c r="AJ86" s="173">
        <f t="shared" si="318"/>
        <v>44317</v>
      </c>
      <c r="AK86" s="173">
        <f t="shared" si="318"/>
        <v>44348</v>
      </c>
      <c r="AL86" s="173">
        <f t="shared" si="318"/>
        <v>44378</v>
      </c>
      <c r="AM86" s="173">
        <f t="shared" si="318"/>
        <v>44409</v>
      </c>
      <c r="AN86" s="173">
        <f t="shared" si="318"/>
        <v>44440</v>
      </c>
      <c r="AO86" s="173">
        <f t="shared" si="318"/>
        <v>44470</v>
      </c>
      <c r="AP86" s="173">
        <f t="shared" si="318"/>
        <v>44501</v>
      </c>
      <c r="AQ86" s="173">
        <f t="shared" ref="AQ86" si="319">EDATE(AP86,1)</f>
        <v>44531</v>
      </c>
      <c r="AR86" s="173">
        <f t="shared" ref="AR86" si="320">EDATE(AQ86,1)</f>
        <v>44562</v>
      </c>
      <c r="AS86" s="173">
        <f t="shared" ref="AS86" si="321">EDATE(AR86,1)</f>
        <v>44593</v>
      </c>
      <c r="AT86" s="173">
        <f t="shared" ref="AT86" si="322">EDATE(AS86,1)</f>
        <v>44621</v>
      </c>
      <c r="AU86" s="173">
        <f t="shared" ref="AU86" si="323">EDATE(AT86,1)</f>
        <v>44652</v>
      </c>
      <c r="AV86" s="173">
        <f t="shared" ref="AV86" si="324">EDATE(AU86,1)</f>
        <v>44682</v>
      </c>
      <c r="AW86" s="173">
        <f t="shared" ref="AW86" si="325">EDATE(AV86,1)</f>
        <v>44713</v>
      </c>
      <c r="AX86" s="173">
        <f t="shared" ref="AX86" si="326">EDATE(AW86,1)</f>
        <v>44743</v>
      </c>
      <c r="AY86" s="173">
        <f t="shared" ref="AY86" si="327">EDATE(AX86,1)</f>
        <v>44774</v>
      </c>
      <c r="AZ86" s="173">
        <f t="shared" ref="AZ86" si="328">EDATE(AY86,1)</f>
        <v>44805</v>
      </c>
      <c r="BA86" s="173">
        <f t="shared" ref="BA86" si="329">EDATE(AZ86,1)</f>
        <v>44835</v>
      </c>
      <c r="BB86" s="173">
        <f t="shared" ref="BB86" si="330">EDATE(BA86,1)</f>
        <v>44866</v>
      </c>
      <c r="BC86" s="173">
        <f t="shared" ref="BC86" si="331">EDATE(BB86,1)</f>
        <v>44896</v>
      </c>
      <c r="BD86" s="173">
        <f t="shared" ref="BD86" si="332">EDATE(BC86,1)</f>
        <v>44927</v>
      </c>
      <c r="BE86" s="173">
        <f t="shared" ref="BE86" si="333">EDATE(BD86,1)</f>
        <v>44958</v>
      </c>
      <c r="BF86" s="173">
        <f t="shared" ref="BF86" si="334">EDATE(BE86,1)</f>
        <v>44986</v>
      </c>
      <c r="BG86" s="173">
        <f t="shared" ref="BG86" si="335">EDATE(BF86,1)</f>
        <v>45017</v>
      </c>
      <c r="BH86" s="173">
        <f t="shared" ref="BH86" si="336">EDATE(BG86,1)</f>
        <v>45047</v>
      </c>
      <c r="BI86" s="173">
        <f t="shared" ref="BI86" si="337">EDATE(BH86,1)</f>
        <v>45078</v>
      </c>
      <c r="BJ86" s="173">
        <f t="shared" ref="BJ86" si="338">EDATE(BI86,1)</f>
        <v>45108</v>
      </c>
      <c r="BK86" s="173">
        <f t="shared" ref="BK86" si="339">EDATE(BJ86,1)</f>
        <v>45139</v>
      </c>
      <c r="BL86" s="173">
        <f t="shared" ref="BL86" si="340">EDATE(BK86,1)</f>
        <v>45170</v>
      </c>
      <c r="BM86" s="173">
        <f t="shared" ref="BM86" si="341">EDATE(BL86,1)</f>
        <v>45200</v>
      </c>
    </row>
    <row r="87" spans="1:65" x14ac:dyDescent="0.25">
      <c r="B87" s="174">
        <f>Cashflow!H8</f>
        <v>0</v>
      </c>
      <c r="C87" s="174">
        <f>B87+1</f>
        <v>1</v>
      </c>
      <c r="D87" s="174">
        <f>C87+1</f>
        <v>2</v>
      </c>
      <c r="E87" s="174">
        <f t="shared" ref="E87:AP87" si="342">D87+1</f>
        <v>3</v>
      </c>
      <c r="F87" s="174">
        <f t="shared" si="342"/>
        <v>4</v>
      </c>
      <c r="G87" s="174">
        <f t="shared" si="342"/>
        <v>5</v>
      </c>
      <c r="H87" s="174">
        <f t="shared" si="342"/>
        <v>6</v>
      </c>
      <c r="I87" s="174">
        <f t="shared" si="342"/>
        <v>7</v>
      </c>
      <c r="J87" s="174">
        <f t="shared" si="342"/>
        <v>8</v>
      </c>
      <c r="K87" s="174">
        <f t="shared" si="342"/>
        <v>9</v>
      </c>
      <c r="L87" s="174">
        <f t="shared" si="342"/>
        <v>10</v>
      </c>
      <c r="M87" s="174">
        <f t="shared" si="342"/>
        <v>11</v>
      </c>
      <c r="N87" s="174">
        <f t="shared" si="342"/>
        <v>12</v>
      </c>
      <c r="O87" s="174">
        <f t="shared" si="342"/>
        <v>13</v>
      </c>
      <c r="P87" s="174">
        <f t="shared" si="342"/>
        <v>14</v>
      </c>
      <c r="Q87" s="174">
        <f t="shared" si="342"/>
        <v>15</v>
      </c>
      <c r="R87" s="174">
        <f t="shared" si="342"/>
        <v>16</v>
      </c>
      <c r="S87" s="174">
        <f t="shared" si="342"/>
        <v>17</v>
      </c>
      <c r="T87" s="174">
        <f t="shared" si="342"/>
        <v>18</v>
      </c>
      <c r="U87" s="174">
        <f t="shared" si="342"/>
        <v>19</v>
      </c>
      <c r="V87" s="174">
        <f t="shared" si="342"/>
        <v>20</v>
      </c>
      <c r="W87" s="174">
        <f t="shared" si="342"/>
        <v>21</v>
      </c>
      <c r="X87" s="174">
        <f t="shared" si="342"/>
        <v>22</v>
      </c>
      <c r="Y87" s="174">
        <f t="shared" si="342"/>
        <v>23</v>
      </c>
      <c r="Z87" s="174">
        <f t="shared" si="342"/>
        <v>24</v>
      </c>
      <c r="AA87" s="174">
        <f t="shared" si="342"/>
        <v>25</v>
      </c>
      <c r="AB87" s="174">
        <f t="shared" si="342"/>
        <v>26</v>
      </c>
      <c r="AC87" s="174">
        <f t="shared" si="342"/>
        <v>27</v>
      </c>
      <c r="AD87" s="174">
        <f t="shared" si="342"/>
        <v>28</v>
      </c>
      <c r="AE87" s="174">
        <f t="shared" si="342"/>
        <v>29</v>
      </c>
      <c r="AF87" s="174">
        <f t="shared" si="342"/>
        <v>30</v>
      </c>
      <c r="AG87" s="174">
        <f t="shared" si="342"/>
        <v>31</v>
      </c>
      <c r="AH87" s="174">
        <f t="shared" si="342"/>
        <v>32</v>
      </c>
      <c r="AI87" s="174">
        <f t="shared" si="342"/>
        <v>33</v>
      </c>
      <c r="AJ87" s="174">
        <f t="shared" si="342"/>
        <v>34</v>
      </c>
      <c r="AK87" s="174">
        <f t="shared" si="342"/>
        <v>35</v>
      </c>
      <c r="AL87" s="174">
        <f t="shared" si="342"/>
        <v>36</v>
      </c>
      <c r="AM87" s="174">
        <f t="shared" si="342"/>
        <v>37</v>
      </c>
      <c r="AN87" s="174">
        <f t="shared" si="342"/>
        <v>38</v>
      </c>
      <c r="AO87" s="174">
        <f t="shared" si="342"/>
        <v>39</v>
      </c>
      <c r="AP87" s="174">
        <f t="shared" si="342"/>
        <v>40</v>
      </c>
      <c r="AQ87" s="174">
        <f t="shared" ref="AQ87" si="343">AP87+1</f>
        <v>41</v>
      </c>
      <c r="AR87" s="174">
        <f t="shared" ref="AR87" si="344">AQ87+1</f>
        <v>42</v>
      </c>
      <c r="AS87" s="174">
        <f t="shared" ref="AS87" si="345">AR87+1</f>
        <v>43</v>
      </c>
      <c r="AT87" s="174">
        <f t="shared" ref="AT87" si="346">AS87+1</f>
        <v>44</v>
      </c>
      <c r="AU87" s="174">
        <f t="shared" ref="AU87" si="347">AT87+1</f>
        <v>45</v>
      </c>
      <c r="AV87" s="174">
        <f t="shared" ref="AV87" si="348">AU87+1</f>
        <v>46</v>
      </c>
      <c r="AW87" s="174">
        <f t="shared" ref="AW87" si="349">AV87+1</f>
        <v>47</v>
      </c>
      <c r="AX87" s="174">
        <f t="shared" ref="AX87" si="350">AW87+1</f>
        <v>48</v>
      </c>
      <c r="AY87" s="174">
        <f t="shared" ref="AY87" si="351">AX87+1</f>
        <v>49</v>
      </c>
      <c r="AZ87" s="174">
        <f t="shared" ref="AZ87" si="352">AY87+1</f>
        <v>50</v>
      </c>
      <c r="BA87" s="174">
        <f t="shared" ref="BA87" si="353">AZ87+1</f>
        <v>51</v>
      </c>
      <c r="BB87" s="174">
        <f t="shared" ref="BB87" si="354">BA87+1</f>
        <v>52</v>
      </c>
      <c r="BC87" s="174">
        <f t="shared" ref="BC87" si="355">BB87+1</f>
        <v>53</v>
      </c>
      <c r="BD87" s="174">
        <f t="shared" ref="BD87" si="356">BC87+1</f>
        <v>54</v>
      </c>
      <c r="BE87" s="174">
        <f t="shared" ref="BE87" si="357">BD87+1</f>
        <v>55</v>
      </c>
      <c r="BF87" s="174">
        <f t="shared" ref="BF87" si="358">BE87+1</f>
        <v>56</v>
      </c>
      <c r="BG87" s="174">
        <f t="shared" ref="BG87" si="359">BF87+1</f>
        <v>57</v>
      </c>
      <c r="BH87" s="174">
        <f t="shared" ref="BH87" si="360">BG87+1</f>
        <v>58</v>
      </c>
      <c r="BI87" s="174">
        <f t="shared" ref="BI87" si="361">BH87+1</f>
        <v>59</v>
      </c>
      <c r="BJ87" s="174">
        <f t="shared" ref="BJ87" si="362">BI87+1</f>
        <v>60</v>
      </c>
      <c r="BK87" s="174">
        <f t="shared" ref="BK87" si="363">BJ87+1</f>
        <v>61</v>
      </c>
      <c r="BL87" s="174">
        <f t="shared" ref="BL87" si="364">BK87+1</f>
        <v>62</v>
      </c>
      <c r="BM87" s="174">
        <f t="shared" ref="BM87" si="365">BL87+1</f>
        <v>63</v>
      </c>
    </row>
    <row r="88" spans="1:65" x14ac:dyDescent="0.25">
      <c r="A88" s="12" t="s">
        <v>151</v>
      </c>
      <c r="B88" s="13">
        <f>B81+B55+B48+B41</f>
        <v>0</v>
      </c>
      <c r="C88" s="13">
        <f>C81+C55+C48+C41</f>
        <v>5732.4197297201054</v>
      </c>
      <c r="D88" s="13">
        <f>D81+D55+D48+D41</f>
        <v>5732.4197297201054</v>
      </c>
      <c r="E88" s="13">
        <f>E81+E55+E48+E41</f>
        <v>5732.4197297201054</v>
      </c>
      <c r="F88" s="13">
        <f t="shared" ref="F88:AK88" si="366">F81+F55+F48+F41</f>
        <v>5732.4197297201054</v>
      </c>
      <c r="G88" s="13">
        <f t="shared" si="366"/>
        <v>5732.4197297201054</v>
      </c>
      <c r="H88" s="13">
        <f t="shared" si="366"/>
        <v>5732.4197297201054</v>
      </c>
      <c r="I88" s="13">
        <f t="shared" si="366"/>
        <v>5732.4197297201054</v>
      </c>
      <c r="J88" s="13">
        <f t="shared" si="366"/>
        <v>5732.4197297201054</v>
      </c>
      <c r="K88" s="13">
        <f t="shared" si="366"/>
        <v>5732.4197297201054</v>
      </c>
      <c r="L88" s="13">
        <f t="shared" si="366"/>
        <v>5732.4197297201054</v>
      </c>
      <c r="M88" s="13">
        <f t="shared" si="366"/>
        <v>5732.4197297201054</v>
      </c>
      <c r="N88" s="13">
        <f t="shared" si="366"/>
        <v>5732.4197297201054</v>
      </c>
      <c r="O88" s="13">
        <f t="shared" si="366"/>
        <v>5732.4197297201054</v>
      </c>
      <c r="P88" s="13">
        <f t="shared" si="366"/>
        <v>5732.4197297201054</v>
      </c>
      <c r="Q88" s="13">
        <f t="shared" si="366"/>
        <v>5732.4197297201054</v>
      </c>
      <c r="R88" s="13">
        <f t="shared" si="366"/>
        <v>5732.4197297201054</v>
      </c>
      <c r="S88" s="13">
        <f t="shared" si="366"/>
        <v>5732.4197297201054</v>
      </c>
      <c r="T88" s="13">
        <f t="shared" si="366"/>
        <v>5732.4197297201054</v>
      </c>
      <c r="U88" s="13">
        <f t="shared" si="366"/>
        <v>5732.4197297201054</v>
      </c>
      <c r="V88" s="13">
        <f t="shared" si="366"/>
        <v>5732.4197297201054</v>
      </c>
      <c r="W88" s="13">
        <f t="shared" si="366"/>
        <v>5732.4197297201054</v>
      </c>
      <c r="X88" s="13">
        <f t="shared" si="366"/>
        <v>5732.4197297201054</v>
      </c>
      <c r="Y88" s="13">
        <f t="shared" si="366"/>
        <v>5732.4197297201054</v>
      </c>
      <c r="Z88" s="13">
        <f t="shared" si="366"/>
        <v>5732.4197297201054</v>
      </c>
      <c r="AA88" s="13">
        <f t="shared" si="366"/>
        <v>5732.4197297201054</v>
      </c>
      <c r="AB88" s="13">
        <f t="shared" si="366"/>
        <v>5732.4197297201054</v>
      </c>
      <c r="AC88" s="13">
        <f t="shared" si="366"/>
        <v>5732.4197297201054</v>
      </c>
      <c r="AD88" s="13">
        <f t="shared" si="366"/>
        <v>5732.4197297201054</v>
      </c>
      <c r="AE88" s="13">
        <f t="shared" si="366"/>
        <v>5732.4197297201054</v>
      </c>
      <c r="AF88" s="13">
        <f t="shared" si="366"/>
        <v>5732.4197297201054</v>
      </c>
      <c r="AG88" s="13">
        <f t="shared" si="366"/>
        <v>5732.4197297201054</v>
      </c>
      <c r="AH88" s="13">
        <f t="shared" si="366"/>
        <v>5732.4197297201054</v>
      </c>
      <c r="AI88" s="13">
        <f t="shared" si="366"/>
        <v>5732.4197297201054</v>
      </c>
      <c r="AJ88" s="13">
        <f t="shared" si="366"/>
        <v>5732.4197297201054</v>
      </c>
      <c r="AK88" s="13">
        <f t="shared" si="366"/>
        <v>5732.4197297201054</v>
      </c>
      <c r="AL88" s="13">
        <f t="shared" ref="AL88:BJ88" si="367">AL81+AL55+AL48+AL41</f>
        <v>5732.4197297201054</v>
      </c>
      <c r="AM88" s="13">
        <f t="shared" si="367"/>
        <v>5732.4197297201054</v>
      </c>
      <c r="AN88" s="13">
        <f t="shared" si="367"/>
        <v>5732.4197297201054</v>
      </c>
      <c r="AO88" s="13">
        <f t="shared" si="367"/>
        <v>5732.4197297201054</v>
      </c>
      <c r="AP88" s="13">
        <f t="shared" si="367"/>
        <v>5732.4197297201054</v>
      </c>
      <c r="AQ88" s="13">
        <f t="shared" si="367"/>
        <v>5732.4197297201054</v>
      </c>
      <c r="AR88" s="13">
        <f t="shared" si="367"/>
        <v>5732.4197297201054</v>
      </c>
      <c r="AS88" s="13">
        <f t="shared" si="367"/>
        <v>5732.4197297201054</v>
      </c>
      <c r="AT88" s="13">
        <f t="shared" si="367"/>
        <v>5732.4197297201054</v>
      </c>
      <c r="AU88" s="13">
        <f t="shared" si="367"/>
        <v>5732.4197297201054</v>
      </c>
      <c r="AV88" s="13">
        <f t="shared" si="367"/>
        <v>5732.4197297201054</v>
      </c>
      <c r="AW88" s="13">
        <f t="shared" si="367"/>
        <v>5732.4197297201054</v>
      </c>
      <c r="AX88" s="13">
        <f t="shared" si="367"/>
        <v>5732.4197297201054</v>
      </c>
      <c r="AY88" s="13">
        <f t="shared" si="367"/>
        <v>5732.4197297201054</v>
      </c>
      <c r="AZ88" s="13">
        <f t="shared" si="367"/>
        <v>5732.4197297201054</v>
      </c>
      <c r="BA88" s="13">
        <f t="shared" si="367"/>
        <v>5732.4197297201054</v>
      </c>
      <c r="BB88" s="13">
        <f t="shared" si="367"/>
        <v>5732.4197297201054</v>
      </c>
      <c r="BC88" s="13">
        <f t="shared" si="367"/>
        <v>5732.4197297201054</v>
      </c>
      <c r="BD88" s="13">
        <f t="shared" si="367"/>
        <v>5732.4197297201054</v>
      </c>
      <c r="BE88" s="13">
        <f t="shared" si="367"/>
        <v>5732.4197297201054</v>
      </c>
      <c r="BF88" s="13">
        <f t="shared" si="367"/>
        <v>5732.4197297201054</v>
      </c>
      <c r="BG88" s="13">
        <f t="shared" si="367"/>
        <v>5732.4197297201054</v>
      </c>
      <c r="BH88" s="13">
        <f t="shared" si="367"/>
        <v>5732.4197297201054</v>
      </c>
      <c r="BI88" s="13">
        <f t="shared" si="367"/>
        <v>5732.4197297201054</v>
      </c>
      <c r="BJ88" s="13">
        <f t="shared" si="367"/>
        <v>5732.4197297201054</v>
      </c>
      <c r="BK88" s="13">
        <f t="shared" ref="BK88:BM88" si="368">BK81+BK55+BK48+BK41</f>
        <v>0</v>
      </c>
      <c r="BL88" s="13">
        <f t="shared" si="368"/>
        <v>0</v>
      </c>
      <c r="BM88" s="13">
        <f t="shared" si="368"/>
        <v>0</v>
      </c>
    </row>
  </sheetData>
  <mergeCells count="19">
    <mergeCell ref="A83:B83"/>
    <mergeCell ref="C71:C72"/>
    <mergeCell ref="D71:D72"/>
    <mergeCell ref="A76:B76"/>
    <mergeCell ref="A71:B74"/>
    <mergeCell ref="A15:B15"/>
    <mergeCell ref="A36:B36"/>
    <mergeCell ref="A64:B64"/>
    <mergeCell ref="D30:D31"/>
    <mergeCell ref="C30:C31"/>
    <mergeCell ref="A30:B34"/>
    <mergeCell ref="A50:B50"/>
    <mergeCell ref="A57:B57"/>
    <mergeCell ref="A43:B43"/>
    <mergeCell ref="A1:F2"/>
    <mergeCell ref="A3:B6"/>
    <mergeCell ref="C3:C4"/>
    <mergeCell ref="D3:D4"/>
    <mergeCell ref="A8:B8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35"/>
  <sheetViews>
    <sheetView showGridLines="0" workbookViewId="0">
      <selection activeCell="D6" sqref="D6"/>
    </sheetView>
  </sheetViews>
  <sheetFormatPr defaultColWidth="11" defaultRowHeight="15.75" x14ac:dyDescent="0.25"/>
  <cols>
    <col min="2" max="2" width="32.875" customWidth="1"/>
    <col min="3" max="3" width="4.125" bestFit="1" customWidth="1"/>
    <col min="4" max="4" width="12.625" bestFit="1" customWidth="1"/>
    <col min="5" max="5" width="12.875" bestFit="1" customWidth="1"/>
    <col min="7" max="7" width="12.625" bestFit="1" customWidth="1"/>
    <col min="8" max="8" width="54.375" bestFit="1" customWidth="1"/>
  </cols>
  <sheetData>
    <row r="1" spans="1:8" ht="15" customHeight="1" x14ac:dyDescent="0.25">
      <c r="B1" s="270" t="s">
        <v>187</v>
      </c>
      <c r="C1" s="270"/>
      <c r="D1" s="270"/>
      <c r="E1" s="270"/>
      <c r="F1" s="270"/>
    </row>
    <row r="2" spans="1:8" ht="15" customHeight="1" x14ac:dyDescent="0.25">
      <c r="B2" s="270"/>
      <c r="C2" s="270"/>
      <c r="D2" s="270"/>
      <c r="E2" s="270"/>
      <c r="F2" s="270"/>
    </row>
    <row r="3" spans="1:8" ht="15" customHeight="1" x14ac:dyDescent="0.25">
      <c r="A3" s="276" t="s">
        <v>188</v>
      </c>
      <c r="B3" s="56" t="s">
        <v>189</v>
      </c>
      <c r="C3" s="56"/>
      <c r="D3" s="56"/>
      <c r="E3" s="56"/>
      <c r="F3" s="55"/>
      <c r="H3" s="230" t="s">
        <v>190</v>
      </c>
    </row>
    <row r="4" spans="1:8" x14ac:dyDescent="0.25">
      <c r="A4" s="276"/>
      <c r="B4" s="21" t="s">
        <v>191</v>
      </c>
      <c r="C4" s="22" t="s">
        <v>192</v>
      </c>
      <c r="D4" t="s">
        <v>193</v>
      </c>
      <c r="E4" t="s">
        <v>186</v>
      </c>
      <c r="H4" s="58" t="s">
        <v>194</v>
      </c>
    </row>
    <row r="5" spans="1:8" x14ac:dyDescent="0.25">
      <c r="A5" s="276"/>
      <c r="B5" t="s">
        <v>195</v>
      </c>
      <c r="C5" s="45">
        <v>1</v>
      </c>
      <c r="D5" s="4">
        <v>9600</v>
      </c>
      <c r="E5" s="4">
        <f t="shared" ref="E5:E10" si="0">C5*D5</f>
        <v>9600</v>
      </c>
      <c r="H5" s="59" t="s">
        <v>196</v>
      </c>
    </row>
    <row r="6" spans="1:8" x14ac:dyDescent="0.25">
      <c r="A6" s="276"/>
      <c r="B6" t="s">
        <v>197</v>
      </c>
      <c r="C6" s="45">
        <v>1</v>
      </c>
      <c r="D6" s="4">
        <v>10000</v>
      </c>
      <c r="E6" s="4">
        <f t="shared" si="0"/>
        <v>10000</v>
      </c>
      <c r="H6" s="61" t="s">
        <v>198</v>
      </c>
    </row>
    <row r="7" spans="1:8" x14ac:dyDescent="0.25">
      <c r="A7" s="276"/>
      <c r="B7" t="s">
        <v>199</v>
      </c>
      <c r="C7" s="45">
        <v>1</v>
      </c>
      <c r="D7" s="4">
        <v>10250</v>
      </c>
      <c r="E7" s="4">
        <f t="shared" si="0"/>
        <v>10250</v>
      </c>
      <c r="H7" s="66" t="s">
        <v>200</v>
      </c>
    </row>
    <row r="8" spans="1:8" x14ac:dyDescent="0.25">
      <c r="A8" s="276"/>
      <c r="B8" t="s">
        <v>201</v>
      </c>
      <c r="C8" s="45"/>
      <c r="D8" s="4"/>
      <c r="E8" s="4">
        <f t="shared" si="0"/>
        <v>0</v>
      </c>
    </row>
    <row r="9" spans="1:8" x14ac:dyDescent="0.25">
      <c r="A9" s="276"/>
      <c r="C9" s="45"/>
      <c r="D9" s="52"/>
      <c r="E9" s="4">
        <f t="shared" si="0"/>
        <v>0</v>
      </c>
    </row>
    <row r="10" spans="1:8" x14ac:dyDescent="0.25">
      <c r="A10" s="276"/>
      <c r="C10" s="45"/>
      <c r="D10" s="4"/>
      <c r="E10" s="4">
        <f t="shared" si="0"/>
        <v>0</v>
      </c>
    </row>
    <row r="11" spans="1:8" x14ac:dyDescent="0.25">
      <c r="B11" s="67" t="s">
        <v>202</v>
      </c>
      <c r="C11" s="68">
        <f>SUM(C5:C10)</f>
        <v>3</v>
      </c>
      <c r="D11" s="69">
        <f>SUM(D5:D10)</f>
        <v>29850</v>
      </c>
      <c r="E11" s="69">
        <f>SUM(E5:E10)</f>
        <v>29850</v>
      </c>
    </row>
    <row r="12" spans="1:8" x14ac:dyDescent="0.25">
      <c r="B12" s="62"/>
      <c r="C12" s="62"/>
      <c r="D12" s="62"/>
      <c r="E12" s="62"/>
      <c r="F12" s="62"/>
    </row>
    <row r="13" spans="1:8" x14ac:dyDescent="0.25">
      <c r="B13" s="57" t="s">
        <v>203</v>
      </c>
      <c r="C13" s="57"/>
      <c r="D13" s="57"/>
      <c r="E13" s="57"/>
      <c r="F13" s="57"/>
    </row>
    <row r="14" spans="1:8" x14ac:dyDescent="0.25">
      <c r="A14" s="279" t="s">
        <v>204</v>
      </c>
      <c r="B14" s="21" t="s">
        <v>191</v>
      </c>
      <c r="C14" s="22" t="s">
        <v>192</v>
      </c>
      <c r="D14" s="59" t="s">
        <v>205</v>
      </c>
      <c r="E14" t="s">
        <v>193</v>
      </c>
      <c r="F14" t="s">
        <v>186</v>
      </c>
    </row>
    <row r="15" spans="1:8" x14ac:dyDescent="0.25">
      <c r="A15" s="279"/>
      <c r="B15" t="s">
        <v>195</v>
      </c>
      <c r="C15" s="45">
        <f t="shared" ref="C15:C20" si="1">C5</f>
        <v>1</v>
      </c>
      <c r="D15" s="60">
        <v>3.5000000000000003E-2</v>
      </c>
      <c r="E15" s="4">
        <f t="shared" ref="E15:E20" si="2">D5*(1+D15)</f>
        <v>9936</v>
      </c>
      <c r="F15" s="4">
        <f t="shared" ref="F15:F20" si="3">C15*E15</f>
        <v>9936</v>
      </c>
    </row>
    <row r="16" spans="1:8" x14ac:dyDescent="0.25">
      <c r="A16" s="279"/>
      <c r="B16" t="s">
        <v>206</v>
      </c>
      <c r="C16" s="45">
        <f t="shared" si="1"/>
        <v>1</v>
      </c>
      <c r="D16" s="60">
        <v>2.2499999999999999E-2</v>
      </c>
      <c r="E16" s="4">
        <f t="shared" si="2"/>
        <v>10225</v>
      </c>
      <c r="F16" s="4">
        <f t="shared" si="3"/>
        <v>10225</v>
      </c>
    </row>
    <row r="17" spans="1:7" x14ac:dyDescent="0.25">
      <c r="A17" s="279"/>
      <c r="C17" s="45">
        <f t="shared" si="1"/>
        <v>1</v>
      </c>
      <c r="D17" s="60">
        <v>4.87E-2</v>
      </c>
      <c r="E17" s="4">
        <f t="shared" si="2"/>
        <v>10749.174999999999</v>
      </c>
      <c r="F17" s="4">
        <f t="shared" si="3"/>
        <v>10749.174999999999</v>
      </c>
    </row>
    <row r="18" spans="1:7" x14ac:dyDescent="0.25">
      <c r="A18" s="279"/>
      <c r="C18" s="45">
        <f t="shared" si="1"/>
        <v>0</v>
      </c>
      <c r="D18" s="60">
        <v>5.2299999999999999E-2</v>
      </c>
      <c r="E18" s="4">
        <f t="shared" si="2"/>
        <v>0</v>
      </c>
      <c r="F18" s="4">
        <f t="shared" si="3"/>
        <v>0</v>
      </c>
    </row>
    <row r="19" spans="1:7" x14ac:dyDescent="0.25">
      <c r="A19" s="279"/>
      <c r="C19" s="45">
        <f t="shared" si="1"/>
        <v>0</v>
      </c>
      <c r="D19" s="60">
        <v>2.2200000000000001E-2</v>
      </c>
      <c r="E19" s="4">
        <f t="shared" si="2"/>
        <v>0</v>
      </c>
      <c r="F19" s="4">
        <f t="shared" si="3"/>
        <v>0</v>
      </c>
    </row>
    <row r="20" spans="1:7" x14ac:dyDescent="0.25">
      <c r="A20" s="279"/>
      <c r="C20" s="45">
        <f t="shared" si="1"/>
        <v>0</v>
      </c>
      <c r="D20" s="60">
        <v>3.2000000000000001E-2</v>
      </c>
      <c r="E20" s="4">
        <f t="shared" si="2"/>
        <v>0</v>
      </c>
      <c r="F20" s="4">
        <f t="shared" si="3"/>
        <v>0</v>
      </c>
    </row>
    <row r="21" spans="1:7" x14ac:dyDescent="0.25">
      <c r="B21" s="67" t="s">
        <v>202</v>
      </c>
      <c r="C21" s="68">
        <f>SUM(C15:C20)</f>
        <v>3</v>
      </c>
      <c r="D21" s="67"/>
      <c r="E21" s="69">
        <f>SUM(E15:E20)</f>
        <v>30910.174999999999</v>
      </c>
      <c r="F21" s="69">
        <f>SUM(F15:F20)</f>
        <v>30910.174999999999</v>
      </c>
      <c r="G21" s="26"/>
    </row>
    <row r="22" spans="1:7" ht="16.5" thickBot="1" x14ac:dyDescent="0.3">
      <c r="B22" s="65"/>
      <c r="C22" s="65"/>
      <c r="D22" s="65"/>
      <c r="E22" s="65"/>
      <c r="F22" s="65"/>
    </row>
    <row r="23" spans="1:7" ht="48.95" customHeight="1" thickBot="1" x14ac:dyDescent="0.3">
      <c r="B23" s="277" t="s">
        <v>207</v>
      </c>
      <c r="C23" s="278"/>
      <c r="D23" s="274">
        <f>(F21/E11)-1</f>
        <v>3.5516750418760346E-2</v>
      </c>
      <c r="E23" s="275"/>
    </row>
    <row r="24" spans="1:7" ht="18.75" x14ac:dyDescent="0.3">
      <c r="B24" s="63"/>
      <c r="C24" s="63"/>
      <c r="D24" s="64"/>
      <c r="E24" s="64"/>
      <c r="F24" s="65"/>
    </row>
    <row r="25" spans="1:7" x14ac:dyDescent="0.25">
      <c r="A25" s="271" t="s">
        <v>208</v>
      </c>
      <c r="B25" s="56" t="s">
        <v>209</v>
      </c>
      <c r="C25" s="56"/>
      <c r="D25" s="56"/>
      <c r="E25" s="56"/>
      <c r="F25" s="55"/>
    </row>
    <row r="26" spans="1:7" x14ac:dyDescent="0.25">
      <c r="A26" s="271"/>
      <c r="B26" s="21" t="s">
        <v>191</v>
      </c>
      <c r="C26" s="22" t="s">
        <v>192</v>
      </c>
      <c r="D26" t="s">
        <v>193</v>
      </c>
      <c r="E26" t="s">
        <v>186</v>
      </c>
    </row>
    <row r="27" spans="1:7" x14ac:dyDescent="0.25">
      <c r="A27" s="271"/>
      <c r="B27" t="s">
        <v>210</v>
      </c>
      <c r="C27" s="45">
        <f t="shared" ref="C27:C32" si="4">C5</f>
        <v>1</v>
      </c>
      <c r="D27" s="4">
        <v>9200</v>
      </c>
      <c r="E27" s="4">
        <f t="shared" ref="E27:E32" si="5">C27*D27</f>
        <v>9200</v>
      </c>
    </row>
    <row r="28" spans="1:7" x14ac:dyDescent="0.25">
      <c r="A28" s="271"/>
      <c r="B28" t="s">
        <v>206</v>
      </c>
      <c r="C28" s="45">
        <f t="shared" si="4"/>
        <v>1</v>
      </c>
      <c r="D28" s="4">
        <v>12500</v>
      </c>
      <c r="E28" s="4">
        <f t="shared" si="5"/>
        <v>12500</v>
      </c>
    </row>
    <row r="29" spans="1:7" x14ac:dyDescent="0.25">
      <c r="A29" s="271"/>
      <c r="C29" s="45">
        <f t="shared" si="4"/>
        <v>1</v>
      </c>
      <c r="D29" s="4"/>
      <c r="E29" s="4">
        <f t="shared" si="5"/>
        <v>0</v>
      </c>
    </row>
    <row r="30" spans="1:7" x14ac:dyDescent="0.25">
      <c r="A30" s="271"/>
      <c r="C30" s="45">
        <f t="shared" si="4"/>
        <v>0</v>
      </c>
      <c r="D30" s="4"/>
      <c r="E30" s="4">
        <f t="shared" si="5"/>
        <v>0</v>
      </c>
    </row>
    <row r="31" spans="1:7" x14ac:dyDescent="0.25">
      <c r="A31" s="271"/>
      <c r="C31" s="45">
        <f t="shared" si="4"/>
        <v>0</v>
      </c>
      <c r="D31" s="52"/>
      <c r="E31" s="4">
        <f t="shared" si="5"/>
        <v>0</v>
      </c>
    </row>
    <row r="32" spans="1:7" x14ac:dyDescent="0.25">
      <c r="A32" s="271"/>
      <c r="C32" s="45">
        <f t="shared" si="4"/>
        <v>0</v>
      </c>
      <c r="D32" s="4"/>
      <c r="E32" s="4">
        <f t="shared" si="5"/>
        <v>0</v>
      </c>
    </row>
    <row r="33" spans="2:6" x14ac:dyDescent="0.25">
      <c r="B33" s="67" t="s">
        <v>202</v>
      </c>
      <c r="C33" s="68">
        <f>SUM(C27:C32)</f>
        <v>3</v>
      </c>
      <c r="D33" s="69">
        <f>SUM(D27:D32)</f>
        <v>21700</v>
      </c>
      <c r="E33" s="69">
        <f>SUM(E27:E32)</f>
        <v>21700</v>
      </c>
    </row>
    <row r="34" spans="2:6" ht="16.5" thickBot="1" x14ac:dyDescent="0.3">
      <c r="B34" s="65"/>
      <c r="C34" s="65"/>
      <c r="D34" s="65"/>
      <c r="E34" s="65"/>
      <c r="F34" s="65"/>
    </row>
    <row r="35" spans="2:6" ht="48.95" customHeight="1" thickBot="1" x14ac:dyDescent="0.35">
      <c r="B35" s="272" t="s">
        <v>211</v>
      </c>
      <c r="C35" s="273"/>
      <c r="D35" s="274">
        <f>(E33/E11)-1</f>
        <v>-0.27303182579564489</v>
      </c>
      <c r="E35" s="275"/>
    </row>
  </sheetData>
  <mergeCells count="8">
    <mergeCell ref="B1:F2"/>
    <mergeCell ref="A25:A32"/>
    <mergeCell ref="B35:C35"/>
    <mergeCell ref="D35:E35"/>
    <mergeCell ref="A3:A10"/>
    <mergeCell ref="B23:C23"/>
    <mergeCell ref="D23:E23"/>
    <mergeCell ref="A14:A2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C10"/>
  <sheetViews>
    <sheetView showGridLines="0" showRowColHeaders="0" workbookViewId="0">
      <selection activeCell="B8" sqref="B8"/>
    </sheetView>
  </sheetViews>
  <sheetFormatPr defaultColWidth="11" defaultRowHeight="15.75" x14ac:dyDescent="0.25"/>
  <cols>
    <col min="1" max="1" width="35.125" bestFit="1" customWidth="1"/>
    <col min="2" max="2" width="8.375" customWidth="1"/>
  </cols>
  <sheetData>
    <row r="1" spans="1:3" x14ac:dyDescent="0.25">
      <c r="A1" s="248" t="s">
        <v>212</v>
      </c>
      <c r="B1" s="248"/>
      <c r="C1" s="248"/>
    </row>
    <row r="2" spans="1:3" x14ac:dyDescent="0.25">
      <c r="B2" s="232" t="s">
        <v>66</v>
      </c>
      <c r="C2" s="232" t="s">
        <v>213</v>
      </c>
    </row>
    <row r="3" spans="1:3" x14ac:dyDescent="0.25">
      <c r="A3" s="37" t="s">
        <v>67</v>
      </c>
      <c r="B3" s="39">
        <v>6.4999999999999997E-3</v>
      </c>
      <c r="C3" s="39">
        <v>1.6500000000000001E-2</v>
      </c>
    </row>
    <row r="4" spans="1:3" x14ac:dyDescent="0.25">
      <c r="A4" s="232" t="s">
        <v>68</v>
      </c>
      <c r="B4" s="40">
        <v>0.03</v>
      </c>
      <c r="C4" s="40">
        <v>7.5999999999999998E-2</v>
      </c>
    </row>
    <row r="5" spans="1:3" x14ac:dyDescent="0.25">
      <c r="A5" s="37" t="s">
        <v>69</v>
      </c>
      <c r="B5" s="155">
        <f>SUM(B3:B4)</f>
        <v>3.6499999999999998E-2</v>
      </c>
      <c r="C5" s="41">
        <f>SUM(C3:C4)</f>
        <v>9.2499999999999999E-2</v>
      </c>
    </row>
    <row r="7" spans="1:3" x14ac:dyDescent="0.25">
      <c r="A7" s="248" t="s">
        <v>214</v>
      </c>
      <c r="B7" s="248"/>
    </row>
    <row r="8" spans="1:3" x14ac:dyDescent="0.25">
      <c r="A8" t="s">
        <v>215</v>
      </c>
      <c r="B8" s="42">
        <v>0.15</v>
      </c>
    </row>
    <row r="9" spans="1:3" x14ac:dyDescent="0.25">
      <c r="A9" s="38" t="s">
        <v>216</v>
      </c>
      <c r="B9" s="43">
        <v>0.09</v>
      </c>
    </row>
    <row r="10" spans="1:3" x14ac:dyDescent="0.25">
      <c r="A10" t="s">
        <v>217</v>
      </c>
      <c r="B10" s="44">
        <v>1.2E-2</v>
      </c>
    </row>
  </sheetData>
  <mergeCells count="2">
    <mergeCell ref="A1:C1"/>
    <mergeCell ref="A7:B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1:I14"/>
  <sheetViews>
    <sheetView showGridLines="0" workbookViewId="0">
      <selection activeCell="G20" sqref="G20"/>
    </sheetView>
  </sheetViews>
  <sheetFormatPr defaultColWidth="11" defaultRowHeight="15.75" x14ac:dyDescent="0.25"/>
  <cols>
    <col min="1" max="1" width="14.875" bestFit="1" customWidth="1"/>
    <col min="2" max="2" width="13.5" bestFit="1" customWidth="1"/>
    <col min="3" max="3" width="12.5" bestFit="1" customWidth="1"/>
    <col min="4" max="5" width="14.375" bestFit="1" customWidth="1"/>
    <col min="6" max="7" width="12" bestFit="1" customWidth="1"/>
    <col min="9" max="9" width="22.5" bestFit="1" customWidth="1"/>
  </cols>
  <sheetData>
    <row r="1" spans="1:9" ht="15" customHeight="1" x14ac:dyDescent="0.25">
      <c r="A1" s="280" t="s">
        <v>218</v>
      </c>
      <c r="B1" s="280"/>
      <c r="C1" s="280"/>
      <c r="D1" s="280"/>
      <c r="E1" s="280"/>
    </row>
    <row r="2" spans="1:9" ht="15" customHeight="1" x14ac:dyDescent="0.25">
      <c r="A2" s="280"/>
      <c r="B2" s="280"/>
      <c r="C2" s="280"/>
      <c r="D2" s="280"/>
      <c r="E2" s="280"/>
    </row>
    <row r="3" spans="1:9" x14ac:dyDescent="0.25">
      <c r="A3" s="62" t="s">
        <v>219</v>
      </c>
      <c r="B3" s="54" t="s">
        <v>220</v>
      </c>
      <c r="C3" s="54" t="s">
        <v>36</v>
      </c>
      <c r="D3" s="54" t="s">
        <v>221</v>
      </c>
      <c r="E3" s="54" t="s">
        <v>222</v>
      </c>
    </row>
    <row r="4" spans="1:9" ht="16.5" thickBot="1" x14ac:dyDescent="0.3">
      <c r="A4" t="s">
        <v>223</v>
      </c>
      <c r="B4" s="53"/>
      <c r="C4">
        <v>1</v>
      </c>
      <c r="D4">
        <v>1</v>
      </c>
      <c r="E4" s="84">
        <f>B4*D4</f>
        <v>0</v>
      </c>
    </row>
    <row r="5" spans="1:9" x14ac:dyDescent="0.25">
      <c r="B5" s="53"/>
      <c r="C5">
        <v>2</v>
      </c>
      <c r="D5">
        <v>1</v>
      </c>
      <c r="E5" s="84">
        <f>E4*(1+$I$6)</f>
        <v>0</v>
      </c>
      <c r="I5" s="183" t="s">
        <v>224</v>
      </c>
    </row>
    <row r="6" spans="1:9" ht="16.5" thickBot="1" x14ac:dyDescent="0.3">
      <c r="B6" s="53"/>
      <c r="C6">
        <v>3</v>
      </c>
      <c r="D6">
        <v>1</v>
      </c>
      <c r="E6" s="84">
        <f>E5*(1+$I$6)</f>
        <v>0</v>
      </c>
      <c r="I6" s="184">
        <v>9.5000000000000001E-2</v>
      </c>
    </row>
    <row r="7" spans="1:9" x14ac:dyDescent="0.25">
      <c r="B7" s="53"/>
      <c r="D7" s="53"/>
      <c r="E7" s="182"/>
    </row>
    <row r="9" spans="1:9" ht="15" customHeight="1" x14ac:dyDescent="0.25">
      <c r="A9" s="280" t="s">
        <v>225</v>
      </c>
      <c r="B9" s="280"/>
      <c r="C9" s="280"/>
      <c r="D9" s="280"/>
      <c r="E9" s="280"/>
      <c r="F9" s="280"/>
      <c r="G9" s="280"/>
    </row>
    <row r="10" spans="1:9" ht="15" customHeight="1" x14ac:dyDescent="0.25">
      <c r="A10" s="280"/>
      <c r="B10" s="280"/>
      <c r="C10" s="280"/>
      <c r="D10" s="280"/>
      <c r="E10" s="280"/>
      <c r="F10" s="280"/>
      <c r="G10" s="280"/>
    </row>
    <row r="11" spans="1:9" x14ac:dyDescent="0.25">
      <c r="A11" s="62" t="s">
        <v>226</v>
      </c>
      <c r="B11" s="62" t="s">
        <v>227</v>
      </c>
      <c r="C11" s="62" t="s">
        <v>36</v>
      </c>
      <c r="D11" s="62" t="s">
        <v>228</v>
      </c>
      <c r="E11" s="62" t="s">
        <v>229</v>
      </c>
      <c r="F11" s="62" t="s">
        <v>230</v>
      </c>
      <c r="G11" s="62" t="s">
        <v>231</v>
      </c>
    </row>
    <row r="12" spans="1:9" x14ac:dyDescent="0.25">
      <c r="A12" s="166" t="s">
        <v>232</v>
      </c>
      <c r="B12" t="str">
        <f>Dados!A29</f>
        <v>express</v>
      </c>
      <c r="C12">
        <v>1</v>
      </c>
      <c r="D12">
        <v>1</v>
      </c>
      <c r="E12" s="84"/>
      <c r="F12">
        <v>6</v>
      </c>
      <c r="G12" s="84">
        <f>E12/F12</f>
        <v>0</v>
      </c>
    </row>
    <row r="13" spans="1:9" x14ac:dyDescent="0.25">
      <c r="C13">
        <v>2</v>
      </c>
      <c r="D13">
        <v>1</v>
      </c>
      <c r="E13" s="154">
        <f>E12*($I$6+1)</f>
        <v>0</v>
      </c>
      <c r="F13">
        <v>6</v>
      </c>
      <c r="G13" s="154">
        <f>E13/F13</f>
        <v>0</v>
      </c>
    </row>
    <row r="14" spans="1:9" x14ac:dyDescent="0.25">
      <c r="C14">
        <v>3</v>
      </c>
      <c r="D14">
        <v>1</v>
      </c>
      <c r="E14" s="154">
        <f>E13*($I$6+1)</f>
        <v>0</v>
      </c>
      <c r="F14">
        <v>6</v>
      </c>
      <c r="G14" s="154">
        <f>E14/F14</f>
        <v>0</v>
      </c>
    </row>
  </sheetData>
  <mergeCells count="2">
    <mergeCell ref="A9:G10"/>
    <mergeCell ref="A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36"/>
  <sheetViews>
    <sheetView showGridLines="0" workbookViewId="0">
      <selection activeCell="I37" sqref="I37"/>
    </sheetView>
  </sheetViews>
  <sheetFormatPr defaultColWidth="11" defaultRowHeight="15.75" x14ac:dyDescent="0.25"/>
  <cols>
    <col min="1" max="1" width="19" customWidth="1"/>
    <col min="2" max="2" width="7.125" customWidth="1"/>
    <col min="4" max="4" width="12.375" customWidth="1"/>
    <col min="6" max="6" width="15.125" bestFit="1" customWidth="1"/>
    <col min="8" max="8" width="15.125" bestFit="1" customWidth="1"/>
  </cols>
  <sheetData>
    <row r="1" spans="1:4" x14ac:dyDescent="0.25">
      <c r="A1" s="290" t="s">
        <v>233</v>
      </c>
      <c r="B1" s="290"/>
      <c r="C1" s="290"/>
      <c r="D1" s="290"/>
    </row>
    <row r="2" spans="1:4" ht="16.5" thickBot="1" x14ac:dyDescent="0.3">
      <c r="A2" s="290"/>
      <c r="B2" s="290"/>
      <c r="C2" s="290"/>
      <c r="D2" s="290"/>
    </row>
    <row r="3" spans="1:4" ht="16.5" hidden="1" thickBot="1" x14ac:dyDescent="0.3">
      <c r="A3" s="88" t="s">
        <v>73</v>
      </c>
      <c r="B3" s="88">
        <v>4000</v>
      </c>
    </row>
    <row r="4" spans="1:4" ht="15" hidden="1" customHeight="1" x14ac:dyDescent="0.25">
      <c r="C4" s="83" t="s">
        <v>234</v>
      </c>
      <c r="D4" s="288" t="s">
        <v>235</v>
      </c>
    </row>
    <row r="5" spans="1:4" ht="59.1" hidden="1" customHeight="1" x14ac:dyDescent="0.25">
      <c r="A5" s="48" t="s">
        <v>227</v>
      </c>
      <c r="B5" s="50" t="s">
        <v>221</v>
      </c>
      <c r="C5" s="99" t="s">
        <v>236</v>
      </c>
      <c r="D5" s="288"/>
    </row>
    <row r="6" spans="1:4" ht="16.5" hidden="1" thickBot="1" x14ac:dyDescent="0.3">
      <c r="A6" s="49" t="s">
        <v>146</v>
      </c>
      <c r="B6" s="11">
        <v>1</v>
      </c>
      <c r="C6" s="45">
        <v>0.13619999999999999</v>
      </c>
      <c r="D6" s="45">
        <f>C6*$B$3</f>
        <v>544.79999999999995</v>
      </c>
    </row>
    <row r="7" spans="1:4" ht="16.5" hidden="1" thickBot="1" x14ac:dyDescent="0.3">
      <c r="A7" s="49" t="s">
        <v>237</v>
      </c>
      <c r="B7" s="11">
        <v>1</v>
      </c>
      <c r="C7" s="45">
        <v>0.13619999999999999</v>
      </c>
      <c r="D7" s="45">
        <f>C7*$B$3</f>
        <v>544.79999999999995</v>
      </c>
    </row>
    <row r="8" spans="1:4" ht="16.5" hidden="1" thickBot="1" x14ac:dyDescent="0.3">
      <c r="A8" t="s">
        <v>69</v>
      </c>
      <c r="B8" s="11">
        <f>SUM(B6:B7)</f>
        <v>2</v>
      </c>
      <c r="C8" s="45"/>
      <c r="D8" s="45"/>
    </row>
    <row r="9" spans="1:4" ht="16.5" hidden="1" thickBot="1" x14ac:dyDescent="0.3"/>
    <row r="10" spans="1:4" ht="16.5" hidden="1" thickBot="1" x14ac:dyDescent="0.3"/>
    <row r="11" spans="1:4" ht="16.5" hidden="1" thickBot="1" x14ac:dyDescent="0.3">
      <c r="A11" t="s">
        <v>238</v>
      </c>
    </row>
    <row r="12" spans="1:4" ht="16.5" hidden="1" thickBot="1" x14ac:dyDescent="0.3">
      <c r="A12" t="s">
        <v>239</v>
      </c>
    </row>
    <row r="13" spans="1:4" ht="16.5" hidden="1" thickBot="1" x14ac:dyDescent="0.3"/>
    <row r="14" spans="1:4" ht="16.5" hidden="1" thickBot="1" x14ac:dyDescent="0.3"/>
    <row r="15" spans="1:4" ht="16.5" hidden="1" thickBot="1" x14ac:dyDescent="0.3">
      <c r="A15" s="51" t="s">
        <v>73</v>
      </c>
      <c r="B15" s="51">
        <v>6000</v>
      </c>
    </row>
    <row r="16" spans="1:4" ht="15" hidden="1" customHeight="1" x14ac:dyDescent="0.25">
      <c r="C16" s="83" t="s">
        <v>234</v>
      </c>
      <c r="D16" s="288" t="s">
        <v>235</v>
      </c>
    </row>
    <row r="17" spans="1:10" ht="56.1" hidden="1" customHeight="1" x14ac:dyDescent="0.25">
      <c r="A17" s="48" t="s">
        <v>227</v>
      </c>
      <c r="B17" s="50" t="s">
        <v>221</v>
      </c>
      <c r="C17" s="99" t="s">
        <v>236</v>
      </c>
      <c r="D17" s="288"/>
    </row>
    <row r="18" spans="1:10" ht="16.5" hidden="1" thickBot="1" x14ac:dyDescent="0.3">
      <c r="A18" s="49" t="s">
        <v>146</v>
      </c>
      <c r="B18" s="11">
        <v>1</v>
      </c>
      <c r="C18" s="45">
        <v>0.13619999999999999</v>
      </c>
      <c r="D18" s="45">
        <f>C18*$B$15</f>
        <v>817.19999999999993</v>
      </c>
    </row>
    <row r="19" spans="1:10" ht="16.5" hidden="1" thickBot="1" x14ac:dyDescent="0.3">
      <c r="A19" s="49" t="s">
        <v>237</v>
      </c>
      <c r="B19" s="11">
        <v>1</v>
      </c>
      <c r="C19" s="45">
        <v>0.13619999999999999</v>
      </c>
      <c r="D19" s="45">
        <f>C19*$B$15</f>
        <v>817.19999999999993</v>
      </c>
    </row>
    <row r="20" spans="1:10" ht="16.5" hidden="1" thickBot="1" x14ac:dyDescent="0.3">
      <c r="A20" t="s">
        <v>69</v>
      </c>
      <c r="B20" s="11">
        <f>SUM(B18:B19)</f>
        <v>2</v>
      </c>
      <c r="C20" s="45"/>
      <c r="D20" s="45"/>
    </row>
    <row r="21" spans="1:10" ht="16.5" hidden="1" thickBot="1" x14ac:dyDescent="0.3"/>
    <row r="22" spans="1:10" ht="16.5" hidden="1" thickBot="1" x14ac:dyDescent="0.3"/>
    <row r="23" spans="1:10" ht="16.5" hidden="1" thickBot="1" x14ac:dyDescent="0.3"/>
    <row r="24" spans="1:10" ht="16.5" hidden="1" thickBot="1" x14ac:dyDescent="0.3">
      <c r="A24" s="89" t="s">
        <v>73</v>
      </c>
      <c r="B24" s="89">
        <v>8000</v>
      </c>
    </row>
    <row r="25" spans="1:10" ht="15" hidden="1" customHeight="1" x14ac:dyDescent="0.25">
      <c r="C25" s="83" t="s">
        <v>234</v>
      </c>
      <c r="D25" s="288" t="s">
        <v>235</v>
      </c>
    </row>
    <row r="26" spans="1:10" ht="56.1" hidden="1" customHeight="1" x14ac:dyDescent="0.25">
      <c r="A26" s="48" t="s">
        <v>227</v>
      </c>
      <c r="B26" s="50" t="s">
        <v>221</v>
      </c>
      <c r="C26" s="99" t="s">
        <v>236</v>
      </c>
      <c r="D26" s="288"/>
    </row>
    <row r="27" spans="1:10" ht="16.5" hidden="1" thickBot="1" x14ac:dyDescent="0.3">
      <c r="A27" s="49" t="s">
        <v>146</v>
      </c>
      <c r="B27" s="11">
        <v>1</v>
      </c>
      <c r="C27" s="45">
        <v>0.13619999999999999</v>
      </c>
      <c r="D27" s="45">
        <f>C27*$B$24</f>
        <v>1089.5999999999999</v>
      </c>
    </row>
    <row r="28" spans="1:10" ht="16.5" hidden="1" thickBot="1" x14ac:dyDescent="0.3">
      <c r="A28" s="49" t="s">
        <v>237</v>
      </c>
      <c r="B28" s="11">
        <v>1</v>
      </c>
      <c r="C28" s="45">
        <v>0.13619999999999999</v>
      </c>
      <c r="D28" s="45">
        <f>C28*$B$24</f>
        <v>1089.5999999999999</v>
      </c>
    </row>
    <row r="29" spans="1:10" ht="16.5" hidden="1" thickBot="1" x14ac:dyDescent="0.3">
      <c r="A29" t="s">
        <v>69</v>
      </c>
      <c r="B29" s="11">
        <f>SUM(B27:B28)</f>
        <v>2</v>
      </c>
      <c r="C29" s="45"/>
      <c r="D29" s="45"/>
    </row>
    <row r="30" spans="1:10" ht="16.5" hidden="1" thickBot="1" x14ac:dyDescent="0.3"/>
    <row r="31" spans="1:10" ht="16.5" hidden="1" thickBot="1" x14ac:dyDescent="0.3"/>
    <row r="32" spans="1:10" ht="16.5" thickBot="1" x14ac:dyDescent="0.3">
      <c r="A32" s="291" t="s">
        <v>73</v>
      </c>
      <c r="B32" s="293">
        <f>Dados!C14</f>
        <v>0</v>
      </c>
      <c r="C32" s="254" t="s">
        <v>240</v>
      </c>
      <c r="D32" s="251"/>
      <c r="E32" s="254" t="s">
        <v>241</v>
      </c>
      <c r="F32" s="251"/>
      <c r="G32" s="254" t="s">
        <v>242</v>
      </c>
      <c r="H32" s="283"/>
      <c r="I32" s="254" t="s">
        <v>243</v>
      </c>
      <c r="J32" s="283"/>
    </row>
    <row r="33" spans="1:10" ht="16.5" thickBot="1" x14ac:dyDescent="0.3">
      <c r="A33" s="292"/>
      <c r="B33" s="294"/>
      <c r="C33" s="284"/>
      <c r="D33" s="289"/>
      <c r="E33" s="284"/>
      <c r="F33" s="289"/>
      <c r="G33" s="284"/>
      <c r="H33" s="285"/>
      <c r="I33" s="284"/>
      <c r="J33" s="285"/>
    </row>
    <row r="34" spans="1:10" ht="15" customHeight="1" x14ac:dyDescent="0.25">
      <c r="A34" s="295" t="s">
        <v>227</v>
      </c>
      <c r="B34" s="296"/>
      <c r="C34" s="286" t="s">
        <v>234</v>
      </c>
      <c r="D34" s="288" t="s">
        <v>244</v>
      </c>
      <c r="E34" s="286" t="s">
        <v>234</v>
      </c>
      <c r="F34" s="288" t="s">
        <v>244</v>
      </c>
      <c r="G34" s="286" t="s">
        <v>234</v>
      </c>
      <c r="H34" s="287" t="s">
        <v>244</v>
      </c>
      <c r="I34" s="286" t="s">
        <v>234</v>
      </c>
      <c r="J34" s="287" t="s">
        <v>244</v>
      </c>
    </row>
    <row r="35" spans="1:10" x14ac:dyDescent="0.25">
      <c r="A35" s="297"/>
      <c r="B35" s="298"/>
      <c r="C35" s="286"/>
      <c r="D35" s="288"/>
      <c r="E35" s="286"/>
      <c r="F35" s="288"/>
      <c r="G35" s="286"/>
      <c r="H35" s="287"/>
      <c r="I35" s="286"/>
      <c r="J35" s="287"/>
    </row>
    <row r="36" spans="1:10" ht="16.5" thickBot="1" x14ac:dyDescent="0.3">
      <c r="A36" s="281" t="str">
        <f>Dados!A29</f>
        <v>express</v>
      </c>
      <c r="B36" s="282"/>
      <c r="C36" s="193">
        <v>0</v>
      </c>
      <c r="D36" s="191">
        <f>C36*B32</f>
        <v>0</v>
      </c>
      <c r="E36" s="193">
        <v>0</v>
      </c>
      <c r="F36" s="191">
        <f>E36*B32</f>
        <v>0</v>
      </c>
      <c r="G36" s="193">
        <v>0</v>
      </c>
      <c r="H36" s="192">
        <f>G36*B32</f>
        <v>0</v>
      </c>
      <c r="I36" s="193">
        <v>0</v>
      </c>
      <c r="J36" s="192">
        <f>I36*B32</f>
        <v>0</v>
      </c>
    </row>
  </sheetData>
  <mergeCells count="24">
    <mergeCell ref="I32:J32"/>
    <mergeCell ref="I33:J33"/>
    <mergeCell ref="I34:I35"/>
    <mergeCell ref="J34:J35"/>
    <mergeCell ref="D25:D26"/>
    <mergeCell ref="D34:D35"/>
    <mergeCell ref="A1:D2"/>
    <mergeCell ref="D4:D5"/>
    <mergeCell ref="D16:D17"/>
    <mergeCell ref="C34:C35"/>
    <mergeCell ref="C32:D32"/>
    <mergeCell ref="A32:A33"/>
    <mergeCell ref="B32:B33"/>
    <mergeCell ref="A34:B35"/>
    <mergeCell ref="A36:B36"/>
    <mergeCell ref="G32:H32"/>
    <mergeCell ref="G33:H33"/>
    <mergeCell ref="G34:G35"/>
    <mergeCell ref="H34:H35"/>
    <mergeCell ref="E32:F32"/>
    <mergeCell ref="E34:E35"/>
    <mergeCell ref="F34:F35"/>
    <mergeCell ref="C33:D33"/>
    <mergeCell ref="E33:F3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9"/>
  <sheetViews>
    <sheetView showGridLines="0" topLeftCell="O1" workbookViewId="0">
      <selection activeCell="Z8" sqref="Z8"/>
    </sheetView>
  </sheetViews>
  <sheetFormatPr defaultColWidth="11" defaultRowHeight="15.75" x14ac:dyDescent="0.25"/>
  <cols>
    <col min="2" max="2" width="15.125" bestFit="1" customWidth="1"/>
    <col min="6" max="6" width="21" bestFit="1" customWidth="1"/>
    <col min="7" max="7" width="9.625" bestFit="1" customWidth="1"/>
    <col min="11" max="11" width="13.875" bestFit="1" customWidth="1"/>
  </cols>
  <sheetData>
    <row r="1" spans="1:26" ht="41.1" customHeight="1" x14ac:dyDescent="0.25">
      <c r="A1" s="302" t="s">
        <v>245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</row>
    <row r="2" spans="1:26" x14ac:dyDescent="0.25">
      <c r="A2" s="248" t="s">
        <v>246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26" x14ac:dyDescent="0.25">
      <c r="A3" s="248" t="s">
        <v>247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</row>
    <row r="4" spans="1:26" x14ac:dyDescent="0.25">
      <c r="A4" s="248">
        <v>1000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</row>
    <row r="5" spans="1:26" x14ac:dyDescent="0.25">
      <c r="A5" s="303" t="s">
        <v>248</v>
      </c>
      <c r="B5" s="303"/>
      <c r="C5" s="303"/>
      <c r="D5" s="303"/>
      <c r="E5" s="303"/>
      <c r="F5" s="303"/>
      <c r="G5" s="303"/>
      <c r="H5" s="303"/>
      <c r="I5" s="303"/>
      <c r="J5" s="303"/>
      <c r="K5" s="303"/>
    </row>
    <row r="6" spans="1:26" ht="30" customHeight="1" x14ac:dyDescent="0.25">
      <c r="A6" s="47"/>
      <c r="B6" s="47"/>
      <c r="C6" s="299" t="s">
        <v>249</v>
      </c>
      <c r="D6" s="300"/>
      <c r="E6" s="301"/>
      <c r="F6" s="300" t="s">
        <v>250</v>
      </c>
      <c r="G6" s="300"/>
      <c r="H6" s="301"/>
      <c r="I6" s="299" t="s">
        <v>251</v>
      </c>
      <c r="J6" s="300"/>
      <c r="K6" s="301"/>
      <c r="L6" s="299" t="s">
        <v>252</v>
      </c>
      <c r="M6" s="300"/>
      <c r="N6" s="301"/>
      <c r="O6" s="299" t="s">
        <v>253</v>
      </c>
      <c r="P6" s="300"/>
      <c r="Q6" s="301"/>
      <c r="R6" s="299" t="s">
        <v>254</v>
      </c>
      <c r="S6" s="300"/>
      <c r="T6" s="301"/>
      <c r="U6" s="299" t="s">
        <v>255</v>
      </c>
      <c r="V6" s="300"/>
      <c r="W6" s="301"/>
      <c r="X6" s="299" t="s">
        <v>255</v>
      </c>
      <c r="Y6" s="300"/>
      <c r="Z6" s="301"/>
    </row>
    <row r="7" spans="1:26" x14ac:dyDescent="0.25">
      <c r="A7" s="21" t="s">
        <v>227</v>
      </c>
      <c r="B7" s="21" t="s">
        <v>256</v>
      </c>
      <c r="C7" s="22" t="s">
        <v>87</v>
      </c>
      <c r="D7" s="23" t="s">
        <v>257</v>
      </c>
      <c r="E7" s="23" t="s">
        <v>258</v>
      </c>
      <c r="F7" s="21" t="s">
        <v>87</v>
      </c>
      <c r="G7" s="21" t="s">
        <v>257</v>
      </c>
      <c r="H7" s="21" t="s">
        <v>258</v>
      </c>
      <c r="I7" s="22" t="s">
        <v>87</v>
      </c>
      <c r="J7" s="23" t="s">
        <v>257</v>
      </c>
      <c r="K7" s="23" t="s">
        <v>259</v>
      </c>
      <c r="L7" s="22" t="s">
        <v>87</v>
      </c>
      <c r="M7" s="23" t="s">
        <v>257</v>
      </c>
      <c r="N7" s="23" t="s">
        <v>259</v>
      </c>
      <c r="O7" s="22" t="s">
        <v>87</v>
      </c>
      <c r="P7" s="23" t="s">
        <v>257</v>
      </c>
      <c r="Q7" s="23" t="s">
        <v>259</v>
      </c>
      <c r="R7" s="22" t="s">
        <v>87</v>
      </c>
      <c r="S7" s="23" t="s">
        <v>257</v>
      </c>
      <c r="T7" s="23" t="s">
        <v>259</v>
      </c>
      <c r="U7" s="22" t="s">
        <v>87</v>
      </c>
      <c r="V7" s="23" t="s">
        <v>257</v>
      </c>
      <c r="W7" s="23" t="s">
        <v>259</v>
      </c>
      <c r="X7" s="22" t="s">
        <v>87</v>
      </c>
      <c r="Y7" s="23" t="s">
        <v>257</v>
      </c>
      <c r="Z7" s="23" t="s">
        <v>259</v>
      </c>
    </row>
    <row r="8" spans="1:26" x14ac:dyDescent="0.25">
      <c r="A8" t="str">
        <f>Dados!A29</f>
        <v>express</v>
      </c>
      <c r="B8" s="90">
        <f>Dados!C32</f>
        <v>257000</v>
      </c>
      <c r="C8" s="18">
        <f>((B8*0.015)*0.97)</f>
        <v>3739.35</v>
      </c>
      <c r="D8" s="19">
        <f>A4</f>
        <v>1000</v>
      </c>
      <c r="E8" s="19">
        <f>C8+D8</f>
        <v>4739.3500000000004</v>
      </c>
      <c r="F8" s="2">
        <f>(B8*0.015)*0.97</f>
        <v>3739.35</v>
      </c>
      <c r="G8" s="1">
        <f>A4</f>
        <v>1000</v>
      </c>
      <c r="H8" s="1">
        <f>F8+G8</f>
        <v>4739.3500000000004</v>
      </c>
      <c r="I8" s="18">
        <f>((B8*0.85)*0.015)*0.97</f>
        <v>3178.4474999999998</v>
      </c>
      <c r="J8" s="19">
        <f>A4</f>
        <v>1000</v>
      </c>
      <c r="K8" s="19">
        <f>I8+J8</f>
        <v>4178.4475000000002</v>
      </c>
      <c r="L8" s="18">
        <f>(((B8*0.85)*0.85)*0.015)*0.97</f>
        <v>2701.6803749999995</v>
      </c>
      <c r="M8" s="19">
        <f>A4</f>
        <v>1000</v>
      </c>
      <c r="N8" s="19">
        <f>L8+M8</f>
        <v>3701.6803749999995</v>
      </c>
      <c r="O8" s="18">
        <f>((((B8*0.85)*0.85)*0.85)*0.015)*0.97</f>
        <v>2296.4283187499996</v>
      </c>
      <c r="P8" s="19">
        <f>A4</f>
        <v>1000</v>
      </c>
      <c r="Q8" s="19">
        <f>O8+P8</f>
        <v>3296.4283187499996</v>
      </c>
      <c r="R8" s="18">
        <f>(((((B8*0.85)*0.85)*0.85)*0.85)*0.015)*0.97</f>
        <v>1951.9640709374996</v>
      </c>
      <c r="S8" s="19">
        <f>A4</f>
        <v>1000</v>
      </c>
      <c r="T8" s="19">
        <f>R8+S8</f>
        <v>2951.9640709374999</v>
      </c>
      <c r="U8" s="18">
        <f>((((((B8*0.85)*0.85)*0.85)*0.85)*0.85)*0.015)*0.97</f>
        <v>1659.1694602968746</v>
      </c>
      <c r="V8" s="19">
        <f>A4</f>
        <v>1000</v>
      </c>
      <c r="W8" s="19">
        <f>U8+V8</f>
        <v>2659.1694602968746</v>
      </c>
      <c r="X8" s="18">
        <f>(((((((B8*0.85)*0.85)*0.85)*0.85)*0.85)*0.85)*0.015)*0.97</f>
        <v>1410.2940412523435</v>
      </c>
      <c r="Y8" s="19">
        <f>A4</f>
        <v>1000</v>
      </c>
      <c r="Z8" s="19">
        <f>X8+Y8</f>
        <v>2410.2940412523435</v>
      </c>
    </row>
    <row r="9" spans="1:26" x14ac:dyDescent="0.25">
      <c r="B9" s="84"/>
    </row>
  </sheetData>
  <mergeCells count="13">
    <mergeCell ref="A1:K1"/>
    <mergeCell ref="I6:K6"/>
    <mergeCell ref="C6:E6"/>
    <mergeCell ref="A3:K3"/>
    <mergeCell ref="A5:K5"/>
    <mergeCell ref="A2:K2"/>
    <mergeCell ref="F6:H6"/>
    <mergeCell ref="A4:K4"/>
    <mergeCell ref="X6:Z6"/>
    <mergeCell ref="R6:T6"/>
    <mergeCell ref="U6:W6"/>
    <mergeCell ref="O6:Q6"/>
    <mergeCell ref="L6:N6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8:K132"/>
  <sheetViews>
    <sheetView workbookViewId="0">
      <selection activeCell="E9" sqref="E9"/>
    </sheetView>
  </sheetViews>
  <sheetFormatPr defaultColWidth="11" defaultRowHeight="15.75" x14ac:dyDescent="0.25"/>
  <cols>
    <col min="7" max="7" width="21.125" bestFit="1" customWidth="1"/>
    <col min="8" max="8" width="18.375" customWidth="1"/>
    <col min="9" max="9" width="14.875" bestFit="1" customWidth="1"/>
    <col min="11" max="11" width="10.625" bestFit="1" customWidth="1"/>
  </cols>
  <sheetData>
    <row r="8" spans="4:9" x14ac:dyDescent="0.25">
      <c r="E8">
        <v>2.2540000000000001E-2</v>
      </c>
    </row>
    <row r="9" spans="4:9" x14ac:dyDescent="0.25">
      <c r="D9" t="s">
        <v>260</v>
      </c>
      <c r="E9">
        <f>E8*(1-4.3%)</f>
        <v>2.1570780000000001E-2</v>
      </c>
    </row>
    <row r="10" spans="4:9" x14ac:dyDescent="0.25">
      <c r="E10">
        <v>179700</v>
      </c>
      <c r="G10" s="249" t="s">
        <v>261</v>
      </c>
      <c r="H10" s="249"/>
      <c r="I10" s="249"/>
    </row>
    <row r="11" spans="4:9" x14ac:dyDescent="0.25">
      <c r="E11">
        <f>E9*E10</f>
        <v>3876.269166</v>
      </c>
      <c r="I11" t="s">
        <v>262</v>
      </c>
    </row>
    <row r="12" spans="4:9" x14ac:dyDescent="0.25">
      <c r="G12" t="s">
        <v>263</v>
      </c>
      <c r="H12">
        <v>30</v>
      </c>
      <c r="I12" s="182">
        <v>8.0000000000000002E-3</v>
      </c>
    </row>
    <row r="13" spans="4:9" x14ac:dyDescent="0.25">
      <c r="G13" t="s">
        <v>264</v>
      </c>
      <c r="H13">
        <v>1</v>
      </c>
      <c r="I13" s="216">
        <f>I12/30</f>
        <v>2.6666666666666668E-4</v>
      </c>
    </row>
    <row r="15" spans="4:9" x14ac:dyDescent="0.25">
      <c r="G15" t="s">
        <v>265</v>
      </c>
      <c r="H15">
        <v>10</v>
      </c>
      <c r="I15" s="195">
        <v>0</v>
      </c>
    </row>
    <row r="16" spans="4:9" x14ac:dyDescent="0.25">
      <c r="G16" t="s">
        <v>266</v>
      </c>
      <c r="H16">
        <v>90</v>
      </c>
    </row>
    <row r="17" spans="3:11" x14ac:dyDescent="0.25">
      <c r="H17">
        <v>30</v>
      </c>
      <c r="I17" s="182">
        <f>I13*20</f>
        <v>5.333333333333334E-3</v>
      </c>
    </row>
    <row r="18" spans="3:11" x14ac:dyDescent="0.25">
      <c r="H18">
        <v>60</v>
      </c>
      <c r="I18" s="182">
        <f>(I17)+I12</f>
        <v>1.3333333333333334E-2</v>
      </c>
    </row>
    <row r="19" spans="3:11" x14ac:dyDescent="0.25">
      <c r="H19">
        <v>90</v>
      </c>
      <c r="I19" s="182">
        <f>I18+0.8%</f>
        <v>2.1333333333333336E-2</v>
      </c>
    </row>
    <row r="20" spans="3:11" x14ac:dyDescent="0.25">
      <c r="G20" t="s">
        <v>267</v>
      </c>
      <c r="H20">
        <f>H16-H15</f>
        <v>80</v>
      </c>
    </row>
    <row r="25" spans="3:11" x14ac:dyDescent="0.25">
      <c r="C25" t="s">
        <v>268</v>
      </c>
      <c r="D25" t="s">
        <v>269</v>
      </c>
      <c r="E25" s="220">
        <v>1</v>
      </c>
      <c r="F25" s="4">
        <v>79700</v>
      </c>
    </row>
    <row r="26" spans="3:11" x14ac:dyDescent="0.25">
      <c r="C26" t="s">
        <v>270</v>
      </c>
      <c r="D26" t="s">
        <v>271</v>
      </c>
      <c r="E26" t="s">
        <v>272</v>
      </c>
      <c r="F26" t="s">
        <v>273</v>
      </c>
      <c r="G26" t="s">
        <v>274</v>
      </c>
      <c r="H26" t="s">
        <v>275</v>
      </c>
      <c r="I26" t="s">
        <v>276</v>
      </c>
      <c r="J26" t="s">
        <v>277</v>
      </c>
      <c r="K26" t="s">
        <v>278</v>
      </c>
    </row>
    <row r="27" spans="3:11" x14ac:dyDescent="0.25">
      <c r="C27">
        <v>0</v>
      </c>
      <c r="D27" t="s">
        <v>279</v>
      </c>
      <c r="E27" s="4">
        <v>179700</v>
      </c>
      <c r="F27">
        <v>0</v>
      </c>
      <c r="G27">
        <v>0</v>
      </c>
      <c r="H27">
        <v>0</v>
      </c>
      <c r="I27">
        <v>0</v>
      </c>
      <c r="J27" s="4">
        <v>179700</v>
      </c>
      <c r="K27">
        <v>0</v>
      </c>
    </row>
    <row r="28" spans="3:11" x14ac:dyDescent="0.25">
      <c r="C28">
        <v>0</v>
      </c>
      <c r="D28" t="s">
        <v>280</v>
      </c>
      <c r="E28" s="4">
        <v>179700</v>
      </c>
      <c r="F28">
        <v>0</v>
      </c>
      <c r="G28">
        <v>0</v>
      </c>
      <c r="H28">
        <v>0</v>
      </c>
      <c r="I28">
        <v>0</v>
      </c>
      <c r="J28" s="4">
        <v>179700</v>
      </c>
      <c r="K28">
        <v>0</v>
      </c>
    </row>
    <row r="29" spans="3:11" x14ac:dyDescent="0.25">
      <c r="C29">
        <v>0</v>
      </c>
      <c r="D29" t="s">
        <v>281</v>
      </c>
      <c r="E29" s="4">
        <v>179700</v>
      </c>
      <c r="F29">
        <v>0</v>
      </c>
      <c r="G29">
        <v>0</v>
      </c>
      <c r="H29">
        <v>0</v>
      </c>
      <c r="I29">
        <v>0</v>
      </c>
      <c r="J29" s="4">
        <v>179700</v>
      </c>
      <c r="K29">
        <v>0</v>
      </c>
    </row>
    <row r="30" spans="3:11" x14ac:dyDescent="0.25">
      <c r="C30">
        <v>1</v>
      </c>
      <c r="D30" t="s">
        <v>282</v>
      </c>
      <c r="E30" s="4">
        <v>179700</v>
      </c>
      <c r="F30">
        <v>0</v>
      </c>
      <c r="G30" s="4">
        <v>4802.3</v>
      </c>
      <c r="H30" s="4">
        <v>4802</v>
      </c>
      <c r="I30">
        <v>0</v>
      </c>
      <c r="J30" s="4">
        <v>179700</v>
      </c>
      <c r="K30" s="4">
        <v>179700</v>
      </c>
    </row>
    <row r="31" spans="3:11" x14ac:dyDescent="0.25">
      <c r="C31">
        <v>3</v>
      </c>
      <c r="D31" t="s">
        <v>283</v>
      </c>
      <c r="E31" s="4">
        <v>179700</v>
      </c>
      <c r="F31" s="4">
        <v>3327.7</v>
      </c>
      <c r="G31" s="4">
        <v>1561.7</v>
      </c>
      <c r="H31" s="4">
        <v>4889</v>
      </c>
      <c r="I31">
        <v>0</v>
      </c>
      <c r="J31" s="4">
        <v>176372.22</v>
      </c>
      <c r="K31" s="4">
        <v>176372.22</v>
      </c>
    </row>
    <row r="32" spans="3:11" x14ac:dyDescent="0.25">
      <c r="C32">
        <v>4</v>
      </c>
      <c r="D32" t="s">
        <v>284</v>
      </c>
      <c r="E32" s="4">
        <v>176372</v>
      </c>
      <c r="F32" s="4">
        <v>3327.7</v>
      </c>
      <c r="G32" s="4">
        <v>1686.8</v>
      </c>
      <c r="H32" s="4">
        <v>5014</v>
      </c>
      <c r="I32">
        <v>0</v>
      </c>
      <c r="J32" s="4">
        <v>173044.44</v>
      </c>
      <c r="K32" s="4">
        <v>173044.44</v>
      </c>
    </row>
    <row r="33" spans="3:11" x14ac:dyDescent="0.25">
      <c r="C33">
        <v>5</v>
      </c>
      <c r="D33" t="s">
        <v>285</v>
      </c>
      <c r="E33" s="4">
        <v>173044</v>
      </c>
      <c r="F33" s="4">
        <v>3327.7</v>
      </c>
      <c r="G33" s="4">
        <v>1604.4</v>
      </c>
      <c r="H33" s="4">
        <v>4932</v>
      </c>
      <c r="I33">
        <v>0</v>
      </c>
      <c r="J33" s="4">
        <v>169716.66</v>
      </c>
      <c r="K33" s="4">
        <v>169716.66</v>
      </c>
    </row>
    <row r="34" spans="3:11" x14ac:dyDescent="0.25">
      <c r="C34">
        <v>6</v>
      </c>
      <c r="D34" t="s">
        <v>286</v>
      </c>
      <c r="E34" s="4">
        <v>169716</v>
      </c>
      <c r="F34" s="4">
        <v>3327.7</v>
      </c>
      <c r="G34" s="4">
        <v>1475</v>
      </c>
      <c r="H34" s="4">
        <v>4802</v>
      </c>
      <c r="I34">
        <v>0</v>
      </c>
      <c r="J34" s="4">
        <v>166388.88</v>
      </c>
      <c r="K34" s="4">
        <v>166388.88</v>
      </c>
    </row>
    <row r="35" spans="3:11" x14ac:dyDescent="0.25">
      <c r="C35">
        <v>7</v>
      </c>
      <c r="D35" t="s">
        <v>287</v>
      </c>
      <c r="E35" s="4">
        <v>166388</v>
      </c>
      <c r="F35" s="4">
        <v>3327.7</v>
      </c>
      <c r="G35" s="4">
        <v>1639.6</v>
      </c>
      <c r="H35" s="4">
        <v>4967</v>
      </c>
      <c r="I35">
        <v>0</v>
      </c>
      <c r="J35" s="4">
        <v>163061.1</v>
      </c>
      <c r="K35" s="4">
        <v>163061.1</v>
      </c>
    </row>
    <row r="36" spans="3:11" x14ac:dyDescent="0.25">
      <c r="C36">
        <v>8</v>
      </c>
      <c r="D36" t="s">
        <v>288</v>
      </c>
      <c r="E36" s="4">
        <v>163061</v>
      </c>
      <c r="F36" s="4">
        <v>3327.7</v>
      </c>
      <c r="G36" s="4">
        <v>1370</v>
      </c>
      <c r="H36" s="4">
        <v>4697</v>
      </c>
      <c r="I36">
        <v>0</v>
      </c>
      <c r="J36" s="4">
        <v>159733.32</v>
      </c>
      <c r="K36" s="4">
        <v>159733.32</v>
      </c>
    </row>
    <row r="37" spans="3:11" x14ac:dyDescent="0.25">
      <c r="C37">
        <v>10</v>
      </c>
      <c r="D37" t="s">
        <v>281</v>
      </c>
      <c r="E37" s="4">
        <v>156405</v>
      </c>
      <c r="F37" s="4">
        <v>3327.7</v>
      </c>
      <c r="G37" s="4">
        <v>1404.9</v>
      </c>
      <c r="H37" s="4">
        <v>4732</v>
      </c>
      <c r="I37">
        <v>0</v>
      </c>
      <c r="J37" s="4">
        <v>153077.76000000001</v>
      </c>
      <c r="K37" s="4">
        <v>153077.76000000001</v>
      </c>
    </row>
    <row r="38" spans="3:11" x14ac:dyDescent="0.25">
      <c r="C38">
        <v>11</v>
      </c>
      <c r="D38" t="s">
        <v>289</v>
      </c>
      <c r="E38" s="4">
        <v>153077</v>
      </c>
      <c r="F38" s="4">
        <v>3327.7</v>
      </c>
      <c r="G38" s="4">
        <v>1508.4</v>
      </c>
      <c r="H38" s="4">
        <v>4836</v>
      </c>
      <c r="I38">
        <v>0</v>
      </c>
      <c r="J38" s="4">
        <v>149749.98000000001</v>
      </c>
      <c r="K38" s="4">
        <v>149749.98000000001</v>
      </c>
    </row>
    <row r="39" spans="3:11" x14ac:dyDescent="0.25">
      <c r="C39">
        <v>12</v>
      </c>
      <c r="D39" t="s">
        <v>290</v>
      </c>
      <c r="E39" s="4">
        <v>149749</v>
      </c>
      <c r="F39" s="4">
        <v>3327.7</v>
      </c>
      <c r="G39" s="4">
        <v>1301.4000000000001</v>
      </c>
      <c r="H39" s="4">
        <v>4629</v>
      </c>
      <c r="I39">
        <v>0</v>
      </c>
      <c r="J39" s="4">
        <v>146422.20000000001</v>
      </c>
      <c r="K39" s="4">
        <v>146422.20000000001</v>
      </c>
    </row>
    <row r="40" spans="3:11" x14ac:dyDescent="0.25">
      <c r="C40">
        <v>13</v>
      </c>
      <c r="D40" t="s">
        <v>291</v>
      </c>
      <c r="E40" s="4">
        <v>146422</v>
      </c>
      <c r="F40" s="4">
        <v>3327.7</v>
      </c>
      <c r="G40" s="4">
        <v>1442.8</v>
      </c>
      <c r="H40" s="4">
        <v>4770</v>
      </c>
      <c r="I40">
        <v>0</v>
      </c>
      <c r="J40" s="4">
        <v>143094.42000000001</v>
      </c>
      <c r="K40" s="4">
        <v>143094.42000000001</v>
      </c>
    </row>
    <row r="41" spans="3:11" x14ac:dyDescent="0.25">
      <c r="C41">
        <v>14</v>
      </c>
      <c r="D41" t="s">
        <v>292</v>
      </c>
      <c r="E41" s="4">
        <v>143094</v>
      </c>
      <c r="F41" s="4">
        <v>3327.7</v>
      </c>
      <c r="G41" s="4">
        <v>1368.5</v>
      </c>
      <c r="H41" s="4">
        <v>4696</v>
      </c>
      <c r="I41">
        <v>0</v>
      </c>
      <c r="J41" s="4">
        <v>139766.64000000001</v>
      </c>
      <c r="K41" s="4">
        <v>139766.64000000001</v>
      </c>
    </row>
    <row r="42" spans="3:11" x14ac:dyDescent="0.25">
      <c r="C42">
        <v>15</v>
      </c>
      <c r="D42" t="s">
        <v>283</v>
      </c>
      <c r="E42" s="4">
        <v>139766</v>
      </c>
      <c r="F42" s="4">
        <v>3327.7</v>
      </c>
      <c r="G42" s="4">
        <v>1295.9000000000001</v>
      </c>
      <c r="H42" s="4">
        <v>4623</v>
      </c>
      <c r="I42">
        <v>0</v>
      </c>
      <c r="J42" s="4">
        <v>136438.85999999999</v>
      </c>
      <c r="K42" s="4">
        <v>136438.85999999999</v>
      </c>
    </row>
    <row r="43" spans="3:11" x14ac:dyDescent="0.25">
      <c r="C43">
        <v>17</v>
      </c>
      <c r="D43" t="s">
        <v>293</v>
      </c>
      <c r="E43" s="4">
        <v>133111</v>
      </c>
      <c r="F43" s="4">
        <v>3327.7</v>
      </c>
      <c r="G43" s="4">
        <v>1195.7</v>
      </c>
      <c r="H43" s="4">
        <v>4523</v>
      </c>
      <c r="I43">
        <v>0</v>
      </c>
      <c r="J43" s="4">
        <v>129783.3</v>
      </c>
      <c r="K43" s="4">
        <v>129783.3</v>
      </c>
    </row>
    <row r="44" spans="3:11" x14ac:dyDescent="0.25">
      <c r="C44">
        <v>18</v>
      </c>
      <c r="D44" t="s">
        <v>286</v>
      </c>
      <c r="E44" s="4">
        <v>129783</v>
      </c>
      <c r="F44" s="4">
        <v>3327.7</v>
      </c>
      <c r="G44" s="4">
        <v>1165.8</v>
      </c>
      <c r="H44" s="4">
        <v>4493</v>
      </c>
      <c r="I44">
        <v>0</v>
      </c>
      <c r="J44" s="4">
        <v>126455.52</v>
      </c>
      <c r="K44" s="4">
        <v>126455.52</v>
      </c>
    </row>
    <row r="45" spans="3:11" x14ac:dyDescent="0.25">
      <c r="C45">
        <v>19</v>
      </c>
      <c r="D45" t="s">
        <v>294</v>
      </c>
      <c r="E45" s="4">
        <v>126455</v>
      </c>
      <c r="F45" s="4">
        <v>3327.7</v>
      </c>
      <c r="G45" s="4">
        <v>1246</v>
      </c>
      <c r="H45" s="4">
        <v>4573</v>
      </c>
      <c r="I45">
        <v>0</v>
      </c>
      <c r="J45" s="4">
        <v>123127.74</v>
      </c>
      <c r="K45" s="4">
        <v>123127.74</v>
      </c>
    </row>
    <row r="46" spans="3:11" x14ac:dyDescent="0.25">
      <c r="C46">
        <v>20</v>
      </c>
      <c r="D46" t="s">
        <v>295</v>
      </c>
      <c r="E46" s="4">
        <v>123127</v>
      </c>
      <c r="F46" s="4">
        <v>3327.7</v>
      </c>
      <c r="G46" s="4">
        <v>1034.5</v>
      </c>
      <c r="H46" s="4">
        <v>4362</v>
      </c>
      <c r="I46">
        <v>0</v>
      </c>
      <c r="J46" s="4">
        <v>119799.96</v>
      </c>
      <c r="K46" s="4">
        <v>119799.96</v>
      </c>
    </row>
    <row r="47" spans="3:11" x14ac:dyDescent="0.25">
      <c r="C47">
        <v>21</v>
      </c>
      <c r="D47" t="s">
        <v>280</v>
      </c>
      <c r="E47" s="4">
        <v>119799</v>
      </c>
      <c r="F47" s="4">
        <v>3327.7</v>
      </c>
      <c r="G47" s="4">
        <v>1110.7</v>
      </c>
      <c r="H47" s="4">
        <v>4438</v>
      </c>
      <c r="I47">
        <v>0</v>
      </c>
      <c r="J47" s="4">
        <v>116472.18</v>
      </c>
      <c r="K47" s="4">
        <v>116472.18</v>
      </c>
    </row>
    <row r="48" spans="3:11" x14ac:dyDescent="0.25">
      <c r="C48">
        <v>23</v>
      </c>
      <c r="D48" t="s">
        <v>282</v>
      </c>
      <c r="E48" s="4">
        <v>113144</v>
      </c>
      <c r="F48" s="4">
        <v>3327.7</v>
      </c>
      <c r="G48" s="4">
        <v>1016.3</v>
      </c>
      <c r="H48" s="4">
        <v>4344</v>
      </c>
      <c r="I48">
        <v>0</v>
      </c>
      <c r="J48" s="4">
        <v>109816.62</v>
      </c>
      <c r="K48" s="4">
        <v>109816.62</v>
      </c>
    </row>
    <row r="49" spans="3:11" x14ac:dyDescent="0.25">
      <c r="C49">
        <v>24</v>
      </c>
      <c r="D49" t="s">
        <v>290</v>
      </c>
      <c r="E49" s="4">
        <v>109816</v>
      </c>
      <c r="F49" s="4">
        <v>3327.7</v>
      </c>
      <c r="G49" s="4">
        <v>1050.2</v>
      </c>
      <c r="H49" s="4">
        <v>4378</v>
      </c>
      <c r="I49">
        <v>0</v>
      </c>
      <c r="J49" s="4">
        <v>106488.84</v>
      </c>
      <c r="K49" s="4">
        <v>106488.84</v>
      </c>
    </row>
    <row r="50" spans="3:11" x14ac:dyDescent="0.25">
      <c r="C50">
        <v>25</v>
      </c>
      <c r="D50" t="s">
        <v>296</v>
      </c>
      <c r="E50" s="4">
        <v>106488</v>
      </c>
      <c r="F50" s="4">
        <v>3327.7</v>
      </c>
      <c r="G50" s="4">
        <v>1049.3</v>
      </c>
      <c r="H50" s="4">
        <v>4377</v>
      </c>
      <c r="I50">
        <v>0</v>
      </c>
      <c r="J50" s="4">
        <v>103161.06</v>
      </c>
      <c r="K50" s="4">
        <v>103161.06</v>
      </c>
    </row>
    <row r="51" spans="3:11" x14ac:dyDescent="0.25">
      <c r="C51">
        <v>26</v>
      </c>
      <c r="D51" t="s">
        <v>297</v>
      </c>
      <c r="E51" s="4">
        <v>103161</v>
      </c>
      <c r="F51" s="4">
        <v>3327.7</v>
      </c>
      <c r="G51">
        <v>926.7</v>
      </c>
      <c r="H51" s="4">
        <v>4254</v>
      </c>
      <c r="I51">
        <v>0</v>
      </c>
      <c r="J51" s="4">
        <v>99833.279999999999</v>
      </c>
      <c r="K51" s="4">
        <v>99833.279999999999</v>
      </c>
    </row>
    <row r="52" spans="3:11" x14ac:dyDescent="0.25">
      <c r="C52">
        <v>27</v>
      </c>
      <c r="D52" t="s">
        <v>283</v>
      </c>
      <c r="E52" s="4">
        <v>99833</v>
      </c>
      <c r="F52" s="4">
        <v>3327.7</v>
      </c>
      <c r="G52">
        <v>925.6</v>
      </c>
      <c r="H52" s="4">
        <v>4253</v>
      </c>
      <c r="I52">
        <v>0</v>
      </c>
      <c r="J52" s="4">
        <v>96505.5</v>
      </c>
      <c r="K52" s="4">
        <v>96505.5</v>
      </c>
    </row>
    <row r="53" spans="3:11" x14ac:dyDescent="0.25">
      <c r="C53">
        <v>28</v>
      </c>
      <c r="D53" t="s">
        <v>284</v>
      </c>
      <c r="E53" s="4">
        <v>96505</v>
      </c>
      <c r="F53" s="4">
        <v>3327.7</v>
      </c>
      <c r="G53">
        <v>894.8</v>
      </c>
      <c r="H53" s="4">
        <v>4222</v>
      </c>
      <c r="I53">
        <v>0</v>
      </c>
      <c r="J53" s="4">
        <v>93177.72</v>
      </c>
      <c r="K53" s="4">
        <v>93177.72</v>
      </c>
    </row>
    <row r="54" spans="3:11" x14ac:dyDescent="0.25">
      <c r="C54">
        <v>30</v>
      </c>
      <c r="D54" t="s">
        <v>286</v>
      </c>
      <c r="E54" s="4">
        <v>89849</v>
      </c>
      <c r="F54" s="4">
        <v>3327.7</v>
      </c>
      <c r="G54">
        <v>833</v>
      </c>
      <c r="H54" s="4">
        <v>4160</v>
      </c>
      <c r="I54">
        <v>0</v>
      </c>
      <c r="J54" s="4">
        <v>86522.16</v>
      </c>
      <c r="K54" s="4">
        <v>86522.16</v>
      </c>
    </row>
    <row r="55" spans="3:11" x14ac:dyDescent="0.25">
      <c r="C55">
        <v>31</v>
      </c>
      <c r="D55" t="s">
        <v>294</v>
      </c>
      <c r="E55" s="4">
        <v>86522</v>
      </c>
      <c r="F55" s="4">
        <v>3327.7</v>
      </c>
      <c r="G55">
        <v>802.2</v>
      </c>
      <c r="H55" s="4">
        <v>4130</v>
      </c>
      <c r="I55">
        <v>0</v>
      </c>
      <c r="J55" s="4">
        <v>83194.38</v>
      </c>
      <c r="K55" s="4">
        <v>83194.38</v>
      </c>
    </row>
    <row r="56" spans="3:11" x14ac:dyDescent="0.25">
      <c r="C56">
        <v>32</v>
      </c>
      <c r="D56" t="s">
        <v>288</v>
      </c>
      <c r="E56" s="4">
        <v>83194</v>
      </c>
      <c r="F56" s="4">
        <v>3327.7</v>
      </c>
      <c r="G56">
        <v>699</v>
      </c>
      <c r="H56" s="4">
        <v>4026</v>
      </c>
      <c r="I56">
        <v>0</v>
      </c>
      <c r="J56" s="4">
        <v>79866.600000000006</v>
      </c>
      <c r="K56" s="4">
        <v>79866.600000000006</v>
      </c>
    </row>
    <row r="57" spans="3:11" x14ac:dyDescent="0.25">
      <c r="C57">
        <v>33</v>
      </c>
      <c r="D57" t="s">
        <v>280</v>
      </c>
      <c r="E57" s="4">
        <v>79866</v>
      </c>
      <c r="F57" s="4">
        <v>3327.7</v>
      </c>
      <c r="G57">
        <v>763.8</v>
      </c>
      <c r="H57" s="4">
        <v>4091</v>
      </c>
      <c r="I57">
        <v>0</v>
      </c>
      <c r="J57" s="4">
        <v>76538.820000000007</v>
      </c>
      <c r="K57" s="4">
        <v>76538.820000000007</v>
      </c>
    </row>
    <row r="58" spans="3:11" x14ac:dyDescent="0.25">
      <c r="C58">
        <v>34</v>
      </c>
      <c r="D58" t="s">
        <v>298</v>
      </c>
      <c r="E58" s="4">
        <v>76538</v>
      </c>
      <c r="F58" s="4">
        <v>3327.7</v>
      </c>
      <c r="G58">
        <v>709.6</v>
      </c>
      <c r="H58" s="4">
        <v>4037</v>
      </c>
      <c r="I58">
        <v>0</v>
      </c>
      <c r="J58" s="4">
        <v>73211.039999999994</v>
      </c>
      <c r="K58" s="4">
        <v>73211.039999999994</v>
      </c>
    </row>
    <row r="59" spans="3:11" x14ac:dyDescent="0.25">
      <c r="C59">
        <v>35</v>
      </c>
      <c r="D59" t="s">
        <v>282</v>
      </c>
      <c r="E59" s="4">
        <v>73211</v>
      </c>
      <c r="F59" s="4">
        <v>3327.7</v>
      </c>
      <c r="G59">
        <v>657.6</v>
      </c>
      <c r="H59" s="4">
        <v>3985</v>
      </c>
      <c r="I59">
        <v>0</v>
      </c>
      <c r="J59" s="4">
        <v>69883.259999999995</v>
      </c>
      <c r="K59" s="4">
        <v>69883.259999999995</v>
      </c>
    </row>
    <row r="60" spans="3:11" x14ac:dyDescent="0.25">
      <c r="C60">
        <v>37</v>
      </c>
      <c r="D60" t="s">
        <v>299</v>
      </c>
      <c r="E60" s="4">
        <v>66555</v>
      </c>
      <c r="F60" s="4">
        <v>3327.7</v>
      </c>
      <c r="G60">
        <v>636.5</v>
      </c>
      <c r="H60" s="4">
        <v>3964</v>
      </c>
      <c r="I60">
        <v>0</v>
      </c>
      <c r="J60" s="4">
        <v>63227.7</v>
      </c>
      <c r="K60" s="4">
        <v>63227.7</v>
      </c>
    </row>
    <row r="61" spans="3:11" x14ac:dyDescent="0.25">
      <c r="C61">
        <v>38</v>
      </c>
      <c r="D61" t="s">
        <v>297</v>
      </c>
      <c r="E61" s="4">
        <v>63227</v>
      </c>
      <c r="F61" s="4">
        <v>3327.7</v>
      </c>
      <c r="G61">
        <v>586.20000000000005</v>
      </c>
      <c r="H61" s="4">
        <v>3914</v>
      </c>
      <c r="I61">
        <v>0</v>
      </c>
      <c r="J61" s="4">
        <v>59899.92</v>
      </c>
      <c r="K61" s="4">
        <v>59899.92</v>
      </c>
    </row>
    <row r="62" spans="3:11" x14ac:dyDescent="0.25">
      <c r="C62">
        <v>39</v>
      </c>
      <c r="D62" t="s">
        <v>283</v>
      </c>
      <c r="E62" s="4">
        <v>59899</v>
      </c>
      <c r="F62" s="4">
        <v>3327.7</v>
      </c>
      <c r="G62">
        <v>555.29999999999995</v>
      </c>
      <c r="H62" s="4">
        <v>3883</v>
      </c>
      <c r="I62">
        <v>0</v>
      </c>
      <c r="J62" s="4">
        <v>56572.14</v>
      </c>
      <c r="K62" s="4">
        <v>56572.14</v>
      </c>
    </row>
    <row r="63" spans="3:11" x14ac:dyDescent="0.25">
      <c r="C63">
        <v>40</v>
      </c>
      <c r="D63" t="s">
        <v>284</v>
      </c>
      <c r="E63" s="4">
        <v>56572</v>
      </c>
      <c r="F63" s="4">
        <v>3327.7</v>
      </c>
      <c r="G63">
        <v>508.1</v>
      </c>
      <c r="H63" s="4">
        <v>3835</v>
      </c>
      <c r="I63">
        <v>0</v>
      </c>
      <c r="J63" s="4">
        <v>53244.36</v>
      </c>
      <c r="K63" s="4">
        <v>53244.36</v>
      </c>
    </row>
    <row r="64" spans="3:11" x14ac:dyDescent="0.25">
      <c r="C64">
        <v>41</v>
      </c>
      <c r="D64" t="s">
        <v>300</v>
      </c>
      <c r="E64" s="4">
        <v>53244</v>
      </c>
      <c r="F64" s="4">
        <v>3327.7</v>
      </c>
      <c r="G64">
        <v>493.6</v>
      </c>
      <c r="H64" s="4">
        <v>3821</v>
      </c>
      <c r="I64">
        <v>0</v>
      </c>
      <c r="J64" s="4">
        <v>49916.58</v>
      </c>
      <c r="K64" s="4">
        <v>49916.58</v>
      </c>
    </row>
    <row r="65" spans="3:11" x14ac:dyDescent="0.25">
      <c r="C65">
        <v>43</v>
      </c>
      <c r="D65" t="s">
        <v>287</v>
      </c>
      <c r="E65" s="4">
        <v>46588</v>
      </c>
      <c r="F65" s="4">
        <v>3327.7</v>
      </c>
      <c r="G65">
        <v>431.9</v>
      </c>
      <c r="H65" s="4">
        <v>3759</v>
      </c>
      <c r="I65">
        <v>0</v>
      </c>
      <c r="J65" s="4">
        <v>43261.02</v>
      </c>
      <c r="K65" s="4">
        <v>43261.02</v>
      </c>
    </row>
    <row r="66" spans="3:11" x14ac:dyDescent="0.25">
      <c r="C66">
        <v>44</v>
      </c>
      <c r="D66" t="s">
        <v>288</v>
      </c>
      <c r="E66" s="4">
        <v>43261</v>
      </c>
      <c r="F66" s="4">
        <v>3327.7</v>
      </c>
      <c r="G66">
        <v>363.4</v>
      </c>
      <c r="H66" s="4">
        <v>3691</v>
      </c>
      <c r="I66">
        <v>0</v>
      </c>
      <c r="J66" s="4">
        <v>39933.24</v>
      </c>
      <c r="K66" s="4">
        <v>39933.24</v>
      </c>
    </row>
    <row r="67" spans="3:11" x14ac:dyDescent="0.25">
      <c r="C67">
        <v>45</v>
      </c>
      <c r="D67" t="s">
        <v>301</v>
      </c>
      <c r="E67" s="4">
        <v>39933</v>
      </c>
      <c r="F67" s="4">
        <v>3327.7</v>
      </c>
      <c r="G67">
        <v>393.5</v>
      </c>
      <c r="H67" s="4">
        <v>3721</v>
      </c>
      <c r="I67">
        <v>0</v>
      </c>
      <c r="J67" s="4">
        <v>36605.46</v>
      </c>
      <c r="K67" s="4">
        <v>36605.46</v>
      </c>
    </row>
    <row r="68" spans="3:11" x14ac:dyDescent="0.25">
      <c r="C68">
        <v>46</v>
      </c>
      <c r="D68" t="s">
        <v>302</v>
      </c>
      <c r="E68" s="4">
        <v>36605</v>
      </c>
      <c r="F68" s="4">
        <v>3327.7</v>
      </c>
      <c r="G68">
        <v>318.10000000000002</v>
      </c>
      <c r="H68" s="4">
        <v>3645</v>
      </c>
      <c r="I68">
        <v>0</v>
      </c>
      <c r="J68" s="4">
        <v>33277.68</v>
      </c>
      <c r="K68" s="4">
        <v>33277.68</v>
      </c>
    </row>
    <row r="69" spans="3:11" x14ac:dyDescent="0.25">
      <c r="C69">
        <v>47</v>
      </c>
      <c r="D69" t="s">
        <v>282</v>
      </c>
      <c r="E69" s="4">
        <v>33277</v>
      </c>
      <c r="F69" s="4">
        <v>3327.7</v>
      </c>
      <c r="G69">
        <v>318.2</v>
      </c>
      <c r="H69" s="4">
        <v>3646</v>
      </c>
      <c r="I69">
        <v>0</v>
      </c>
      <c r="J69" s="4">
        <v>29949.9</v>
      </c>
      <c r="K69" s="4">
        <v>29949.9</v>
      </c>
    </row>
    <row r="70" spans="3:11" x14ac:dyDescent="0.25">
      <c r="C70">
        <v>48</v>
      </c>
      <c r="D70" t="s">
        <v>290</v>
      </c>
      <c r="E70" s="4">
        <v>29949</v>
      </c>
      <c r="F70" s="4">
        <v>3327.7</v>
      </c>
      <c r="G70">
        <v>277.7</v>
      </c>
      <c r="H70" s="4">
        <v>3605</v>
      </c>
      <c r="I70">
        <v>0</v>
      </c>
      <c r="J70" s="4">
        <v>26622.12</v>
      </c>
      <c r="K70" s="4">
        <v>26622.12</v>
      </c>
    </row>
    <row r="71" spans="3:11" x14ac:dyDescent="0.25">
      <c r="C71">
        <v>50</v>
      </c>
      <c r="D71" t="s">
        <v>297</v>
      </c>
      <c r="E71" s="4">
        <v>23294</v>
      </c>
      <c r="F71" s="4">
        <v>3327.7</v>
      </c>
      <c r="G71">
        <v>222.7</v>
      </c>
      <c r="H71" s="4">
        <v>3550</v>
      </c>
      <c r="I71">
        <v>0</v>
      </c>
      <c r="J71" s="4">
        <v>19966.560000000001</v>
      </c>
      <c r="K71" s="4">
        <v>19966.560000000001</v>
      </c>
    </row>
    <row r="72" spans="3:11" x14ac:dyDescent="0.25">
      <c r="C72">
        <v>51</v>
      </c>
      <c r="D72" t="s">
        <v>303</v>
      </c>
      <c r="E72" s="4">
        <v>19966</v>
      </c>
      <c r="F72" s="4">
        <v>3327.7</v>
      </c>
      <c r="G72">
        <v>185.1</v>
      </c>
      <c r="H72" s="4">
        <v>3512</v>
      </c>
      <c r="I72">
        <v>0</v>
      </c>
      <c r="J72" s="4">
        <v>16638.78</v>
      </c>
      <c r="K72" s="4">
        <v>16638.78</v>
      </c>
    </row>
    <row r="73" spans="3:11" x14ac:dyDescent="0.25">
      <c r="C73">
        <v>52</v>
      </c>
      <c r="D73" t="s">
        <v>284</v>
      </c>
      <c r="E73" s="4">
        <v>16638</v>
      </c>
      <c r="F73" s="4">
        <v>3327.7</v>
      </c>
      <c r="G73">
        <v>149.4</v>
      </c>
      <c r="H73" s="4">
        <v>3477</v>
      </c>
      <c r="I73">
        <v>0</v>
      </c>
      <c r="J73" s="4">
        <v>13311</v>
      </c>
      <c r="K73" s="4">
        <v>13311</v>
      </c>
    </row>
    <row r="74" spans="3:11" x14ac:dyDescent="0.25">
      <c r="C74">
        <v>53</v>
      </c>
      <c r="D74" t="s">
        <v>300</v>
      </c>
      <c r="E74" s="4">
        <v>13311</v>
      </c>
      <c r="F74" s="4">
        <v>3327.7</v>
      </c>
      <c r="G74">
        <v>123.4</v>
      </c>
      <c r="H74" s="4">
        <v>3451</v>
      </c>
      <c r="I74">
        <v>0</v>
      </c>
      <c r="J74" s="4">
        <v>9983.2199999999993</v>
      </c>
      <c r="K74" s="4">
        <v>9983.2199999999993</v>
      </c>
    </row>
    <row r="75" spans="3:11" x14ac:dyDescent="0.25">
      <c r="C75">
        <v>54</v>
      </c>
      <c r="D75" t="s">
        <v>304</v>
      </c>
      <c r="E75" s="4">
        <v>9983</v>
      </c>
      <c r="F75" s="4">
        <v>3327.7</v>
      </c>
      <c r="G75">
        <v>95.4</v>
      </c>
      <c r="H75" s="4">
        <v>3423</v>
      </c>
      <c r="I75">
        <v>0</v>
      </c>
      <c r="J75" s="4">
        <v>6655.44</v>
      </c>
      <c r="K75" s="4">
        <v>6655.44</v>
      </c>
    </row>
    <row r="76" spans="3:11" x14ac:dyDescent="0.25">
      <c r="C76">
        <v>55</v>
      </c>
      <c r="D76" t="s">
        <v>287</v>
      </c>
      <c r="E76" s="4">
        <v>6655</v>
      </c>
      <c r="F76" s="4">
        <v>3327.7</v>
      </c>
      <c r="G76">
        <v>63.6</v>
      </c>
      <c r="H76" s="4">
        <v>3391</v>
      </c>
      <c r="I76">
        <v>0</v>
      </c>
      <c r="J76" s="4">
        <v>3327.66</v>
      </c>
      <c r="K76" s="4">
        <v>3327.66</v>
      </c>
    </row>
    <row r="77" spans="3:11" x14ac:dyDescent="0.25">
      <c r="C77" t="s">
        <v>305</v>
      </c>
      <c r="D77" t="s">
        <v>306</v>
      </c>
      <c r="E77" s="4">
        <v>3327</v>
      </c>
      <c r="F77" s="4">
        <v>179700</v>
      </c>
      <c r="G77" s="4">
        <v>55589.5</v>
      </c>
      <c r="H77" s="4">
        <v>235289</v>
      </c>
      <c r="I77">
        <v>0</v>
      </c>
      <c r="J77">
        <v>0</v>
      </c>
      <c r="K77">
        <v>0</v>
      </c>
    </row>
    <row r="83" spans="3:11" x14ac:dyDescent="0.25">
      <c r="C83">
        <v>0</v>
      </c>
      <c r="D83" t="s">
        <v>279</v>
      </c>
      <c r="E83" s="4">
        <v>179700</v>
      </c>
      <c r="F83">
        <v>0</v>
      </c>
      <c r="G83">
        <v>0</v>
      </c>
      <c r="H83">
        <v>0</v>
      </c>
      <c r="I83">
        <v>0</v>
      </c>
      <c r="J83" s="4">
        <v>179700</v>
      </c>
      <c r="K83">
        <v>0</v>
      </c>
    </row>
    <row r="84" spans="3:11" x14ac:dyDescent="0.25">
      <c r="C84">
        <v>0</v>
      </c>
      <c r="D84" t="s">
        <v>280</v>
      </c>
      <c r="E84" s="4">
        <v>179700</v>
      </c>
      <c r="F84">
        <v>0</v>
      </c>
      <c r="G84">
        <v>0</v>
      </c>
      <c r="H84">
        <v>0</v>
      </c>
      <c r="I84">
        <v>0</v>
      </c>
      <c r="J84" s="4">
        <v>179700</v>
      </c>
      <c r="K84">
        <v>0</v>
      </c>
    </row>
    <row r="85" spans="3:11" x14ac:dyDescent="0.25">
      <c r="C85">
        <v>0</v>
      </c>
      <c r="D85" t="s">
        <v>281</v>
      </c>
      <c r="E85" s="4">
        <v>179700</v>
      </c>
      <c r="F85">
        <v>0</v>
      </c>
      <c r="G85">
        <v>0</v>
      </c>
      <c r="H85">
        <v>0</v>
      </c>
      <c r="I85">
        <v>0</v>
      </c>
      <c r="J85" s="4">
        <v>179700</v>
      </c>
      <c r="K85">
        <v>0</v>
      </c>
    </row>
    <row r="86" spans="3:11" x14ac:dyDescent="0.25">
      <c r="C86">
        <v>1</v>
      </c>
      <c r="D86" t="s">
        <v>282</v>
      </c>
      <c r="E86" s="4">
        <v>179700</v>
      </c>
      <c r="F86">
        <v>0</v>
      </c>
      <c r="G86" s="4">
        <v>4802.3</v>
      </c>
      <c r="H86" s="4">
        <v>4802</v>
      </c>
      <c r="I86">
        <v>0</v>
      </c>
      <c r="J86" s="4">
        <v>179700</v>
      </c>
      <c r="K86" s="4">
        <v>179700</v>
      </c>
    </row>
    <row r="87" spans="3:11" x14ac:dyDescent="0.25">
      <c r="C87">
        <v>3</v>
      </c>
      <c r="D87" t="s">
        <v>283</v>
      </c>
      <c r="E87" s="4">
        <v>179700</v>
      </c>
      <c r="F87" s="4">
        <v>3327.7</v>
      </c>
      <c r="G87" s="4">
        <v>1561.7</v>
      </c>
      <c r="H87" s="4">
        <v>4889</v>
      </c>
      <c r="I87">
        <v>0</v>
      </c>
      <c r="J87" s="4">
        <v>176372.22</v>
      </c>
      <c r="K87" s="4">
        <v>176372.22</v>
      </c>
    </row>
    <row r="88" spans="3:11" x14ac:dyDescent="0.25">
      <c r="C88">
        <v>4</v>
      </c>
      <c r="D88" t="s">
        <v>284</v>
      </c>
      <c r="E88" s="4">
        <v>176372</v>
      </c>
      <c r="F88" s="4">
        <v>3327.7</v>
      </c>
      <c r="G88" s="4">
        <v>1686.8</v>
      </c>
      <c r="H88" s="4">
        <v>5014</v>
      </c>
      <c r="I88">
        <v>0</v>
      </c>
      <c r="J88" s="4">
        <v>173044.44</v>
      </c>
      <c r="K88" s="4">
        <v>173044.44</v>
      </c>
    </row>
    <row r="89" spans="3:11" x14ac:dyDescent="0.25">
      <c r="C89">
        <v>5</v>
      </c>
      <c r="D89" t="s">
        <v>285</v>
      </c>
      <c r="E89" s="4">
        <v>173044</v>
      </c>
      <c r="F89" s="4">
        <v>3327.7</v>
      </c>
      <c r="G89" s="4">
        <v>1604.4</v>
      </c>
      <c r="H89" s="4">
        <v>4932</v>
      </c>
      <c r="I89">
        <v>0</v>
      </c>
      <c r="J89" s="4">
        <v>169716.66</v>
      </c>
      <c r="K89" s="4">
        <v>169716.66</v>
      </c>
    </row>
    <row r="90" spans="3:11" x14ac:dyDescent="0.25">
      <c r="C90">
        <v>6</v>
      </c>
      <c r="D90" t="s">
        <v>286</v>
      </c>
      <c r="E90" s="4">
        <v>169716</v>
      </c>
      <c r="F90" s="4">
        <v>3327.7</v>
      </c>
      <c r="G90" s="4">
        <v>1475</v>
      </c>
      <c r="H90" s="4">
        <v>4802</v>
      </c>
      <c r="I90">
        <v>0</v>
      </c>
      <c r="J90" s="4">
        <v>166388.88</v>
      </c>
      <c r="K90" s="4">
        <v>166388.88</v>
      </c>
    </row>
    <row r="91" spans="3:11" x14ac:dyDescent="0.25">
      <c r="C91">
        <v>7</v>
      </c>
      <c r="D91" t="s">
        <v>287</v>
      </c>
      <c r="E91" s="4">
        <v>166388</v>
      </c>
      <c r="F91" s="4">
        <v>3327.7</v>
      </c>
      <c r="G91" s="4">
        <v>1639.6</v>
      </c>
      <c r="H91" s="4">
        <v>4967</v>
      </c>
      <c r="I91">
        <v>0</v>
      </c>
      <c r="J91" s="4">
        <v>163061.1</v>
      </c>
      <c r="K91" s="4">
        <v>163061.1</v>
      </c>
    </row>
    <row r="92" spans="3:11" x14ac:dyDescent="0.25">
      <c r="C92">
        <v>8</v>
      </c>
      <c r="D92" t="s">
        <v>288</v>
      </c>
      <c r="E92" s="4">
        <v>163061</v>
      </c>
      <c r="F92" s="4">
        <v>3327.7</v>
      </c>
      <c r="G92" s="4">
        <v>1370</v>
      </c>
      <c r="H92" s="4">
        <v>4697</v>
      </c>
      <c r="I92">
        <v>0</v>
      </c>
      <c r="J92" s="4">
        <v>159733.32</v>
      </c>
      <c r="K92" s="4">
        <v>159733.32</v>
      </c>
    </row>
    <row r="93" spans="3:11" x14ac:dyDescent="0.25">
      <c r="C93">
        <v>10</v>
      </c>
      <c r="D93" t="s">
        <v>281</v>
      </c>
      <c r="E93" s="4">
        <v>156405</v>
      </c>
      <c r="F93" s="4">
        <v>3327.7</v>
      </c>
      <c r="G93" s="4">
        <v>1404.9</v>
      </c>
      <c r="H93" s="4">
        <v>4732</v>
      </c>
      <c r="I93">
        <v>0</v>
      </c>
      <c r="J93" s="4">
        <v>153077.76000000001</v>
      </c>
      <c r="K93" s="4">
        <v>153077.76000000001</v>
      </c>
    </row>
    <row r="94" spans="3:11" x14ac:dyDescent="0.25">
      <c r="C94">
        <v>11</v>
      </c>
      <c r="D94" t="s">
        <v>289</v>
      </c>
      <c r="E94" s="4">
        <v>153077</v>
      </c>
      <c r="F94" s="4">
        <v>3327.7</v>
      </c>
      <c r="G94" s="4">
        <v>1508.4</v>
      </c>
      <c r="H94" s="4">
        <v>4836</v>
      </c>
      <c r="I94">
        <v>0</v>
      </c>
      <c r="J94" s="4">
        <v>149749.98000000001</v>
      </c>
      <c r="K94" s="4">
        <v>149749.98000000001</v>
      </c>
    </row>
    <row r="95" spans="3:11" x14ac:dyDescent="0.25">
      <c r="C95">
        <v>12</v>
      </c>
      <c r="D95" t="s">
        <v>290</v>
      </c>
      <c r="E95" s="4">
        <v>149749</v>
      </c>
      <c r="F95" s="4">
        <v>3327.7</v>
      </c>
      <c r="G95" s="4">
        <v>1301.4000000000001</v>
      </c>
      <c r="H95" s="4">
        <v>4629</v>
      </c>
      <c r="I95">
        <v>0</v>
      </c>
      <c r="J95" s="4">
        <v>146422.20000000001</v>
      </c>
      <c r="K95" s="4">
        <v>146422.20000000001</v>
      </c>
    </row>
    <row r="96" spans="3:11" x14ac:dyDescent="0.25">
      <c r="C96">
        <v>13</v>
      </c>
      <c r="D96" t="s">
        <v>291</v>
      </c>
      <c r="E96" s="4">
        <v>146422</v>
      </c>
      <c r="F96" s="4">
        <v>3327.7</v>
      </c>
      <c r="G96" s="4">
        <v>1442.8</v>
      </c>
      <c r="H96" s="4">
        <v>4770</v>
      </c>
      <c r="I96">
        <v>0</v>
      </c>
      <c r="J96" s="4">
        <v>143094.42000000001</v>
      </c>
      <c r="K96" s="4">
        <v>143094.42000000001</v>
      </c>
    </row>
    <row r="97" spans="3:11" x14ac:dyDescent="0.25">
      <c r="C97">
        <v>14</v>
      </c>
      <c r="D97" t="s">
        <v>292</v>
      </c>
      <c r="E97" s="4">
        <v>143094</v>
      </c>
      <c r="F97" s="4">
        <v>3327.7</v>
      </c>
      <c r="G97" s="4">
        <v>1368.5</v>
      </c>
      <c r="H97" s="4">
        <v>4696</v>
      </c>
      <c r="I97">
        <v>0</v>
      </c>
      <c r="J97" s="4">
        <v>139766.64000000001</v>
      </c>
      <c r="K97" s="4">
        <v>139766.64000000001</v>
      </c>
    </row>
    <row r="98" spans="3:11" x14ac:dyDescent="0.25">
      <c r="C98">
        <v>15</v>
      </c>
      <c r="D98" t="s">
        <v>283</v>
      </c>
      <c r="E98" s="4">
        <v>139766</v>
      </c>
      <c r="F98" s="4">
        <v>3327.7</v>
      </c>
      <c r="G98" s="4">
        <v>1295.9000000000001</v>
      </c>
      <c r="H98" s="4">
        <v>4623</v>
      </c>
      <c r="I98">
        <v>0</v>
      </c>
      <c r="J98" s="4">
        <v>136438.85999999999</v>
      </c>
      <c r="K98" s="4">
        <v>136438.85999999999</v>
      </c>
    </row>
    <row r="99" spans="3:11" x14ac:dyDescent="0.25">
      <c r="C99">
        <v>17</v>
      </c>
      <c r="D99" t="s">
        <v>293</v>
      </c>
      <c r="E99" s="4">
        <v>133111</v>
      </c>
      <c r="F99" s="4">
        <v>3327.7</v>
      </c>
      <c r="G99" s="4">
        <v>1195.7</v>
      </c>
      <c r="H99" s="4">
        <v>4523</v>
      </c>
      <c r="I99">
        <v>0</v>
      </c>
      <c r="J99" s="4">
        <v>129783.3</v>
      </c>
      <c r="K99" s="4">
        <v>129783.3</v>
      </c>
    </row>
    <row r="100" spans="3:11" x14ac:dyDescent="0.25">
      <c r="C100">
        <v>18</v>
      </c>
      <c r="D100" t="s">
        <v>286</v>
      </c>
      <c r="E100" s="4">
        <v>129783</v>
      </c>
      <c r="F100" s="4">
        <v>3327.7</v>
      </c>
      <c r="G100" s="4">
        <v>1165.8</v>
      </c>
      <c r="H100" s="4">
        <v>4493</v>
      </c>
      <c r="I100">
        <v>0</v>
      </c>
      <c r="J100" s="4">
        <v>126455.52</v>
      </c>
      <c r="K100" s="4">
        <v>126455.52</v>
      </c>
    </row>
    <row r="101" spans="3:11" x14ac:dyDescent="0.25">
      <c r="C101">
        <v>19</v>
      </c>
      <c r="D101" t="s">
        <v>294</v>
      </c>
      <c r="E101" s="4">
        <v>126455</v>
      </c>
      <c r="F101" s="4">
        <v>3327.7</v>
      </c>
      <c r="G101" s="4">
        <v>1246</v>
      </c>
      <c r="H101" s="4">
        <v>4573</v>
      </c>
      <c r="I101">
        <v>0</v>
      </c>
      <c r="J101" s="4">
        <v>123127.74</v>
      </c>
      <c r="K101" s="4">
        <v>123127.74</v>
      </c>
    </row>
    <row r="102" spans="3:11" x14ac:dyDescent="0.25">
      <c r="C102">
        <v>20</v>
      </c>
      <c r="D102" t="s">
        <v>295</v>
      </c>
      <c r="E102" s="4">
        <v>123127</v>
      </c>
      <c r="F102" s="4">
        <v>3327.7</v>
      </c>
      <c r="G102" s="4">
        <v>1034.5</v>
      </c>
      <c r="H102" s="4">
        <v>4362</v>
      </c>
      <c r="I102">
        <v>0</v>
      </c>
      <c r="J102" s="4">
        <v>119799.96</v>
      </c>
      <c r="K102" s="4">
        <v>119799.96</v>
      </c>
    </row>
    <row r="103" spans="3:11" x14ac:dyDescent="0.25">
      <c r="C103">
        <v>21</v>
      </c>
      <c r="D103" t="s">
        <v>280</v>
      </c>
      <c r="E103" s="4">
        <v>119799</v>
      </c>
      <c r="F103" s="4">
        <v>3327.7</v>
      </c>
      <c r="G103" s="4">
        <v>1110.7</v>
      </c>
      <c r="H103" s="4">
        <v>4438</v>
      </c>
      <c r="I103">
        <v>0</v>
      </c>
      <c r="J103" s="4">
        <v>116472.18</v>
      </c>
      <c r="K103" s="4">
        <v>116472.18</v>
      </c>
    </row>
    <row r="104" spans="3:11" x14ac:dyDescent="0.25">
      <c r="C104">
        <v>23</v>
      </c>
      <c r="D104" t="s">
        <v>282</v>
      </c>
      <c r="E104" s="4">
        <v>113144</v>
      </c>
      <c r="F104" s="4">
        <v>3327.7</v>
      </c>
      <c r="G104" s="4">
        <v>1016.3</v>
      </c>
      <c r="H104" s="4">
        <v>4344</v>
      </c>
      <c r="I104">
        <v>0</v>
      </c>
      <c r="J104" s="4">
        <v>109816.62</v>
      </c>
      <c r="K104" s="4">
        <v>109816.62</v>
      </c>
    </row>
    <row r="105" spans="3:11" x14ac:dyDescent="0.25">
      <c r="C105">
        <v>24</v>
      </c>
      <c r="D105" t="s">
        <v>290</v>
      </c>
      <c r="E105" s="4">
        <v>109816</v>
      </c>
      <c r="F105" s="4">
        <v>3327.7</v>
      </c>
      <c r="G105" s="4">
        <v>1050.2</v>
      </c>
      <c r="H105" s="4">
        <v>4378</v>
      </c>
      <c r="I105">
        <v>0</v>
      </c>
      <c r="J105" s="4">
        <v>106488.84</v>
      </c>
      <c r="K105" s="4">
        <v>106488.84</v>
      </c>
    </row>
    <row r="106" spans="3:11" x14ac:dyDescent="0.25">
      <c r="C106">
        <v>25</v>
      </c>
      <c r="D106" t="s">
        <v>296</v>
      </c>
      <c r="E106" s="4">
        <v>106488</v>
      </c>
      <c r="F106" s="4">
        <v>3327.7</v>
      </c>
      <c r="G106" s="4">
        <v>1049.3</v>
      </c>
      <c r="H106" s="4">
        <v>4377</v>
      </c>
      <c r="I106">
        <v>0</v>
      </c>
      <c r="J106" s="4">
        <v>103161.06</v>
      </c>
      <c r="K106" s="4">
        <v>103161.06</v>
      </c>
    </row>
    <row r="107" spans="3:11" x14ac:dyDescent="0.25">
      <c r="C107">
        <v>26</v>
      </c>
      <c r="D107" t="s">
        <v>297</v>
      </c>
      <c r="E107" s="4">
        <v>103161</v>
      </c>
      <c r="F107" s="4">
        <v>3327.7</v>
      </c>
      <c r="G107">
        <v>926.7</v>
      </c>
      <c r="H107" s="4">
        <v>4254</v>
      </c>
      <c r="I107">
        <v>0</v>
      </c>
      <c r="J107" s="4">
        <v>99833.279999999999</v>
      </c>
      <c r="K107" s="4">
        <v>99833.279999999999</v>
      </c>
    </row>
    <row r="108" spans="3:11" x14ac:dyDescent="0.25">
      <c r="C108">
        <v>27</v>
      </c>
      <c r="D108" t="s">
        <v>283</v>
      </c>
      <c r="E108" s="4">
        <v>99833</v>
      </c>
      <c r="F108" s="4">
        <v>3327.7</v>
      </c>
      <c r="G108">
        <v>925.6</v>
      </c>
      <c r="H108" s="4">
        <v>4253</v>
      </c>
      <c r="I108">
        <v>0</v>
      </c>
      <c r="J108" s="4">
        <v>96505.5</v>
      </c>
      <c r="K108" s="4">
        <v>96505.5</v>
      </c>
    </row>
    <row r="109" spans="3:11" x14ac:dyDescent="0.25">
      <c r="C109">
        <v>28</v>
      </c>
      <c r="D109" t="s">
        <v>284</v>
      </c>
      <c r="E109" s="4">
        <v>96505</v>
      </c>
      <c r="F109" s="4">
        <v>3327.7</v>
      </c>
      <c r="G109">
        <v>894.8</v>
      </c>
      <c r="H109" s="4">
        <v>4222</v>
      </c>
      <c r="I109">
        <v>0</v>
      </c>
      <c r="J109" s="4">
        <v>93177.72</v>
      </c>
      <c r="K109" s="4">
        <v>93177.72</v>
      </c>
    </row>
    <row r="110" spans="3:11" x14ac:dyDescent="0.25">
      <c r="C110">
        <v>30</v>
      </c>
      <c r="D110" t="s">
        <v>286</v>
      </c>
      <c r="E110" s="4">
        <v>89849</v>
      </c>
      <c r="F110" s="4">
        <v>3327.7</v>
      </c>
      <c r="G110">
        <v>833</v>
      </c>
      <c r="H110" s="4">
        <v>4160</v>
      </c>
      <c r="I110">
        <v>0</v>
      </c>
      <c r="J110" s="4">
        <v>86522.16</v>
      </c>
      <c r="K110" s="4">
        <v>86522.16</v>
      </c>
    </row>
    <row r="111" spans="3:11" x14ac:dyDescent="0.25">
      <c r="C111">
        <v>31</v>
      </c>
      <c r="D111" t="s">
        <v>294</v>
      </c>
      <c r="E111" s="4">
        <v>86522</v>
      </c>
      <c r="F111" s="4">
        <v>3327.7</v>
      </c>
      <c r="G111">
        <v>802.2</v>
      </c>
      <c r="H111" s="4">
        <v>4130</v>
      </c>
      <c r="I111">
        <v>0</v>
      </c>
      <c r="J111" s="4">
        <v>83194.38</v>
      </c>
      <c r="K111" s="4">
        <v>83194.38</v>
      </c>
    </row>
    <row r="112" spans="3:11" x14ac:dyDescent="0.25">
      <c r="C112">
        <v>32</v>
      </c>
      <c r="D112" t="s">
        <v>288</v>
      </c>
      <c r="E112" s="4">
        <v>83194</v>
      </c>
      <c r="F112" s="4">
        <v>3327.7</v>
      </c>
      <c r="G112">
        <v>699</v>
      </c>
      <c r="H112" s="4">
        <v>4026</v>
      </c>
      <c r="I112">
        <v>0</v>
      </c>
      <c r="J112" s="4">
        <v>79866.600000000006</v>
      </c>
      <c r="K112" s="4">
        <v>79866.600000000006</v>
      </c>
    </row>
    <row r="113" spans="3:11" x14ac:dyDescent="0.25">
      <c r="C113">
        <v>33</v>
      </c>
      <c r="D113" t="s">
        <v>280</v>
      </c>
      <c r="E113" s="4">
        <v>79866</v>
      </c>
      <c r="F113" s="4">
        <v>3327.7</v>
      </c>
      <c r="G113">
        <v>763.8</v>
      </c>
      <c r="H113" s="4">
        <v>4091</v>
      </c>
      <c r="I113">
        <v>0</v>
      </c>
      <c r="J113" s="4">
        <v>76538.820000000007</v>
      </c>
      <c r="K113" s="4">
        <v>76538.820000000007</v>
      </c>
    </row>
    <row r="114" spans="3:11" x14ac:dyDescent="0.25">
      <c r="C114">
        <v>34</v>
      </c>
      <c r="D114" t="s">
        <v>298</v>
      </c>
      <c r="E114" s="4">
        <v>76538</v>
      </c>
      <c r="F114" s="4">
        <v>3327.7</v>
      </c>
      <c r="G114">
        <v>709.6</v>
      </c>
      <c r="H114" s="4">
        <v>4037</v>
      </c>
      <c r="I114">
        <v>0</v>
      </c>
      <c r="J114" s="4">
        <v>73211.039999999994</v>
      </c>
      <c r="K114" s="4">
        <v>73211.039999999994</v>
      </c>
    </row>
    <row r="115" spans="3:11" x14ac:dyDescent="0.25">
      <c r="C115">
        <v>35</v>
      </c>
      <c r="D115" t="s">
        <v>282</v>
      </c>
      <c r="E115" s="4">
        <v>73211</v>
      </c>
      <c r="F115" s="4">
        <v>3327.7</v>
      </c>
      <c r="G115">
        <v>657.6</v>
      </c>
      <c r="H115" s="4">
        <v>3985</v>
      </c>
      <c r="I115">
        <v>0</v>
      </c>
      <c r="J115" s="4">
        <v>69883.259999999995</v>
      </c>
      <c r="K115" s="4">
        <v>69883.259999999995</v>
      </c>
    </row>
    <row r="116" spans="3:11" x14ac:dyDescent="0.25">
      <c r="C116">
        <v>37</v>
      </c>
      <c r="D116" t="s">
        <v>299</v>
      </c>
      <c r="E116" s="4">
        <v>66555</v>
      </c>
      <c r="F116" s="4">
        <v>3327.7</v>
      </c>
      <c r="G116">
        <v>636.5</v>
      </c>
      <c r="H116" s="4">
        <v>3964</v>
      </c>
      <c r="I116">
        <v>0</v>
      </c>
      <c r="J116" s="4">
        <v>63227.7</v>
      </c>
      <c r="K116" s="4">
        <v>63227.7</v>
      </c>
    </row>
    <row r="117" spans="3:11" x14ac:dyDescent="0.25">
      <c r="C117">
        <v>38</v>
      </c>
      <c r="D117" t="s">
        <v>297</v>
      </c>
      <c r="E117" s="4">
        <v>63227</v>
      </c>
      <c r="F117" s="4">
        <v>3327.7</v>
      </c>
      <c r="G117">
        <v>586.20000000000005</v>
      </c>
      <c r="H117" s="4">
        <v>3914</v>
      </c>
      <c r="I117">
        <v>0</v>
      </c>
      <c r="J117" s="4">
        <v>59899.92</v>
      </c>
      <c r="K117" s="4">
        <v>59899.92</v>
      </c>
    </row>
    <row r="118" spans="3:11" x14ac:dyDescent="0.25">
      <c r="C118">
        <v>39</v>
      </c>
      <c r="D118" t="s">
        <v>283</v>
      </c>
      <c r="E118" s="4">
        <v>59899</v>
      </c>
      <c r="F118" s="4">
        <v>3327.7</v>
      </c>
      <c r="G118">
        <v>555.29999999999995</v>
      </c>
      <c r="H118" s="4">
        <v>3883</v>
      </c>
      <c r="I118">
        <v>0</v>
      </c>
      <c r="J118" s="4">
        <v>56572.14</v>
      </c>
      <c r="K118" s="4">
        <v>56572.14</v>
      </c>
    </row>
    <row r="119" spans="3:11" x14ac:dyDescent="0.25">
      <c r="C119">
        <v>40</v>
      </c>
      <c r="D119" t="s">
        <v>284</v>
      </c>
      <c r="E119" s="4">
        <v>56572</v>
      </c>
      <c r="F119" s="4">
        <v>3327.7</v>
      </c>
      <c r="G119">
        <v>508.1</v>
      </c>
      <c r="H119" s="4">
        <v>3835</v>
      </c>
      <c r="I119">
        <v>0</v>
      </c>
      <c r="J119" s="4">
        <v>53244.36</v>
      </c>
      <c r="K119" s="4">
        <v>53244.36</v>
      </c>
    </row>
    <row r="120" spans="3:11" x14ac:dyDescent="0.25">
      <c r="C120">
        <v>41</v>
      </c>
      <c r="D120" t="s">
        <v>300</v>
      </c>
      <c r="E120" s="4">
        <v>53244</v>
      </c>
      <c r="F120" s="4">
        <v>3327.7</v>
      </c>
      <c r="G120">
        <v>493.6</v>
      </c>
      <c r="H120" s="4">
        <v>3821</v>
      </c>
      <c r="I120">
        <v>0</v>
      </c>
      <c r="J120" s="4">
        <v>49916.58</v>
      </c>
      <c r="K120" s="4">
        <v>49916.58</v>
      </c>
    </row>
    <row r="121" spans="3:11" x14ac:dyDescent="0.25">
      <c r="C121">
        <v>43</v>
      </c>
      <c r="D121" t="s">
        <v>287</v>
      </c>
      <c r="E121" s="4">
        <v>46588</v>
      </c>
      <c r="F121" s="4">
        <v>3327.7</v>
      </c>
      <c r="G121">
        <v>431.9</v>
      </c>
      <c r="H121" s="4">
        <v>3759</v>
      </c>
      <c r="I121">
        <v>0</v>
      </c>
      <c r="J121" s="4">
        <v>43261.02</v>
      </c>
      <c r="K121" s="4">
        <v>43261.02</v>
      </c>
    </row>
    <row r="122" spans="3:11" x14ac:dyDescent="0.25">
      <c r="C122">
        <v>44</v>
      </c>
      <c r="D122" t="s">
        <v>288</v>
      </c>
      <c r="E122" s="4">
        <v>43261</v>
      </c>
      <c r="F122" s="4">
        <v>3327.7</v>
      </c>
      <c r="G122">
        <v>363.4</v>
      </c>
      <c r="H122" s="4">
        <v>3691</v>
      </c>
      <c r="I122">
        <v>0</v>
      </c>
      <c r="J122" s="4">
        <v>39933.24</v>
      </c>
      <c r="K122" s="4">
        <v>39933.24</v>
      </c>
    </row>
    <row r="123" spans="3:11" x14ac:dyDescent="0.25">
      <c r="C123">
        <v>45</v>
      </c>
      <c r="D123" t="s">
        <v>301</v>
      </c>
      <c r="E123" s="4">
        <v>39933</v>
      </c>
      <c r="F123" s="4">
        <v>3327.7</v>
      </c>
      <c r="G123">
        <v>393.5</v>
      </c>
      <c r="H123" s="4">
        <v>3721</v>
      </c>
      <c r="I123">
        <v>0</v>
      </c>
      <c r="J123" s="4">
        <v>36605.46</v>
      </c>
      <c r="K123" s="4">
        <v>36605.46</v>
      </c>
    </row>
    <row r="124" spans="3:11" x14ac:dyDescent="0.25">
      <c r="C124">
        <v>46</v>
      </c>
      <c r="D124" t="s">
        <v>302</v>
      </c>
      <c r="E124" s="4">
        <v>36605</v>
      </c>
      <c r="F124" s="4">
        <v>3327.7</v>
      </c>
      <c r="G124">
        <v>318.10000000000002</v>
      </c>
      <c r="H124" s="4">
        <v>3645</v>
      </c>
      <c r="I124">
        <v>0</v>
      </c>
      <c r="J124" s="4">
        <v>33277.68</v>
      </c>
      <c r="K124" s="4">
        <v>33277.68</v>
      </c>
    </row>
    <row r="125" spans="3:11" x14ac:dyDescent="0.25">
      <c r="C125">
        <v>47</v>
      </c>
      <c r="D125" t="s">
        <v>282</v>
      </c>
      <c r="E125" s="4">
        <v>33277</v>
      </c>
      <c r="F125" s="4">
        <v>3327.7</v>
      </c>
      <c r="G125">
        <v>318.2</v>
      </c>
      <c r="H125" s="4">
        <v>3646</v>
      </c>
      <c r="I125">
        <v>0</v>
      </c>
      <c r="J125" s="4">
        <v>29949.9</v>
      </c>
      <c r="K125" s="4">
        <v>29949.9</v>
      </c>
    </row>
    <row r="126" spans="3:11" x14ac:dyDescent="0.25">
      <c r="C126">
        <v>48</v>
      </c>
      <c r="D126" t="s">
        <v>290</v>
      </c>
      <c r="E126" s="4">
        <v>29949</v>
      </c>
      <c r="F126" s="4">
        <v>3327.7</v>
      </c>
      <c r="G126">
        <v>277.7</v>
      </c>
      <c r="H126" s="4">
        <v>3605</v>
      </c>
      <c r="I126">
        <v>0</v>
      </c>
      <c r="J126" s="4">
        <v>26622.12</v>
      </c>
      <c r="K126" s="4">
        <v>26622.12</v>
      </c>
    </row>
    <row r="127" spans="3:11" x14ac:dyDescent="0.25">
      <c r="C127">
        <v>50</v>
      </c>
      <c r="D127" t="s">
        <v>297</v>
      </c>
      <c r="E127" s="4">
        <v>23294</v>
      </c>
      <c r="F127" s="4">
        <v>3327.7</v>
      </c>
      <c r="G127">
        <v>222.7</v>
      </c>
      <c r="H127" s="4">
        <v>3550</v>
      </c>
      <c r="I127">
        <v>0</v>
      </c>
      <c r="J127" s="4">
        <v>19966.560000000001</v>
      </c>
      <c r="K127" s="4">
        <v>19966.560000000001</v>
      </c>
    </row>
    <row r="128" spans="3:11" x14ac:dyDescent="0.25">
      <c r="C128">
        <v>51</v>
      </c>
      <c r="D128" t="s">
        <v>303</v>
      </c>
      <c r="E128" s="4">
        <v>19966</v>
      </c>
      <c r="F128" s="4">
        <v>3327.7</v>
      </c>
      <c r="G128">
        <v>185.1</v>
      </c>
      <c r="H128" s="4">
        <v>3512</v>
      </c>
      <c r="I128">
        <v>0</v>
      </c>
      <c r="J128" s="4">
        <v>16638.78</v>
      </c>
      <c r="K128" s="4">
        <v>16638.78</v>
      </c>
    </row>
    <row r="129" spans="3:11" x14ac:dyDescent="0.25">
      <c r="C129">
        <v>52</v>
      </c>
      <c r="D129" t="s">
        <v>284</v>
      </c>
      <c r="E129" s="4">
        <v>16638</v>
      </c>
      <c r="F129" s="4">
        <v>3327.7</v>
      </c>
      <c r="G129">
        <v>149.4</v>
      </c>
      <c r="H129" s="4">
        <v>3477</v>
      </c>
      <c r="I129">
        <v>0</v>
      </c>
      <c r="J129" s="4">
        <v>13311</v>
      </c>
      <c r="K129" s="4">
        <v>13311</v>
      </c>
    </row>
    <row r="130" spans="3:11" x14ac:dyDescent="0.25">
      <c r="C130">
        <v>53</v>
      </c>
      <c r="D130" t="s">
        <v>300</v>
      </c>
      <c r="E130" s="4">
        <v>13311</v>
      </c>
      <c r="F130" s="4">
        <v>3327.7</v>
      </c>
      <c r="G130">
        <v>123.4</v>
      </c>
      <c r="H130" s="4">
        <v>3451</v>
      </c>
      <c r="I130">
        <v>0</v>
      </c>
      <c r="J130" s="4">
        <v>9983.2199999999993</v>
      </c>
      <c r="K130" s="4">
        <v>9983.2199999999993</v>
      </c>
    </row>
    <row r="131" spans="3:11" x14ac:dyDescent="0.25">
      <c r="C131">
        <v>54</v>
      </c>
      <c r="D131" t="s">
        <v>304</v>
      </c>
      <c r="E131" s="4">
        <v>9983</v>
      </c>
      <c r="F131" s="4">
        <v>3327.7</v>
      </c>
      <c r="G131">
        <v>95.4</v>
      </c>
      <c r="H131" s="4">
        <v>3423</v>
      </c>
      <c r="I131">
        <v>0</v>
      </c>
      <c r="J131" s="4">
        <v>6655.44</v>
      </c>
      <c r="K131" s="4">
        <v>6655.44</v>
      </c>
    </row>
    <row r="132" spans="3:11" x14ac:dyDescent="0.25">
      <c r="C132">
        <v>55</v>
      </c>
      <c r="D132" t="s">
        <v>287</v>
      </c>
      <c r="E132" s="4">
        <v>6655</v>
      </c>
      <c r="F132" s="4">
        <v>3327.7</v>
      </c>
      <c r="G132">
        <v>63.6</v>
      </c>
      <c r="H132" s="4">
        <v>3391</v>
      </c>
      <c r="I132">
        <v>0</v>
      </c>
      <c r="J132" s="4">
        <v>3327.66</v>
      </c>
      <c r="K132" s="4">
        <v>3327.66</v>
      </c>
    </row>
  </sheetData>
  <mergeCells count="1">
    <mergeCell ref="G10:I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Cashflow</vt:lpstr>
      <vt:lpstr>Financ </vt:lpstr>
      <vt:lpstr>Receita</vt:lpstr>
      <vt:lpstr>Tributos</vt:lpstr>
      <vt:lpstr>Seguros-Rastreamento</vt:lpstr>
      <vt:lpstr>Manutenção</vt:lpstr>
      <vt:lpstr>Licenciamento</vt:lpstr>
      <vt:lpstr>Sheet1</vt:lpstr>
    </vt:vector>
  </TitlesOfParts>
  <Manager/>
  <Company>VSI Transportes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Augusto Roso Pelosini</dc:creator>
  <cp:keywords/>
  <dc:description/>
  <cp:lastModifiedBy>Samuel Fernandes</cp:lastModifiedBy>
  <cp:revision/>
  <dcterms:created xsi:type="dcterms:W3CDTF">2014-07-29T11:47:19Z</dcterms:created>
  <dcterms:modified xsi:type="dcterms:W3CDTF">2026-07-17T01:00:04Z</dcterms:modified>
  <cp:category/>
  <cp:contentStatus/>
</cp:coreProperties>
</file>