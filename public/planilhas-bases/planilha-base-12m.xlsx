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istrador\Downloads\planilhas bases\"/>
    </mc:Choice>
  </mc:AlternateContent>
  <xr:revisionPtr revIDLastSave="0" documentId="13_ncr:1_{9D4E996F-189F-42DF-B559-15128985ACC2}" xr6:coauthVersionLast="47" xr6:coauthVersionMax="47" xr10:uidLastSave="{00000000-0000-0000-0000-000000000000}"/>
  <bookViews>
    <workbookView xWindow="11568" yWindow="12984" windowWidth="23256" windowHeight="12456" tabRatio="806" firstSheet="1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1" i="14" l="1"/>
  <c r="E41" i="14"/>
  <c r="F41" i="14"/>
  <c r="G41" i="14"/>
  <c r="H41" i="14"/>
  <c r="I41" i="14"/>
  <c r="J41" i="14"/>
  <c r="K41" i="14"/>
  <c r="L41" i="14"/>
  <c r="M41" i="14"/>
  <c r="N41" i="14"/>
  <c r="C41" i="14"/>
  <c r="C32" i="2"/>
  <c r="C40" i="2" s="1"/>
  <c r="T15" i="42"/>
  <c r="I7" i="42"/>
  <c r="K28" i="42"/>
  <c r="V28" i="42" s="1"/>
  <c r="V51" i="42" s="1"/>
  <c r="AC88" i="14"/>
  <c r="I8" i="42"/>
  <c r="J8" i="42"/>
  <c r="K8" i="42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W8" i="42" s="1"/>
  <c r="X8" i="42" s="1"/>
  <c r="J7" i="42"/>
  <c r="K7" i="42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W7" i="42" s="1"/>
  <c r="X7" i="42" s="1"/>
  <c r="C88" i="14"/>
  <c r="I11" i="42" s="1"/>
  <c r="D88" i="14"/>
  <c r="J11" i="42" s="1"/>
  <c r="E88" i="14"/>
  <c r="K11" i="42" s="1"/>
  <c r="F88" i="14"/>
  <c r="L11" i="42" s="1"/>
  <c r="G88" i="14"/>
  <c r="M11" i="42" s="1"/>
  <c r="V88" i="14"/>
  <c r="E9" i="43"/>
  <c r="E11" i="43" s="1"/>
  <c r="K15" i="42"/>
  <c r="E4" i="7"/>
  <c r="T16" i="42" s="1"/>
  <c r="K16" i="42"/>
  <c r="G12" i="7"/>
  <c r="K17" i="42" s="1"/>
  <c r="B32" i="8"/>
  <c r="D36" i="8"/>
  <c r="L15" i="42"/>
  <c r="L16" i="42"/>
  <c r="L17" i="42"/>
  <c r="M15" i="42"/>
  <c r="M16" i="42"/>
  <c r="M17" i="42"/>
  <c r="M18" i="42"/>
  <c r="N15" i="42"/>
  <c r="N16" i="42"/>
  <c r="N17" i="42"/>
  <c r="H55" i="14"/>
  <c r="H88" i="14" s="1"/>
  <c r="N11" i="42" s="1"/>
  <c r="O15" i="42"/>
  <c r="O16" i="42"/>
  <c r="O17" i="42"/>
  <c r="I55" i="14"/>
  <c r="I88" i="14" s="1"/>
  <c r="O11" i="42" s="1"/>
  <c r="P42" i="42"/>
  <c r="P15" i="42"/>
  <c r="P16" i="42"/>
  <c r="J55" i="14"/>
  <c r="J88" i="14" s="1"/>
  <c r="P11" i="42" s="1"/>
  <c r="Q42" i="42"/>
  <c r="Q15" i="42"/>
  <c r="Q16" i="42"/>
  <c r="K55" i="14"/>
  <c r="K88" i="14" s="1"/>
  <c r="Q11" i="42" s="1"/>
  <c r="R42" i="42"/>
  <c r="R15" i="42"/>
  <c r="R16" i="42"/>
  <c r="L55" i="14"/>
  <c r="L88" i="14" s="1"/>
  <c r="R11" i="42" s="1"/>
  <c r="S15" i="42"/>
  <c r="S16" i="42"/>
  <c r="M55" i="14"/>
  <c r="M88" i="14" s="1"/>
  <c r="S11" i="42" s="1"/>
  <c r="N55" i="14"/>
  <c r="N88" i="14" s="1"/>
  <c r="T11" i="42" s="1"/>
  <c r="U42" i="42"/>
  <c r="U15" i="42"/>
  <c r="U16" i="42"/>
  <c r="U18" i="42"/>
  <c r="O55" i="14"/>
  <c r="O88" i="14" s="1"/>
  <c r="P55" i="14"/>
  <c r="P88" i="14" s="1"/>
  <c r="E5" i="7"/>
  <c r="E13" i="7"/>
  <c r="G13" i="7" s="1"/>
  <c r="F36" i="8"/>
  <c r="Q55" i="14"/>
  <c r="Q88" i="14" s="1"/>
  <c r="R55" i="14"/>
  <c r="R88" i="14" s="1"/>
  <c r="S55" i="14"/>
  <c r="S88" i="14" s="1"/>
  <c r="T55" i="14"/>
  <c r="T88" i="14" s="1"/>
  <c r="U55" i="14"/>
  <c r="U88" i="14" s="1"/>
  <c r="V55" i="14"/>
  <c r="W55" i="14"/>
  <c r="W88" i="14" s="1"/>
  <c r="X55" i="14"/>
  <c r="X88" i="14" s="1"/>
  <c r="Y55" i="14"/>
  <c r="Y88" i="14" s="1"/>
  <c r="Z55" i="14"/>
  <c r="Z88" i="14" s="1"/>
  <c r="AA55" i="14"/>
  <c r="AA88" i="14" s="1"/>
  <c r="E14" i="7"/>
  <c r="G14" i="7"/>
  <c r="AB55" i="14"/>
  <c r="AB88" i="14" s="1"/>
  <c r="H36" i="8"/>
  <c r="AC55" i="14"/>
  <c r="AD55" i="14"/>
  <c r="AD88" i="14" s="1"/>
  <c r="AE55" i="14"/>
  <c r="AE88" i="14" s="1"/>
  <c r="AF55" i="14"/>
  <c r="AF88" i="14" s="1"/>
  <c r="AG55" i="14"/>
  <c r="AG88" i="14"/>
  <c r="AH55" i="14"/>
  <c r="AH88" i="14" s="1"/>
  <c r="AI55" i="14"/>
  <c r="AI88" i="14"/>
  <c r="AJ55" i="14"/>
  <c r="AJ88" i="14"/>
  <c r="AK55" i="14"/>
  <c r="AK88" i="14" s="1"/>
  <c r="AL55" i="14"/>
  <c r="AL88" i="14" s="1"/>
  <c r="AM55" i="14"/>
  <c r="AM88" i="14"/>
  <c r="AN55" i="14"/>
  <c r="AN88" i="14" s="1"/>
  <c r="AO55" i="14"/>
  <c r="AO88" i="14"/>
  <c r="AR55" i="14"/>
  <c r="AR88" i="14" s="1"/>
  <c r="AS55" i="14"/>
  <c r="AT55" i="14"/>
  <c r="AU55" i="14"/>
  <c r="AV55" i="14"/>
  <c r="AW55" i="14"/>
  <c r="AX55" i="14"/>
  <c r="AX88" i="14" s="1"/>
  <c r="AY55" i="14"/>
  <c r="AY88" i="14" s="1"/>
  <c r="AZ55" i="14"/>
  <c r="AZ88" i="14" s="1"/>
  <c r="BA55" i="14"/>
  <c r="BB55" i="14"/>
  <c r="BC55" i="14"/>
  <c r="BD55" i="14"/>
  <c r="BD88" i="14" s="1"/>
  <c r="BE55" i="14"/>
  <c r="BE88" i="14" s="1"/>
  <c r="BF55" i="14"/>
  <c r="BF88" i="14" s="1"/>
  <c r="BG55" i="14"/>
  <c r="BG88" i="14" s="1"/>
  <c r="BH55" i="14"/>
  <c r="BH88" i="14" s="1"/>
  <c r="BI55" i="14"/>
  <c r="BJ55" i="14"/>
  <c r="BK55" i="14"/>
  <c r="BL55" i="14"/>
  <c r="BL88" i="14" s="1"/>
  <c r="AQ55" i="14"/>
  <c r="AQ88" i="14" s="1"/>
  <c r="AS88" i="14"/>
  <c r="AT88" i="14"/>
  <c r="AU88" i="14"/>
  <c r="AV88" i="14"/>
  <c r="AW88" i="14"/>
  <c r="BA88" i="14"/>
  <c r="BB88" i="14"/>
  <c r="BC88" i="14"/>
  <c r="BI88" i="14"/>
  <c r="BJ88" i="14"/>
  <c r="BK88" i="14"/>
  <c r="V15" i="42"/>
  <c r="V16" i="42"/>
  <c r="J36" i="8"/>
  <c r="V18" i="42" s="1"/>
  <c r="C39" i="2"/>
  <c r="X15" i="42"/>
  <c r="X13" i="42"/>
  <c r="X45" i="42"/>
  <c r="X50" i="42"/>
  <c r="X51" i="42"/>
  <c r="H13" i="42"/>
  <c r="B28" i="14"/>
  <c r="B51" i="14" s="1"/>
  <c r="B78" i="14"/>
  <c r="H50" i="42"/>
  <c r="H51" i="42"/>
  <c r="H54" i="42"/>
  <c r="I50" i="42"/>
  <c r="I51" i="42"/>
  <c r="I54" i="42"/>
  <c r="J15" i="42"/>
  <c r="J17" i="42"/>
  <c r="J50" i="42"/>
  <c r="J51" i="42"/>
  <c r="J54" i="42"/>
  <c r="W15" i="42"/>
  <c r="W13" i="42" s="1"/>
  <c r="BM55" i="14"/>
  <c r="BM88" i="14" s="1"/>
  <c r="W45" i="42"/>
  <c r="W50" i="42"/>
  <c r="W51" i="42"/>
  <c r="W54" i="42"/>
  <c r="H70" i="42"/>
  <c r="G8" i="2"/>
  <c r="I13" i="43"/>
  <c r="I17" i="43"/>
  <c r="I18" i="43" s="1"/>
  <c r="I19" i="43" s="1"/>
  <c r="H20" i="43"/>
  <c r="I78" i="42"/>
  <c r="J78" i="42" s="1"/>
  <c r="J79" i="42" s="1"/>
  <c r="J80" i="42"/>
  <c r="H79" i="42"/>
  <c r="J71" i="42"/>
  <c r="J69" i="42"/>
  <c r="B39" i="14"/>
  <c r="C39" i="14" s="1"/>
  <c r="D39" i="14" s="1"/>
  <c r="E39" i="14" s="1"/>
  <c r="F39" i="14"/>
  <c r="G39" i="14" s="1"/>
  <c r="H39" i="14" s="1"/>
  <c r="I39" i="14" s="1"/>
  <c r="J39" i="14" s="1"/>
  <c r="K39" i="14" s="1"/>
  <c r="L39" i="14" s="1"/>
  <c r="M39" i="14" s="1"/>
  <c r="N39" i="14" s="1"/>
  <c r="O39" i="14" s="1"/>
  <c r="P39" i="14" s="1"/>
  <c r="Q39" i="14" s="1"/>
  <c r="R39" i="14" s="1"/>
  <c r="S39" i="14" s="1"/>
  <c r="T39" i="14" s="1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AK39" i="14" s="1"/>
  <c r="AL39" i="14" s="1"/>
  <c r="AM39" i="14" s="1"/>
  <c r="AN39" i="14" s="1"/>
  <c r="AO39" i="14" s="1"/>
  <c r="AP39" i="14" s="1"/>
  <c r="AQ39" i="14" s="1"/>
  <c r="AR39" i="14" s="1"/>
  <c r="AS39" i="14" s="1"/>
  <c r="AT39" i="14" s="1"/>
  <c r="AU39" i="14" s="1"/>
  <c r="AV39" i="14" s="1"/>
  <c r="AW39" i="14" s="1"/>
  <c r="AX39" i="14" s="1"/>
  <c r="AY39" i="14" s="1"/>
  <c r="AZ39" i="14" s="1"/>
  <c r="BA39" i="14" s="1"/>
  <c r="BB39" i="14" s="1"/>
  <c r="BC39" i="14" s="1"/>
  <c r="BD39" i="14" s="1"/>
  <c r="BE39" i="14" s="1"/>
  <c r="BF39" i="14" s="1"/>
  <c r="BG39" i="14" s="1"/>
  <c r="BH39" i="14" s="1"/>
  <c r="BI39" i="14" s="1"/>
  <c r="BJ39" i="14" s="1"/>
  <c r="BK39" i="14" s="1"/>
  <c r="B40" i="14"/>
  <c r="C40" i="14"/>
  <c r="D40" i="14" s="1"/>
  <c r="E40" i="14" s="1"/>
  <c r="F40" i="14" s="1"/>
  <c r="G40" i="14" s="1"/>
  <c r="H40" i="14" s="1"/>
  <c r="I40" i="14"/>
  <c r="J40" i="14" s="1"/>
  <c r="K40" i="14" s="1"/>
  <c r="L40" i="14" s="1"/>
  <c r="M40" i="14" s="1"/>
  <c r="N40" i="14" s="1"/>
  <c r="O40" i="14" s="1"/>
  <c r="P40" i="14" s="1"/>
  <c r="Q40" i="14" s="1"/>
  <c r="R40" i="14" s="1"/>
  <c r="S40" i="14" s="1"/>
  <c r="T40" i="14" s="1"/>
  <c r="U40" i="14" s="1"/>
  <c r="V40" i="14" s="1"/>
  <c r="W40" i="14" s="1"/>
  <c r="X40" i="14" s="1"/>
  <c r="Y40" i="14" s="1"/>
  <c r="Z40" i="14" s="1"/>
  <c r="AA40" i="14" s="1"/>
  <c r="AB40" i="14" s="1"/>
  <c r="AC40" i="14" s="1"/>
  <c r="AD40" i="14" s="1"/>
  <c r="AE40" i="14" s="1"/>
  <c r="AF40" i="14" s="1"/>
  <c r="AG40" i="14" s="1"/>
  <c r="AH40" i="14" s="1"/>
  <c r="AI40" i="14"/>
  <c r="AJ40" i="14" s="1"/>
  <c r="AK40" i="14" s="1"/>
  <c r="AL40" i="14" s="1"/>
  <c r="AM40" i="14" s="1"/>
  <c r="AN40" i="14" s="1"/>
  <c r="AO40" i="14" s="1"/>
  <c r="AP40" i="14" s="1"/>
  <c r="AQ40" i="14" s="1"/>
  <c r="AR40" i="14" s="1"/>
  <c r="AS40" i="14" s="1"/>
  <c r="AT40" i="14" s="1"/>
  <c r="AU40" i="14" s="1"/>
  <c r="AV40" i="14" s="1"/>
  <c r="AW40" i="14" s="1"/>
  <c r="AX40" i="14" s="1"/>
  <c r="AY40" i="14" s="1"/>
  <c r="AZ40" i="14" s="1"/>
  <c r="BA40" i="14" s="1"/>
  <c r="BB40" i="14" s="1"/>
  <c r="BC40" i="14" s="1"/>
  <c r="BD40" i="14" s="1"/>
  <c r="BE40" i="14" s="1"/>
  <c r="BF40" i="14" s="1"/>
  <c r="BG40" i="14" s="1"/>
  <c r="BH40" i="14" s="1"/>
  <c r="BI40" i="14" s="1"/>
  <c r="BJ40" i="14" s="1"/>
  <c r="BK40" i="14" s="1"/>
  <c r="B5" i="6"/>
  <c r="K9" i="42"/>
  <c r="L9" i="42"/>
  <c r="M9" i="42"/>
  <c r="N9" i="42" s="1"/>
  <c r="O9" i="42" s="1"/>
  <c r="P9" i="42" s="1"/>
  <c r="Q9" i="42" s="1"/>
  <c r="R9" i="42" s="1"/>
  <c r="S9" i="42" s="1"/>
  <c r="T9" i="42" s="1"/>
  <c r="U9" i="42" s="1"/>
  <c r="G10" i="2"/>
  <c r="B46" i="14"/>
  <c r="C46" i="14" s="1"/>
  <c r="D46" i="14" s="1"/>
  <c r="E46" i="14"/>
  <c r="F46" i="14" s="1"/>
  <c r="G46" i="14" s="1"/>
  <c r="H46" i="14" s="1"/>
  <c r="I46" i="14" s="1"/>
  <c r="J46" i="14" s="1"/>
  <c r="K46" i="14" s="1"/>
  <c r="L46" i="14" s="1"/>
  <c r="M46" i="14" s="1"/>
  <c r="N46" i="14" s="1"/>
  <c r="O46" i="14" s="1"/>
  <c r="P46" i="14" s="1"/>
  <c r="Q46" i="14" s="1"/>
  <c r="R46" i="14" s="1"/>
  <c r="S46" i="14" s="1"/>
  <c r="T46" i="14" s="1"/>
  <c r="U46" i="14" s="1"/>
  <c r="V46" i="14" s="1"/>
  <c r="W46" i="14" s="1"/>
  <c r="X46" i="14" s="1"/>
  <c r="Y46" i="14" s="1"/>
  <c r="Z46" i="14" s="1"/>
  <c r="AA46" i="14" s="1"/>
  <c r="AB46" i="14" s="1"/>
  <c r="AC46" i="14" s="1"/>
  <c r="AD46" i="14" s="1"/>
  <c r="AE46" i="14" s="1"/>
  <c r="AF46" i="14" s="1"/>
  <c r="AG46" i="14" s="1"/>
  <c r="AH46" i="14" s="1"/>
  <c r="AI46" i="14" s="1"/>
  <c r="AJ46" i="14" s="1"/>
  <c r="AK46" i="14" s="1"/>
  <c r="AL46" i="14" s="1"/>
  <c r="AM46" i="14" s="1"/>
  <c r="AN46" i="14" s="1"/>
  <c r="AO46" i="14" s="1"/>
  <c r="AP46" i="14" s="1"/>
  <c r="AQ46" i="14" s="1"/>
  <c r="AR46" i="14" s="1"/>
  <c r="AS46" i="14" s="1"/>
  <c r="AT46" i="14" s="1"/>
  <c r="AU46" i="14" s="1"/>
  <c r="AV46" i="14" s="1"/>
  <c r="AW46" i="14" s="1"/>
  <c r="AX46" i="14" s="1"/>
  <c r="AY46" i="14" s="1"/>
  <c r="AZ46" i="14" s="1"/>
  <c r="BA46" i="14" s="1"/>
  <c r="BB46" i="14" s="1"/>
  <c r="BC46" i="14" s="1"/>
  <c r="BD46" i="14" s="1"/>
  <c r="BE46" i="14" s="1"/>
  <c r="BF46" i="14" s="1"/>
  <c r="BG46" i="14" s="1"/>
  <c r="BH46" i="14" s="1"/>
  <c r="BI46" i="14" s="1"/>
  <c r="BJ46" i="14" s="1"/>
  <c r="BK46" i="14" s="1"/>
  <c r="BL46" i="14" s="1"/>
  <c r="BM46" i="14" s="1"/>
  <c r="B47" i="14"/>
  <c r="C47" i="14" s="1"/>
  <c r="D47" i="14" s="1"/>
  <c r="E47" i="14"/>
  <c r="F47" i="14" s="1"/>
  <c r="G47" i="14" s="1"/>
  <c r="H47" i="14" s="1"/>
  <c r="I47" i="14" s="1"/>
  <c r="J47" i="14" s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A47" i="14" s="1"/>
  <c r="AB47" i="14" s="1"/>
  <c r="AC47" i="14" s="1"/>
  <c r="AD47" i="14" s="1"/>
  <c r="AE47" i="14" s="1"/>
  <c r="AF47" i="14" s="1"/>
  <c r="AG47" i="14" s="1"/>
  <c r="AH47" i="14" s="1"/>
  <c r="AI47" i="14" s="1"/>
  <c r="AJ47" i="14" s="1"/>
  <c r="AK47" i="14" s="1"/>
  <c r="AL47" i="14" s="1"/>
  <c r="AM47" i="14" s="1"/>
  <c r="AN47" i="14" s="1"/>
  <c r="AO47" i="14" s="1"/>
  <c r="AP47" i="14" s="1"/>
  <c r="AQ47" i="14" s="1"/>
  <c r="AR47" i="14" s="1"/>
  <c r="AS47" i="14" s="1"/>
  <c r="AT47" i="14" s="1"/>
  <c r="AU47" i="14" s="1"/>
  <c r="AV47" i="14" s="1"/>
  <c r="AW47" i="14" s="1"/>
  <c r="AX47" i="14" s="1"/>
  <c r="AY47" i="14" s="1"/>
  <c r="AZ47" i="14" s="1"/>
  <c r="BA47" i="14" s="1"/>
  <c r="BB47" i="14" s="1"/>
  <c r="BC47" i="14" s="1"/>
  <c r="BD47" i="14" s="1"/>
  <c r="BE47" i="14" s="1"/>
  <c r="BF47" i="14" s="1"/>
  <c r="BG47" i="14" s="1"/>
  <c r="BH47" i="14" s="1"/>
  <c r="BI47" i="14" s="1"/>
  <c r="BJ47" i="14" s="1"/>
  <c r="BK47" i="14" s="1"/>
  <c r="BL47" i="14" s="1"/>
  <c r="BM47" i="14" s="1"/>
  <c r="B53" i="14"/>
  <c r="C53" i="14"/>
  <c r="D53" i="14" s="1"/>
  <c r="E53" i="14"/>
  <c r="F53" i="14" s="1"/>
  <c r="G53" i="14" s="1"/>
  <c r="H53" i="14" s="1"/>
  <c r="I53" i="14" s="1"/>
  <c r="J53" i="14" s="1"/>
  <c r="K53" i="14" s="1"/>
  <c r="L53" i="14" s="1"/>
  <c r="M53" i="14" s="1"/>
  <c r="N53" i="14" s="1"/>
  <c r="O53" i="14" s="1"/>
  <c r="P53" i="14" s="1"/>
  <c r="Q53" i="14" s="1"/>
  <c r="R53" i="14" s="1"/>
  <c r="S53" i="14" s="1"/>
  <c r="T53" i="14" s="1"/>
  <c r="U53" i="14" s="1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AF53" i="14" s="1"/>
  <c r="AG53" i="14" s="1"/>
  <c r="AH53" i="14" s="1"/>
  <c r="AI53" i="14" s="1"/>
  <c r="AJ53" i="14" s="1"/>
  <c r="AK53" i="14" s="1"/>
  <c r="AL53" i="14" s="1"/>
  <c r="AM53" i="14" s="1"/>
  <c r="AN53" i="14" s="1"/>
  <c r="AO53" i="14" s="1"/>
  <c r="AP53" i="14" s="1"/>
  <c r="AQ53" i="14" s="1"/>
  <c r="AR53" i="14" s="1"/>
  <c r="AS53" i="14" s="1"/>
  <c r="AT53" i="14" s="1"/>
  <c r="AU53" i="14" s="1"/>
  <c r="AV53" i="14" s="1"/>
  <c r="AW53" i="14" s="1"/>
  <c r="AX53" i="14" s="1"/>
  <c r="AY53" i="14" s="1"/>
  <c r="AZ53" i="14" s="1"/>
  <c r="BA53" i="14" s="1"/>
  <c r="BB53" i="14" s="1"/>
  <c r="BC53" i="14" s="1"/>
  <c r="BD53" i="14" s="1"/>
  <c r="BE53" i="14" s="1"/>
  <c r="BF53" i="14" s="1"/>
  <c r="BG53" i="14" s="1"/>
  <c r="BH53" i="14" s="1"/>
  <c r="BI53" i="14" s="1"/>
  <c r="BJ53" i="14" s="1"/>
  <c r="BK53" i="14" s="1"/>
  <c r="BL53" i="14" s="1"/>
  <c r="BM53" i="14" s="1"/>
  <c r="B54" i="14"/>
  <c r="C54" i="14"/>
  <c r="D54" i="14" s="1"/>
  <c r="E54" i="14" s="1"/>
  <c r="F54" i="14" s="1"/>
  <c r="G54" i="14" s="1"/>
  <c r="H54" i="14" s="1"/>
  <c r="I54" i="14" s="1"/>
  <c r="J54" i="14" s="1"/>
  <c r="K54" i="14" s="1"/>
  <c r="L54" i="14" s="1"/>
  <c r="M54" i="14" s="1"/>
  <c r="N54" i="14" s="1"/>
  <c r="O54" i="14" s="1"/>
  <c r="P54" i="14" s="1"/>
  <c r="Q54" i="14" s="1"/>
  <c r="R54" i="14" s="1"/>
  <c r="S54" i="14" s="1"/>
  <c r="T54" i="14" s="1"/>
  <c r="U54" i="14" s="1"/>
  <c r="V54" i="14" s="1"/>
  <c r="W54" i="14" s="1"/>
  <c r="X54" i="14" s="1"/>
  <c r="Y54" i="14" s="1"/>
  <c r="Z54" i="14" s="1"/>
  <c r="AA54" i="14" s="1"/>
  <c r="AB54" i="14" s="1"/>
  <c r="AC54" i="14" s="1"/>
  <c r="AD54" i="14" s="1"/>
  <c r="AE54" i="14" s="1"/>
  <c r="AF54" i="14" s="1"/>
  <c r="AG54" i="14" s="1"/>
  <c r="AH54" i="14" s="1"/>
  <c r="AI54" i="14" s="1"/>
  <c r="AJ54" i="14" s="1"/>
  <c r="AK54" i="14" s="1"/>
  <c r="AL54" i="14" s="1"/>
  <c r="AM54" i="14" s="1"/>
  <c r="AN54" i="14" s="1"/>
  <c r="AO54" i="14" s="1"/>
  <c r="AP54" i="14" s="1"/>
  <c r="AQ54" i="14" s="1"/>
  <c r="AR54" i="14" s="1"/>
  <c r="AS54" i="14" s="1"/>
  <c r="AT54" i="14" s="1"/>
  <c r="AU54" i="14" s="1"/>
  <c r="AV54" i="14" s="1"/>
  <c r="AW54" i="14" s="1"/>
  <c r="AX54" i="14" s="1"/>
  <c r="AY54" i="14" s="1"/>
  <c r="AZ54" i="14" s="1"/>
  <c r="BA54" i="14" s="1"/>
  <c r="BB54" i="14" s="1"/>
  <c r="BC54" i="14" s="1"/>
  <c r="BD54" i="14" s="1"/>
  <c r="BE54" i="14" s="1"/>
  <c r="BF54" i="14" s="1"/>
  <c r="BG54" i="14" s="1"/>
  <c r="BH54" i="14" s="1"/>
  <c r="BI54" i="14" s="1"/>
  <c r="BJ54" i="14" s="1"/>
  <c r="BK54" i="14" s="1"/>
  <c r="BL54" i="14" s="1"/>
  <c r="BM54" i="14" s="1"/>
  <c r="C60" i="14"/>
  <c r="D60" i="14" s="1"/>
  <c r="E60" i="14" s="1"/>
  <c r="F60" i="14" s="1"/>
  <c r="G60" i="14" s="1"/>
  <c r="H60" i="14"/>
  <c r="I60" i="14" s="1"/>
  <c r="J60" i="14" s="1"/>
  <c r="K60" i="14" s="1"/>
  <c r="L60" i="14" s="1"/>
  <c r="M60" i="14" s="1"/>
  <c r="N60" i="14" s="1"/>
  <c r="O60" i="14" s="1"/>
  <c r="P60" i="14" s="1"/>
  <c r="Q60" i="14" s="1"/>
  <c r="R60" i="14" s="1"/>
  <c r="S60" i="14" s="1"/>
  <c r="T60" i="14" s="1"/>
  <c r="U60" i="14" s="1"/>
  <c r="V60" i="14" s="1"/>
  <c r="W60" i="14" s="1"/>
  <c r="X60" i="14" s="1"/>
  <c r="Y60" i="14" s="1"/>
  <c r="Z60" i="14" s="1"/>
  <c r="AA60" i="14" s="1"/>
  <c r="AB60" i="14" s="1"/>
  <c r="AC60" i="14" s="1"/>
  <c r="AD60" i="14" s="1"/>
  <c r="AE60" i="14" s="1"/>
  <c r="AF60" i="14" s="1"/>
  <c r="AG60" i="14" s="1"/>
  <c r="AH60" i="14" s="1"/>
  <c r="AI60" i="14" s="1"/>
  <c r="AJ60" i="14" s="1"/>
  <c r="AK60" i="14" s="1"/>
  <c r="AL60" i="14" s="1"/>
  <c r="AM60" i="14" s="1"/>
  <c r="AN60" i="14" s="1"/>
  <c r="AO60" i="14" s="1"/>
  <c r="AP60" i="14" s="1"/>
  <c r="AQ60" i="14" s="1"/>
  <c r="AR60" i="14" s="1"/>
  <c r="AS60" i="14" s="1"/>
  <c r="AT60" i="14" s="1"/>
  <c r="AU60" i="14" s="1"/>
  <c r="AV60" i="14" s="1"/>
  <c r="AW60" i="14" s="1"/>
  <c r="AX60" i="14" s="1"/>
  <c r="AY60" i="14" s="1"/>
  <c r="AZ60" i="14" s="1"/>
  <c r="BA60" i="14" s="1"/>
  <c r="BB60" i="14" s="1"/>
  <c r="BC60" i="14" s="1"/>
  <c r="BD60" i="14" s="1"/>
  <c r="BE60" i="14" s="1"/>
  <c r="BF60" i="14" s="1"/>
  <c r="BG60" i="14" s="1"/>
  <c r="BH60" i="14" s="1"/>
  <c r="BI60" i="14" s="1"/>
  <c r="BJ60" i="14" s="1"/>
  <c r="BK60" i="14" s="1"/>
  <c r="BL60" i="14" s="1"/>
  <c r="BM60" i="14" s="1"/>
  <c r="C61" i="14"/>
  <c r="D61" i="14" s="1"/>
  <c r="E61" i="14" s="1"/>
  <c r="F61" i="14" s="1"/>
  <c r="G61" i="14" s="1"/>
  <c r="H61" i="14" s="1"/>
  <c r="I61" i="14" s="1"/>
  <c r="J61" i="14" s="1"/>
  <c r="K61" i="14" s="1"/>
  <c r="L61" i="14" s="1"/>
  <c r="M61" i="14" s="1"/>
  <c r="N61" i="14" s="1"/>
  <c r="O61" i="14" s="1"/>
  <c r="P61" i="14" s="1"/>
  <c r="Q61" i="14" s="1"/>
  <c r="R61" i="14" s="1"/>
  <c r="S61" i="14" s="1"/>
  <c r="T61" i="14" s="1"/>
  <c r="U61" i="14" s="1"/>
  <c r="V61" i="14" s="1"/>
  <c r="W61" i="14" s="1"/>
  <c r="X61" i="14" s="1"/>
  <c r="Y61" i="14" s="1"/>
  <c r="Z61" i="14" s="1"/>
  <c r="AA61" i="14" s="1"/>
  <c r="AB61" i="14" s="1"/>
  <c r="AC61" i="14" s="1"/>
  <c r="AD61" i="14" s="1"/>
  <c r="AE61" i="14" s="1"/>
  <c r="AF61" i="14" s="1"/>
  <c r="AG61" i="14" s="1"/>
  <c r="AH61" i="14" s="1"/>
  <c r="AI61" i="14" s="1"/>
  <c r="AJ61" i="14" s="1"/>
  <c r="AK61" i="14" s="1"/>
  <c r="AL61" i="14" s="1"/>
  <c r="AM61" i="14" s="1"/>
  <c r="AN61" i="14" s="1"/>
  <c r="AO61" i="14" s="1"/>
  <c r="AP61" i="14" s="1"/>
  <c r="AQ61" i="14" s="1"/>
  <c r="AR61" i="14" s="1"/>
  <c r="AS61" i="14" s="1"/>
  <c r="AT61" i="14" s="1"/>
  <c r="AU61" i="14" s="1"/>
  <c r="AV61" i="14" s="1"/>
  <c r="AW61" i="14" s="1"/>
  <c r="AX61" i="14" s="1"/>
  <c r="AY61" i="14" s="1"/>
  <c r="AZ61" i="14" s="1"/>
  <c r="BA61" i="14" s="1"/>
  <c r="BB61" i="14" s="1"/>
  <c r="BC61" i="14" s="1"/>
  <c r="BD61" i="14" s="1"/>
  <c r="BE61" i="14" s="1"/>
  <c r="BF61" i="14" s="1"/>
  <c r="BG61" i="14" s="1"/>
  <c r="BH61" i="14" s="1"/>
  <c r="BI61" i="14" s="1"/>
  <c r="BJ61" i="14" s="1"/>
  <c r="BK61" i="14" s="1"/>
  <c r="BL61" i="14" s="1"/>
  <c r="BM61" i="14" s="1"/>
  <c r="B79" i="14"/>
  <c r="C79" i="14" s="1"/>
  <c r="D79" i="14" s="1"/>
  <c r="E79" i="14"/>
  <c r="F79" i="14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80" i="14"/>
  <c r="C80" i="14" s="1"/>
  <c r="D80" i="14" s="1"/>
  <c r="E80" i="14"/>
  <c r="F80" i="14"/>
  <c r="G80" i="14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/>
  <c r="Z80" i="14" s="1"/>
  <c r="AA80" i="14" s="1"/>
  <c r="AB80" i="14" s="1"/>
  <c r="AC80" i="14" s="1"/>
  <c r="AD80" i="14" s="1"/>
  <c r="AE80" i="14" s="1"/>
  <c r="AF80" i="14" s="1"/>
  <c r="AG80" i="14" s="1"/>
  <c r="AH80" i="14" s="1"/>
  <c r="AI80" i="14" s="1"/>
  <c r="AJ80" i="14" s="1"/>
  <c r="AK80" i="14" s="1"/>
  <c r="AL80" i="14" s="1"/>
  <c r="AM80" i="14" s="1"/>
  <c r="AN80" i="14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/>
  <c r="BG80" i="14" s="1"/>
  <c r="BH80" i="14" s="1"/>
  <c r="BI80" i="14" s="1"/>
  <c r="BJ80" i="14" s="1"/>
  <c r="BK80" i="14" s="1"/>
  <c r="BL80" i="14" s="1"/>
  <c r="BM80" i="14" s="1"/>
  <c r="B86" i="14"/>
  <c r="C86" i="14" s="1"/>
  <c r="D86" i="14" s="1"/>
  <c r="E86" i="14"/>
  <c r="F86" i="14"/>
  <c r="G86" i="14"/>
  <c r="H86" i="14"/>
  <c r="I86" i="14" s="1"/>
  <c r="J86" i="14" s="1"/>
  <c r="K86" i="14" s="1"/>
  <c r="L86" i="14" s="1"/>
  <c r="M86" i="14" s="1"/>
  <c r="N86" i="14" s="1"/>
  <c r="O86" i="14" s="1"/>
  <c r="P86" i="14" s="1"/>
  <c r="Q86" i="14" s="1"/>
  <c r="R86" i="14" s="1"/>
  <c r="S86" i="14" s="1"/>
  <c r="T86" i="14" s="1"/>
  <c r="U86" i="14" s="1"/>
  <c r="V86" i="14" s="1"/>
  <c r="W86" i="14" s="1"/>
  <c r="X86" i="14" s="1"/>
  <c r="Y86" i="14" s="1"/>
  <c r="Z86" i="14" s="1"/>
  <c r="AA86" i="14" s="1"/>
  <c r="AB86" i="14" s="1"/>
  <c r="AC86" i="14" s="1"/>
  <c r="AD86" i="14" s="1"/>
  <c r="AE86" i="14" s="1"/>
  <c r="AF86" i="14" s="1"/>
  <c r="AG86" i="14" s="1"/>
  <c r="AH86" i="14" s="1"/>
  <c r="AI86" i="14" s="1"/>
  <c r="AJ86" i="14" s="1"/>
  <c r="AK86" i="14" s="1"/>
  <c r="AL86" i="14" s="1"/>
  <c r="AM86" i="14" s="1"/>
  <c r="AN86" i="14" s="1"/>
  <c r="AO86" i="14" s="1"/>
  <c r="AP86" i="14" s="1"/>
  <c r="AQ86" i="14" s="1"/>
  <c r="AR86" i="14" s="1"/>
  <c r="AS86" i="14" s="1"/>
  <c r="AT86" i="14" s="1"/>
  <c r="AU86" i="14" s="1"/>
  <c r="AV86" i="14" s="1"/>
  <c r="AW86" i="14" s="1"/>
  <c r="AX86" i="14" s="1"/>
  <c r="AY86" i="14" s="1"/>
  <c r="AZ86" i="14" s="1"/>
  <c r="BA86" i="14" s="1"/>
  <c r="BB86" i="14" s="1"/>
  <c r="BC86" i="14" s="1"/>
  <c r="BD86" i="14" s="1"/>
  <c r="BE86" i="14" s="1"/>
  <c r="BF86" i="14" s="1"/>
  <c r="BG86" i="14" s="1"/>
  <c r="BH86" i="14" s="1"/>
  <c r="BI86" i="14" s="1"/>
  <c r="BJ86" i="14" s="1"/>
  <c r="BK86" i="14" s="1"/>
  <c r="BL86" i="14" s="1"/>
  <c r="BM86" i="14" s="1"/>
  <c r="B87" i="14"/>
  <c r="C87" i="14" s="1"/>
  <c r="D87" i="14" s="1"/>
  <c r="E87" i="14"/>
  <c r="F87" i="14" s="1"/>
  <c r="G87" i="14" s="1"/>
  <c r="H87" i="14" s="1"/>
  <c r="I87" i="14" s="1"/>
  <c r="J87" i="14"/>
  <c r="K87" i="14" s="1"/>
  <c r="L87" i="14" s="1"/>
  <c r="M87" i="14" s="1"/>
  <c r="N87" i="14" s="1"/>
  <c r="O87" i="14" s="1"/>
  <c r="P87" i="14" s="1"/>
  <c r="Q87" i="14" s="1"/>
  <c r="R87" i="14" s="1"/>
  <c r="S87" i="14" s="1"/>
  <c r="T87" i="14" s="1"/>
  <c r="U87" i="14" s="1"/>
  <c r="V87" i="14" s="1"/>
  <c r="W87" i="14" s="1"/>
  <c r="X87" i="14" s="1"/>
  <c r="Y87" i="14" s="1"/>
  <c r="Z87" i="14" s="1"/>
  <c r="AA87" i="14" s="1"/>
  <c r="AB87" i="14" s="1"/>
  <c r="AC87" i="14"/>
  <c r="AD87" i="14" s="1"/>
  <c r="AE87" i="14" s="1"/>
  <c r="AF87" i="14" s="1"/>
  <c r="AG87" i="14" s="1"/>
  <c r="AH87" i="14" s="1"/>
  <c r="AI87" i="14" s="1"/>
  <c r="AJ87" i="14" s="1"/>
  <c r="AK87" i="14" s="1"/>
  <c r="AL87" i="14" s="1"/>
  <c r="AM87" i="14" s="1"/>
  <c r="AN87" i="14" s="1"/>
  <c r="AO87" i="14" s="1"/>
  <c r="AP87" i="14" s="1"/>
  <c r="AQ87" i="14" s="1"/>
  <c r="AR87" i="14" s="1"/>
  <c r="AS87" i="14" s="1"/>
  <c r="AT87" i="14" s="1"/>
  <c r="AU87" i="14"/>
  <c r="AV87" i="14" s="1"/>
  <c r="AW87" i="14" s="1"/>
  <c r="AX87" i="14" s="1"/>
  <c r="AY87" i="14" s="1"/>
  <c r="AZ87" i="14" s="1"/>
  <c r="BA87" i="14" s="1"/>
  <c r="BB87" i="14" s="1"/>
  <c r="BC87" i="14" s="1"/>
  <c r="BD87" i="14" s="1"/>
  <c r="BE87" i="14" s="1"/>
  <c r="BF87" i="14" s="1"/>
  <c r="BG87" i="14" s="1"/>
  <c r="BH87" i="14" s="1"/>
  <c r="BI87" i="14" s="1"/>
  <c r="BJ87" i="14"/>
  <c r="BK87" i="14" s="1"/>
  <c r="BL87" i="14" s="1"/>
  <c r="BM87" i="14" s="1"/>
  <c r="W36" i="42"/>
  <c r="W40" i="42" s="1"/>
  <c r="V42" i="42"/>
  <c r="W42" i="42"/>
  <c r="W60" i="42"/>
  <c r="I42" i="42"/>
  <c r="J42" i="42"/>
  <c r="K42" i="42"/>
  <c r="L42" i="42"/>
  <c r="M42" i="42"/>
  <c r="N42" i="42"/>
  <c r="O42" i="42"/>
  <c r="S42" i="42"/>
  <c r="T42" i="42"/>
  <c r="J36" i="42"/>
  <c r="J40" i="42"/>
  <c r="A36" i="2"/>
  <c r="D25" i="14"/>
  <c r="E28" i="2"/>
  <c r="C10" i="2"/>
  <c r="C20" i="2" s="1"/>
  <c r="F11" i="42"/>
  <c r="F12" i="42"/>
  <c r="F13" i="42" s="1"/>
  <c r="F14" i="42"/>
  <c r="F15" i="42" s="1"/>
  <c r="F16" i="42" s="1"/>
  <c r="F17" i="42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/>
  <c r="F43" i="42" s="1"/>
  <c r="F44" i="42" s="1"/>
  <c r="F45" i="42" s="1"/>
  <c r="F46" i="42" s="1"/>
  <c r="F47" i="42" s="1"/>
  <c r="F48" i="42" s="1"/>
  <c r="F49" i="42" s="1"/>
  <c r="F50" i="42" s="1"/>
  <c r="F51" i="42" s="1"/>
  <c r="F52" i="42" s="1"/>
  <c r="F53" i="42" s="1"/>
  <c r="F54" i="42"/>
  <c r="F56" i="42" s="1"/>
  <c r="F57" i="42" s="1"/>
  <c r="F58" i="42" s="1"/>
  <c r="F59" i="42" s="1"/>
  <c r="F60" i="42" s="1"/>
  <c r="F61" i="42" s="1"/>
  <c r="F62" i="42" s="1"/>
  <c r="F63" i="42" s="1"/>
  <c r="F64" i="42" s="1"/>
  <c r="F65" i="42" s="1"/>
  <c r="F66" i="42" s="1"/>
  <c r="F67" i="42"/>
  <c r="F68" i="42"/>
  <c r="F69" i="42" s="1"/>
  <c r="F70" i="42" s="1"/>
  <c r="F71" i="42" s="1"/>
  <c r="F72" i="42" s="1"/>
  <c r="F73" i="42" s="1"/>
  <c r="F74" i="42" s="1"/>
  <c r="F75" i="42" s="1"/>
  <c r="F76" i="42" s="1"/>
  <c r="F77" i="42" s="1"/>
  <c r="H3" i="42"/>
  <c r="E6" i="7"/>
  <c r="B12" i="7"/>
  <c r="H36" i="42"/>
  <c r="H40" i="42"/>
  <c r="C51" i="14"/>
  <c r="A7" i="10"/>
  <c r="A36" i="8"/>
  <c r="H42" i="42"/>
  <c r="I60" i="42"/>
  <c r="J60" i="42"/>
  <c r="H60" i="42"/>
  <c r="H4" i="42"/>
  <c r="A30" i="14"/>
  <c r="D33" i="14"/>
  <c r="C33" i="14"/>
  <c r="D34" i="14"/>
  <c r="D30" i="14"/>
  <c r="D32" i="14"/>
  <c r="G25" i="42"/>
  <c r="G51" i="14"/>
  <c r="I51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X69" i="14"/>
  <c r="Y69" i="14"/>
  <c r="Z69" i="14"/>
  <c r="AA69" i="14"/>
  <c r="AB69" i="14"/>
  <c r="AC69" i="14"/>
  <c r="AD69" i="14"/>
  <c r="B67" i="14"/>
  <c r="C67" i="14" s="1"/>
  <c r="B19" i="14"/>
  <c r="B11" i="14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/>
  <c r="E20" i="14"/>
  <c r="F20" i="14"/>
  <c r="G20" i="14" s="1"/>
  <c r="H20" i="14" s="1"/>
  <c r="I20" i="14" s="1"/>
  <c r="J20" i="14" s="1"/>
  <c r="K20" i="14" s="1"/>
  <c r="L20" i="14" s="1"/>
  <c r="M20" i="14"/>
  <c r="N20" i="14" s="1"/>
  <c r="O20" i="14" s="1"/>
  <c r="X20" i="14" s="1"/>
  <c r="Y20" i="14" s="1"/>
  <c r="C19" i="14"/>
  <c r="D19" i="14" s="1"/>
  <c r="E19" i="14" s="1"/>
  <c r="F19" i="14" s="1"/>
  <c r="G19" i="14" s="1"/>
  <c r="H19" i="14" s="1"/>
  <c r="I19" i="14"/>
  <c r="J19" i="14" s="1"/>
  <c r="K19" i="14" s="1"/>
  <c r="L19" i="14" s="1"/>
  <c r="M19" i="14" s="1"/>
  <c r="N19" i="14" s="1"/>
  <c r="O19" i="14" s="1"/>
  <c r="X19" i="14" s="1"/>
  <c r="Y19" i="14" s="1"/>
  <c r="B17" i="14"/>
  <c r="C11" i="14"/>
  <c r="D11" i="14" s="1"/>
  <c r="E11" i="14" s="1"/>
  <c r="F11" i="14"/>
  <c r="G11" i="14" s="1"/>
  <c r="H11" i="14" s="1"/>
  <c r="I11" i="14" s="1"/>
  <c r="J11" i="14" s="1"/>
  <c r="K11" i="14" s="1"/>
  <c r="L11" i="14" s="1"/>
  <c r="M11" i="14" s="1"/>
  <c r="N11" i="14" s="1"/>
  <c r="O11" i="14" s="1"/>
  <c r="X11" i="14" s="1"/>
  <c r="Y11" i="14" s="1"/>
  <c r="D6" i="14"/>
  <c r="AE73" i="14"/>
  <c r="AF73" i="14" s="1"/>
  <c r="AG73" i="14" s="1"/>
  <c r="AH73" i="14"/>
  <c r="AI73" i="14"/>
  <c r="AJ73" i="14" s="1"/>
  <c r="D74" i="14"/>
  <c r="D67" i="14"/>
  <c r="E67" i="14" s="1"/>
  <c r="F67" i="14" s="1"/>
  <c r="G67" i="14" s="1"/>
  <c r="H67" i="14" s="1"/>
  <c r="I67" i="14" s="1"/>
  <c r="J67" i="14" s="1"/>
  <c r="K67" i="14" s="1"/>
  <c r="L67" i="14" s="1"/>
  <c r="M67" i="14" s="1"/>
  <c r="N67" i="14" s="1"/>
  <c r="O67" i="14" s="1"/>
  <c r="X67" i="14" s="1"/>
  <c r="Y67" i="14" s="1"/>
  <c r="Z67" i="14" s="1"/>
  <c r="AA67" i="14" s="1"/>
  <c r="AB67" i="14" s="1"/>
  <c r="AC67" i="14" s="1"/>
  <c r="AD67" i="14" s="1"/>
  <c r="C68" i="14"/>
  <c r="D68" i="14"/>
  <c r="E68" i="14"/>
  <c r="F68" i="14" s="1"/>
  <c r="G68" i="14" s="1"/>
  <c r="H68" i="14" s="1"/>
  <c r="I68" i="14" s="1"/>
  <c r="J68" i="14" s="1"/>
  <c r="K68" i="14"/>
  <c r="L68" i="14"/>
  <c r="M68" i="14" s="1"/>
  <c r="N68" i="14" s="1"/>
  <c r="O68" i="14" s="1"/>
  <c r="X68" i="14" s="1"/>
  <c r="Y68" i="14" s="1"/>
  <c r="Z68" i="14" s="1"/>
  <c r="AA68" i="14" s="1"/>
  <c r="AB68" i="14" s="1"/>
  <c r="AC68" i="14" s="1"/>
  <c r="AD68" i="14" s="1"/>
  <c r="D6" i="8"/>
  <c r="D7" i="8"/>
  <c r="C28" i="12"/>
  <c r="C29" i="12"/>
  <c r="C30" i="12"/>
  <c r="C31" i="12"/>
  <c r="C32" i="12"/>
  <c r="C27" i="12"/>
  <c r="C17" i="12"/>
  <c r="F17" i="12" s="1"/>
  <c r="C18" i="12"/>
  <c r="F18" i="12" s="1"/>
  <c r="C19" i="12"/>
  <c r="C20" i="12"/>
  <c r="C16" i="12"/>
  <c r="C15" i="12"/>
  <c r="E7" i="12"/>
  <c r="E8" i="12"/>
  <c r="E9" i="12"/>
  <c r="E10" i="12"/>
  <c r="D28" i="8"/>
  <c r="D27" i="8"/>
  <c r="D19" i="8"/>
  <c r="D18" i="8"/>
  <c r="B29" i="8"/>
  <c r="B20" i="8"/>
  <c r="C8" i="2"/>
  <c r="E28" i="12"/>
  <c r="E29" i="12"/>
  <c r="E30" i="12"/>
  <c r="E31" i="12"/>
  <c r="E32" i="12"/>
  <c r="E5" i="12"/>
  <c r="E11" i="12" s="1"/>
  <c r="E6" i="12"/>
  <c r="D33" i="12"/>
  <c r="E15" i="12"/>
  <c r="F15" i="12" s="1"/>
  <c r="E16" i="12"/>
  <c r="F16" i="12"/>
  <c r="E17" i="12"/>
  <c r="E18" i="12"/>
  <c r="E19" i="12"/>
  <c r="F19" i="12"/>
  <c r="E20" i="12"/>
  <c r="F20" i="12"/>
  <c r="E21" i="12"/>
  <c r="C21" i="12"/>
  <c r="D11" i="12"/>
  <c r="C11" i="12"/>
  <c r="B8" i="8"/>
  <c r="C5" i="6"/>
  <c r="U13" i="42"/>
  <c r="X59" i="42" l="1"/>
  <c r="C41" i="2"/>
  <c r="B29" i="14"/>
  <c r="B84" i="14" s="1"/>
  <c r="D30" i="2"/>
  <c r="C33" i="2"/>
  <c r="E22" i="2" s="1"/>
  <c r="E23" i="2" s="1"/>
  <c r="E24" i="2" s="1"/>
  <c r="E25" i="2" s="1"/>
  <c r="E26" i="2" s="1"/>
  <c r="E27" i="2" s="1"/>
  <c r="H83" i="42"/>
  <c r="H29" i="2"/>
  <c r="B7" i="10"/>
  <c r="O7" i="10" s="1"/>
  <c r="Q7" i="10" s="1"/>
  <c r="N28" i="42"/>
  <c r="N50" i="42" s="1"/>
  <c r="K36" i="42"/>
  <c r="K40" i="42" s="1"/>
  <c r="K50" i="42"/>
  <c r="U28" i="42"/>
  <c r="U54" i="42" s="1"/>
  <c r="U60" i="42" s="1"/>
  <c r="K54" i="42"/>
  <c r="K60" i="42" s="1"/>
  <c r="S28" i="42"/>
  <c r="S36" i="42" s="1"/>
  <c r="S40" i="42" s="1"/>
  <c r="T28" i="42"/>
  <c r="R28" i="42"/>
  <c r="K51" i="42"/>
  <c r="Q28" i="42"/>
  <c r="L28" i="42"/>
  <c r="L54" i="42" s="1"/>
  <c r="L60" i="42" s="1"/>
  <c r="O28" i="42"/>
  <c r="V36" i="42"/>
  <c r="V40" i="42" s="1"/>
  <c r="V50" i="42"/>
  <c r="V54" i="42"/>
  <c r="V60" i="42" s="1"/>
  <c r="B44" i="14"/>
  <c r="E27" i="12"/>
  <c r="E33" i="12" s="1"/>
  <c r="D35" i="12" s="1"/>
  <c r="C33" i="12"/>
  <c r="J21" i="42"/>
  <c r="R21" i="42"/>
  <c r="K21" i="42"/>
  <c r="S21" i="42"/>
  <c r="L21" i="42"/>
  <c r="T21" i="42"/>
  <c r="M21" i="42"/>
  <c r="U21" i="42"/>
  <c r="N21" i="42"/>
  <c r="V21" i="42"/>
  <c r="O21" i="42"/>
  <c r="W21" i="42"/>
  <c r="P21" i="42"/>
  <c r="X21" i="42"/>
  <c r="Q21" i="42"/>
  <c r="F21" i="12"/>
  <c r="D23" i="12" s="1"/>
  <c r="C15" i="2"/>
  <c r="L51" i="14"/>
  <c r="AP55" i="14" s="1"/>
  <c r="AP88" i="14" s="1"/>
  <c r="W59" i="42"/>
  <c r="W63" i="42" s="1"/>
  <c r="X36" i="42"/>
  <c r="X40" i="42" s="1"/>
  <c r="I36" i="42"/>
  <c r="I40" i="42" s="1"/>
  <c r="T18" i="42"/>
  <c r="K18" i="42"/>
  <c r="L18" i="42"/>
  <c r="L13" i="42" s="1"/>
  <c r="P18" i="42"/>
  <c r="S18" i="42"/>
  <c r="S13" i="42" s="1"/>
  <c r="Q18" i="42"/>
  <c r="Q13" i="42" s="1"/>
  <c r="O18" i="42"/>
  <c r="O13" i="42" s="1"/>
  <c r="N18" i="42"/>
  <c r="N13" i="42" s="1"/>
  <c r="V13" i="42"/>
  <c r="V45" i="42" s="1"/>
  <c r="R18" i="42"/>
  <c r="R13" i="42" s="1"/>
  <c r="M13" i="42"/>
  <c r="P13" i="42"/>
  <c r="J13" i="42"/>
  <c r="J45" i="42" s="1"/>
  <c r="J59" i="42" s="1"/>
  <c r="J63" i="42" s="1"/>
  <c r="K13" i="42"/>
  <c r="K45" i="42" s="1"/>
  <c r="P28" i="42"/>
  <c r="M28" i="42"/>
  <c r="C42" i="2" l="1"/>
  <c r="B58" i="14"/>
  <c r="C62" i="14" s="1"/>
  <c r="D36" i="2"/>
  <c r="E36" i="2" s="1"/>
  <c r="F7" i="10"/>
  <c r="H7" i="10" s="1"/>
  <c r="T14" i="42" s="1"/>
  <c r="T13" i="42" s="1"/>
  <c r="T45" i="42" s="1"/>
  <c r="N51" i="42"/>
  <c r="N45" i="42"/>
  <c r="N54" i="42"/>
  <c r="N60" i="42" s="1"/>
  <c r="C7" i="10"/>
  <c r="E7" i="10" s="1"/>
  <c r="I14" i="42" s="1"/>
  <c r="I13" i="42" s="1"/>
  <c r="I45" i="42" s="1"/>
  <c r="I59" i="42" s="1"/>
  <c r="I63" i="42" s="1"/>
  <c r="U7" i="10"/>
  <c r="W7" i="10" s="1"/>
  <c r="R7" i="10"/>
  <c r="T7" i="10" s="1"/>
  <c r="L7" i="10"/>
  <c r="N7" i="10" s="1"/>
  <c r="I7" i="10"/>
  <c r="K7" i="10" s="1"/>
  <c r="N36" i="42"/>
  <c r="N40" i="42" s="1"/>
  <c r="U51" i="42"/>
  <c r="S51" i="42"/>
  <c r="L45" i="42"/>
  <c r="S50" i="42"/>
  <c r="O45" i="42"/>
  <c r="Q45" i="42"/>
  <c r="L50" i="42"/>
  <c r="K59" i="42"/>
  <c r="K63" i="42" s="1"/>
  <c r="S45" i="42"/>
  <c r="S54" i="42"/>
  <c r="S60" i="42" s="1"/>
  <c r="O51" i="42"/>
  <c r="O50" i="42"/>
  <c r="O36" i="42"/>
  <c r="O40" i="42" s="1"/>
  <c r="O54" i="42"/>
  <c r="O60" i="42" s="1"/>
  <c r="T54" i="42"/>
  <c r="T60" i="42" s="1"/>
  <c r="T51" i="42"/>
  <c r="T50" i="42"/>
  <c r="T36" i="42"/>
  <c r="T40" i="42" s="1"/>
  <c r="R50" i="42"/>
  <c r="R51" i="42"/>
  <c r="R36" i="42"/>
  <c r="R40" i="42" s="1"/>
  <c r="R54" i="42"/>
  <c r="R60" i="42" s="1"/>
  <c r="R45" i="42"/>
  <c r="L36" i="42"/>
  <c r="L40" i="42" s="1"/>
  <c r="Q54" i="42"/>
  <c r="Q60" i="42" s="1"/>
  <c r="Q51" i="42"/>
  <c r="Q50" i="42"/>
  <c r="U36" i="42"/>
  <c r="U40" i="42" s="1"/>
  <c r="U50" i="42"/>
  <c r="U45" i="42"/>
  <c r="Q36" i="42"/>
  <c r="Q40" i="42" s="1"/>
  <c r="L51" i="42"/>
  <c r="V59" i="42"/>
  <c r="V63" i="42" s="1"/>
  <c r="P54" i="42"/>
  <c r="P60" i="42" s="1"/>
  <c r="P51" i="42"/>
  <c r="P36" i="42"/>
  <c r="P40" i="42" s="1"/>
  <c r="P50" i="42"/>
  <c r="P45" i="42"/>
  <c r="H81" i="42"/>
  <c r="H84" i="42"/>
  <c r="H85" i="42" s="1"/>
  <c r="C12" i="2"/>
  <c r="C16" i="2"/>
  <c r="M50" i="42"/>
  <c r="M45" i="42"/>
  <c r="M51" i="42"/>
  <c r="M36" i="42"/>
  <c r="M40" i="42" s="1"/>
  <c r="M54" i="42"/>
  <c r="M60" i="42" s="1"/>
  <c r="B37" i="14" l="1"/>
  <c r="D36" i="14" s="1"/>
  <c r="B81" i="14"/>
  <c r="B88" i="14" s="1"/>
  <c r="H11" i="42" s="1"/>
  <c r="H45" i="42" s="1"/>
  <c r="H59" i="42" s="1"/>
  <c r="H63" i="42" s="1"/>
  <c r="H87" i="42"/>
  <c r="H89" i="42" s="1"/>
  <c r="H90" i="42" s="1"/>
  <c r="N59" i="42"/>
  <c r="N63" i="42" s="1"/>
  <c r="U59" i="42"/>
  <c r="U63" i="42" s="1"/>
  <c r="P59" i="42"/>
  <c r="P63" i="42" s="1"/>
  <c r="L59" i="42"/>
  <c r="L63" i="42" s="1"/>
  <c r="S59" i="42"/>
  <c r="S63" i="42" s="1"/>
  <c r="Q59" i="42"/>
  <c r="Q63" i="42" s="1"/>
  <c r="O59" i="42"/>
  <c r="O63" i="42" s="1"/>
  <c r="R59" i="42"/>
  <c r="R63" i="42" s="1"/>
  <c r="T59" i="42"/>
  <c r="T63" i="42" s="1"/>
  <c r="M59" i="42"/>
  <c r="M63" i="42" s="1"/>
  <c r="B65" i="14" l="1"/>
  <c r="H92" i="42"/>
  <c r="H93" i="42"/>
  <c r="H94" i="42"/>
  <c r="H95" i="42" l="1"/>
  <c r="H96" i="42" s="1"/>
  <c r="X32" i="42" s="1"/>
  <c r="X42" i="42" l="1"/>
  <c r="X60" i="42" s="1"/>
  <c r="X63" i="42"/>
  <c r="Z63" i="42" l="1"/>
  <c r="H72" i="42"/>
  <c r="H74" i="42"/>
</calcChain>
</file>

<file path=xl/sharedStrings.xml><?xml version="1.0" encoding="utf-8"?>
<sst xmlns="http://schemas.openxmlformats.org/spreadsheetml/2006/main" count="486" uniqueCount="299">
  <si>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</si>
  <si>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</si>
  <si>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</si>
  <si>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</si>
  <si>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</si>
  <si>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</si>
  <si>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</si>
  <si>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</si>
  <si>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</si>
  <si>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</si>
  <si>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</si>
  <si>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</si>
  <si>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</si>
  <si>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</si>
  <si>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</si>
  <si>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</si>
  <si>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</si>
  <si>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</si>
  <si>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</si>
  <si>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</si>
  <si>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</si>
  <si>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</si>
  <si>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</si>
  <si>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</si>
  <si>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</si>
  <si>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</si>
  <si>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</si>
  <si>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</si>
  <si>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</si>
  <si>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</si>
  <si>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</si>
  <si>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</si>
  <si>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</si>
  <si>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</si>
  <si>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</si>
  <si>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</si>
  <si>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</si>
  <si>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</si>
  <si>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</si>
  <si>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</si>
  <si>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</si>
  <si>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</si>
  <si>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</si>
  <si>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</si>
  <si>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</si>
  <si>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</si>
  <si>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express</t>
  </si>
  <si>
    <t>Valor/un.</t>
  </si>
  <si>
    <t>Comissão Dibracam Venda usado</t>
  </si>
  <si>
    <t>carroceria</t>
  </si>
  <si>
    <t>Adesivos e Acessórios</t>
  </si>
  <si>
    <t>Valor/un. (fornecedor Braspeso)</t>
  </si>
  <si>
    <t>Não Finamizável</t>
  </si>
  <si>
    <t>Equipamento (veículo + Implemento)</t>
  </si>
  <si>
    <t>Valor Total Equipamento + Peso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</si>
  <si>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</si>
  <si>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Anos de uso no contrato</t>
  </si>
  <si>
    <t>% do Valor de Compra</t>
  </si>
  <si>
    <t>% desvalorização ao término do contrato</t>
  </si>
  <si>
    <t>Depreciação Contábil Ativo Imobilizado (Equipamento - Veículo + Implemento)</t>
  </si>
  <si>
    <t>Taxa de Depreciação a.a</t>
  </si>
  <si>
    <t>Taxa de Depreciação a.m</t>
  </si>
  <si>
    <t>Valor de Aquisição a ser depreciado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</si>
  <si>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</si>
  <si>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</si>
  <si>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</si>
  <si>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</si>
  <si>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</si>
  <si>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</si>
  <si>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</si>
  <si>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</si>
  <si>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</si>
  <si>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</si>
  <si>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</si>
  <si>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</si>
  <si>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</si>
  <si>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</si>
  <si>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</si>
  <si>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</si>
  <si>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</si>
  <si>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</si>
  <si>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</si>
  <si>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</si>
  <si>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</si>
  <si>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</si>
  <si>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</si>
  <si>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</si>
  <si>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</si>
  <si>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</si>
  <si>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</si>
  <si>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</si>
  <si>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</si>
  <si>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</si>
  <si>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</si>
  <si>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</si>
  <si>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</si>
  <si>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</si>
  <si>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</si>
  <si>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</si>
  <si>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</si>
  <si>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</si>
  <si>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</si>
  <si>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</si>
  <si>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</si>
  <si>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</si>
  <si>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</si>
  <si>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</si>
  <si>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</si>
  <si>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</si>
  <si>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</si>
  <si>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</si>
  <si>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</si>
  <si>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</si>
  <si>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</si>
  <si>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</si>
  <si>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</si>
  <si>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</si>
  <si>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</si>
  <si>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</si>
  <si>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</si>
  <si>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</si>
  <si>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</si>
  <si>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</si>
  <si>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</si>
  <si>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</si>
  <si>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</si>
  <si>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</si>
  <si>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</si>
  <si>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</si>
  <si>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</si>
  <si>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</si>
  <si>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</si>
  <si>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</si>
  <si>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</si>
  <si>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</si>
  <si>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</si>
  <si>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</si>
  <si>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</si>
  <si>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</si>
  <si>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</si>
  <si>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</si>
  <si>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</si>
  <si>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</si>
  <si>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</si>
  <si>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</si>
  <si>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</si>
  <si>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</si>
  <si>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</si>
  <si>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</si>
  <si>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</si>
  <si>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</si>
  <si>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</si>
  <si>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</si>
  <si>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</si>
  <si>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</si>
  <si>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</si>
  <si>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</si>
  <si>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</si>
  <si>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</si>
  <si>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</si>
  <si>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</si>
  <si>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</si>
  <si>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</si>
  <si>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</si>
  <si>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</si>
  <si>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</si>
  <si>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</si>
  <si>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</si>
  <si>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</si>
  <si>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</si>
  <si>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</si>
  <si>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</si>
  <si>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</si>
  <si>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</si>
  <si>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</si>
  <si>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</si>
  <si>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</si>
  <si>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</si>
  <si>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</si>
  <si>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</si>
  <si>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</si>
  <si>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</si>
  <si>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</si>
  <si>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</si>
  <si>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</si>
  <si>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</si>
  <si>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</si>
  <si>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</si>
  <si>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</si>
  <si>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</si>
  <si>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</si>
  <si>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</si>
  <si>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</si>
  <si>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</si>
  <si>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</si>
  <si>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</si>
  <si>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</si>
  <si>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</si>
  <si>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</si>
  <si>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</si>
  <si>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</si>
  <si>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</si>
  <si>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</si>
  <si>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</si>
  <si>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</si>
  <si>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</si>
  <si>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</si>
  <si>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</si>
  <si>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</si>
  <si>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</si>
  <si>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</si>
  <si>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</si>
  <si>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</si>
  <si>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</si>
  <si>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</si>
  <si>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</si>
  <si>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</si>
  <si>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</si>
  <si>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</si>
  <si>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</si>
  <si>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</si>
  <si>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</si>
  <si>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</si>
  <si>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</si>
  <si>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</si>
  <si>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</si>
  <si>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</si>
  <si>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</si>
  <si>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</si>
  <si>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</si>
  <si>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</si>
  <si>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</si>
  <si>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</si>
  <si>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</si>
  <si>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</si>
  <si>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</si>
  <si>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</si>
  <si>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</si>
  <si>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</si>
  <si>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</si>
  <si>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= R$ 800</t>
  </si>
  <si>
    <t>Cenário - Preço Venda</t>
  </si>
  <si>
    <t>desp. 2019</t>
  </si>
  <si>
    <t>Desp. 2019 (incide em Janeiro)</t>
  </si>
  <si>
    <t>Desp. 2020 (incide em Janeiro)</t>
  </si>
  <si>
    <t>Desp. 2021 (incide em Janeiro)</t>
  </si>
  <si>
    <t>Desp. 2022 (incide em Janeiro)</t>
  </si>
  <si>
    <t>Desp. 2023 (incide em Janeiro)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</si>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</sst>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R$&quot;\ #,##0.00;[Red]\-&quot;R$&quot;\ #,##0.00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3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8"/>
      <color theme="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2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8" xfId="0" applyNumberFormat="1" applyBorder="1" applyAlignment="1">
      <alignment horizontal="left"/>
    </xf>
    <xf numFmtId="165" fontId="35" fillId="23" borderId="0" xfId="0" applyNumberFormat="1" applyFont="1" applyFill="1"/>
    <xf numFmtId="0" fontId="17" fillId="2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8" fontId="7" fillId="0" borderId="0" xfId="0" applyNumberFormat="1" applyFont="1"/>
    <xf numFmtId="8" fontId="34" fillId="0" borderId="0" xfId="0" applyNumberFormat="1" applyFont="1"/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6" fillId="5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769">
    <cellStyle name="Hiperlink" xfId="189" builtinId="8" hidden="1"/>
    <cellStyle name="Hiperlink" xfId="197" builtinId="8" hidden="1"/>
    <cellStyle name="Hiperlink" xfId="205" builtinId="8" hidden="1"/>
    <cellStyle name="Hiperlink" xfId="213" builtinId="8" hidden="1"/>
    <cellStyle name="Hiperlink" xfId="221" builtinId="8" hidden="1"/>
    <cellStyle name="Hiperlink" xfId="229" builtinId="8" hidden="1"/>
    <cellStyle name="Hiperlink" xfId="237" builtinId="8" hidden="1"/>
    <cellStyle name="Hiperlink" xfId="245" builtinId="8" hidden="1"/>
    <cellStyle name="Hiperlink" xfId="253" builtinId="8" hidden="1"/>
    <cellStyle name="Hiperlink" xfId="261" builtinId="8" hidden="1"/>
    <cellStyle name="Hiperlink" xfId="269" builtinId="8" hidden="1"/>
    <cellStyle name="Hiperlink" xfId="277" builtinId="8" hidden="1"/>
    <cellStyle name="Hiperlink" xfId="285" builtinId="8" hidden="1"/>
    <cellStyle name="Hiperlink" xfId="293" builtinId="8" hidden="1"/>
    <cellStyle name="Hiperlink" xfId="301" builtinId="8" hidden="1"/>
    <cellStyle name="Hiperlink" xfId="309" builtinId="8" hidden="1"/>
    <cellStyle name="Hiperlink" xfId="317" builtinId="8" hidden="1"/>
    <cellStyle name="Hiperlink" xfId="325" builtinId="8" hidden="1"/>
    <cellStyle name="Hiperlink" xfId="333" builtinId="8" hidden="1"/>
    <cellStyle name="Hiperlink" xfId="341" builtinId="8" hidden="1"/>
    <cellStyle name="Hiperlink" xfId="349" builtinId="8" hidden="1"/>
    <cellStyle name="Hiperlink" xfId="357" builtinId="8" hidden="1"/>
    <cellStyle name="Hiperlink" xfId="365" builtinId="8" hidden="1"/>
    <cellStyle name="Hiperlink" xfId="373" builtinId="8" hidden="1"/>
    <cellStyle name="Hiperlink" xfId="381" builtinId="8" hidden="1"/>
    <cellStyle name="Hiperlink" xfId="389" builtinId="8" hidden="1"/>
    <cellStyle name="Hiperlink" xfId="397" builtinId="8" hidden="1"/>
    <cellStyle name="Hiperlink" xfId="405" builtinId="8" hidden="1"/>
    <cellStyle name="Hiperlink" xfId="413" builtinId="8" hidden="1"/>
    <cellStyle name="Hiperlink" xfId="421" builtinId="8" hidden="1"/>
    <cellStyle name="Hiperlink" xfId="429" builtinId="8" hidden="1"/>
    <cellStyle name="Hiperlink" xfId="437" builtinId="8" hidden="1"/>
    <cellStyle name="Hiperlink" xfId="445" builtinId="8" hidden="1"/>
    <cellStyle name="Hiperlink" xfId="453" builtinId="8" hidden="1"/>
    <cellStyle name="Hiperlink" xfId="461" builtinId="8" hidden="1"/>
    <cellStyle name="Hiperlink" xfId="469" builtinId="8" hidden="1"/>
    <cellStyle name="Hiperlink" xfId="477" builtinId="8" hidden="1"/>
    <cellStyle name="Hiperlink" xfId="485" builtinId="8" hidden="1"/>
    <cellStyle name="Hiperlink" xfId="493" builtinId="8" hidden="1"/>
    <cellStyle name="Hiperlink" xfId="501" builtinId="8" hidden="1"/>
    <cellStyle name="Hiperlink" xfId="509" builtinId="8" hidden="1"/>
    <cellStyle name="Hiperlink" xfId="517" builtinId="8" hidden="1"/>
    <cellStyle name="Hiperlink" xfId="525" builtinId="8" hidden="1"/>
    <cellStyle name="Hiperlink" xfId="533" builtinId="8" hidden="1"/>
    <cellStyle name="Hiperlink" xfId="541" builtinId="8" hidden="1"/>
    <cellStyle name="Hiperlink" xfId="549" builtinId="8" hidden="1"/>
    <cellStyle name="Hiperlink" xfId="557" builtinId="8" hidden="1"/>
    <cellStyle name="Hiperlink" xfId="565" builtinId="8" hidden="1"/>
    <cellStyle name="Hiperlink" xfId="573" builtinId="8" hidden="1"/>
    <cellStyle name="Hiperlink" xfId="581" builtinId="8" hidden="1"/>
    <cellStyle name="Hiperlink" xfId="589" builtinId="8" hidden="1"/>
    <cellStyle name="Hiperlink" xfId="597" builtinId="8" hidden="1"/>
    <cellStyle name="Hiperlink" xfId="605" builtinId="8" hidden="1"/>
    <cellStyle name="Hiperlink" xfId="613" builtinId="8" hidden="1"/>
    <cellStyle name="Hiperlink" xfId="621" builtinId="8" hidden="1"/>
    <cellStyle name="Hiperlink" xfId="629" builtinId="8" hidden="1"/>
    <cellStyle name="Hiperlink" xfId="637" builtinId="8" hidden="1"/>
    <cellStyle name="Hiperlink" xfId="645" builtinId="8" hidden="1"/>
    <cellStyle name="Hiperlink" xfId="653" builtinId="8" hidden="1"/>
    <cellStyle name="Hiperlink" xfId="661" builtinId="8" hidden="1"/>
    <cellStyle name="Hiperlink" xfId="669" builtinId="8" hidden="1"/>
    <cellStyle name="Hiperlink" xfId="677" builtinId="8" hidden="1"/>
    <cellStyle name="Hiperlink" xfId="685" builtinId="8" hidden="1"/>
    <cellStyle name="Hiperlink" xfId="693" builtinId="8" hidden="1"/>
    <cellStyle name="Hiperlink" xfId="701" builtinId="8" hidden="1"/>
    <cellStyle name="Hiperlink" xfId="709" builtinId="8" hidden="1"/>
    <cellStyle name="Hiperlink" xfId="717" builtinId="8" hidden="1"/>
    <cellStyle name="Hiperlink" xfId="725" builtinId="8" hidden="1"/>
    <cellStyle name="Hiperlink" xfId="733" builtinId="8" hidden="1"/>
    <cellStyle name="Hiperlink" xfId="741" builtinId="8" hidden="1"/>
    <cellStyle name="Hiperlink" xfId="749" builtinId="8" hidden="1"/>
    <cellStyle name="Hiperlink" xfId="757" builtinId="8" hidden="1"/>
    <cellStyle name="Hiperlink" xfId="765" builtinId="8" hidden="1"/>
    <cellStyle name="Hiperlink" xfId="763" builtinId="8" hidden="1"/>
    <cellStyle name="Hiperlink" xfId="755" builtinId="8" hidden="1"/>
    <cellStyle name="Hiperlink" xfId="747" builtinId="8" hidden="1"/>
    <cellStyle name="Hiperlink" xfId="739" builtinId="8" hidden="1"/>
    <cellStyle name="Hiperlink" xfId="731" builtinId="8" hidden="1"/>
    <cellStyle name="Hiperlink" xfId="723" builtinId="8" hidden="1"/>
    <cellStyle name="Hiperlink" xfId="715" builtinId="8" hidden="1"/>
    <cellStyle name="Hiperlink" xfId="707" builtinId="8" hidden="1"/>
    <cellStyle name="Hiperlink" xfId="699" builtinId="8" hidden="1"/>
    <cellStyle name="Hiperlink" xfId="691" builtinId="8" hidden="1"/>
    <cellStyle name="Hiperlink" xfId="683" builtinId="8" hidden="1"/>
    <cellStyle name="Hiperlink" xfId="675" builtinId="8" hidden="1"/>
    <cellStyle name="Hiperlink" xfId="667" builtinId="8" hidden="1"/>
    <cellStyle name="Hiperlink" xfId="659" builtinId="8" hidden="1"/>
    <cellStyle name="Hiperlink" xfId="651" builtinId="8" hidden="1"/>
    <cellStyle name="Hiperlink" xfId="643" builtinId="8" hidden="1"/>
    <cellStyle name="Hiperlink" xfId="635" builtinId="8" hidden="1"/>
    <cellStyle name="Hiperlink" xfId="627" builtinId="8" hidden="1"/>
    <cellStyle name="Hiperlink" xfId="619" builtinId="8" hidden="1"/>
    <cellStyle name="Hiperlink" xfId="611" builtinId="8" hidden="1"/>
    <cellStyle name="Hiperlink" xfId="603" builtinId="8" hidden="1"/>
    <cellStyle name="Hiperlink" xfId="595" builtinId="8" hidden="1"/>
    <cellStyle name="Hiperlink" xfId="587" builtinId="8" hidden="1"/>
    <cellStyle name="Hiperlink" xfId="579" builtinId="8" hidden="1"/>
    <cellStyle name="Hiperlink" xfId="571" builtinId="8" hidden="1"/>
    <cellStyle name="Hiperlink" xfId="563" builtinId="8" hidden="1"/>
    <cellStyle name="Hiperlink" xfId="555" builtinId="8" hidden="1"/>
    <cellStyle name="Hiperlink" xfId="547" builtinId="8" hidden="1"/>
    <cellStyle name="Hiperlink" xfId="539" builtinId="8" hidden="1"/>
    <cellStyle name="Hiperlink" xfId="531" builtinId="8" hidden="1"/>
    <cellStyle name="Hiperlink" xfId="523" builtinId="8" hidden="1"/>
    <cellStyle name="Hiperlink" xfId="515" builtinId="8" hidden="1"/>
    <cellStyle name="Hiperlink" xfId="507" builtinId="8" hidden="1"/>
    <cellStyle name="Hiperlink" xfId="499" builtinId="8" hidden="1"/>
    <cellStyle name="Hiperlink" xfId="491" builtinId="8" hidden="1"/>
    <cellStyle name="Hiperlink" xfId="483" builtinId="8" hidden="1"/>
    <cellStyle name="Hiperlink" xfId="475" builtinId="8" hidden="1"/>
    <cellStyle name="Hiperlink" xfId="467" builtinId="8" hidden="1"/>
    <cellStyle name="Hiperlink" xfId="459" builtinId="8" hidden="1"/>
    <cellStyle name="Hiperlink" xfId="451" builtinId="8" hidden="1"/>
    <cellStyle name="Hiperlink" xfId="443" builtinId="8" hidden="1"/>
    <cellStyle name="Hiperlink" xfId="435" builtinId="8" hidden="1"/>
    <cellStyle name="Hiperlink" xfId="427" builtinId="8" hidden="1"/>
    <cellStyle name="Hiperlink" xfId="419" builtinId="8" hidden="1"/>
    <cellStyle name="Hiperlink" xfId="411" builtinId="8" hidden="1"/>
    <cellStyle name="Hiperlink" xfId="403" builtinId="8" hidden="1"/>
    <cellStyle name="Hiperlink" xfId="395" builtinId="8" hidden="1"/>
    <cellStyle name="Hiperlink" xfId="387" builtinId="8" hidden="1"/>
    <cellStyle name="Hiperlink" xfId="379" builtinId="8" hidden="1"/>
    <cellStyle name="Hiperlink" xfId="371" builtinId="8" hidden="1"/>
    <cellStyle name="Hiperlink" xfId="363" builtinId="8" hidden="1"/>
    <cellStyle name="Hiperlink" xfId="355" builtinId="8" hidden="1"/>
    <cellStyle name="Hiperlink" xfId="347" builtinId="8" hidden="1"/>
    <cellStyle name="Hiperlink" xfId="339" builtinId="8" hidden="1"/>
    <cellStyle name="Hiperlink" xfId="331" builtinId="8" hidden="1"/>
    <cellStyle name="Hiperlink" xfId="323" builtinId="8" hidden="1"/>
    <cellStyle name="Hiperlink" xfId="315" builtinId="8" hidden="1"/>
    <cellStyle name="Hiperlink" xfId="307" builtinId="8" hidden="1"/>
    <cellStyle name="Hiperlink" xfId="299" builtinId="8" hidden="1"/>
    <cellStyle name="Hiperlink" xfId="291" builtinId="8" hidden="1"/>
    <cellStyle name="Hiperlink" xfId="283" builtinId="8" hidden="1"/>
    <cellStyle name="Hiperlink" xfId="275" builtinId="8" hidden="1"/>
    <cellStyle name="Hiperlink" xfId="267" builtinId="8" hidden="1"/>
    <cellStyle name="Hiperlink" xfId="259" builtinId="8" hidden="1"/>
    <cellStyle name="Hiperlink" xfId="251" builtinId="8" hidden="1"/>
    <cellStyle name="Hiperlink" xfId="243" builtinId="8" hidden="1"/>
    <cellStyle name="Hiperlink" xfId="235" builtinId="8" hidden="1"/>
    <cellStyle name="Hiperlink" xfId="227" builtinId="8" hidden="1"/>
    <cellStyle name="Hiperlink" xfId="219" builtinId="8" hidden="1"/>
    <cellStyle name="Hiperlink" xfId="211" builtinId="8" hidden="1"/>
    <cellStyle name="Hiperlink" xfId="203" builtinId="8" hidden="1"/>
    <cellStyle name="Hiperlink" xfId="195" builtinId="8" hidden="1"/>
    <cellStyle name="Hiperlink" xfId="187" builtinId="8" hidden="1"/>
    <cellStyle name="Hiperlink" xfId="179" builtinId="8" hidden="1"/>
    <cellStyle name="Hiperlink" xfId="171" builtinId="8" hidden="1"/>
    <cellStyle name="Hiperlink" xfId="163" builtinId="8" hidden="1"/>
    <cellStyle name="Hiperlink" xfId="155" builtinId="8" hidden="1"/>
    <cellStyle name="Hiperlink" xfId="147" builtinId="8" hidden="1"/>
    <cellStyle name="Hiperlink" xfId="139" builtinId="8" hidden="1"/>
    <cellStyle name="Hiperlink" xfId="131" builtinId="8" hidden="1"/>
    <cellStyle name="Hiperlink" xfId="123" builtinId="8" hidden="1"/>
    <cellStyle name="Hiperlink" xfId="115" builtinId="8" hidden="1"/>
    <cellStyle name="Hiperlink" xfId="107" builtinId="8" hidden="1"/>
    <cellStyle name="Hiperlink" xfId="99" builtinId="8" hidden="1"/>
    <cellStyle name="Hiperlink" xfId="91" builtinId="8" hidden="1"/>
    <cellStyle name="Hiperlink" xfId="83" builtinId="8" hidden="1"/>
    <cellStyle name="Hiperlink" xfId="75" builtinId="8" hidden="1"/>
    <cellStyle name="Hiperlink" xfId="67" builtinId="8" hidden="1"/>
    <cellStyle name="Hiperlink" xfId="23" builtinId="8" hidden="1"/>
    <cellStyle name="Hiperlink" xfId="29" builtinId="8" hidden="1"/>
    <cellStyle name="Hiperlink" xfId="33" builtinId="8" hidden="1"/>
    <cellStyle name="Hiperlink" xfId="39" builtinId="8" hidden="1"/>
    <cellStyle name="Hiperlink" xfId="45" builtinId="8" hidden="1"/>
    <cellStyle name="Hiperlink" xfId="49" builtinId="8" hidden="1"/>
    <cellStyle name="Hiperlink" xfId="55" builtinId="8" hidden="1"/>
    <cellStyle name="Hiperlink" xfId="61" builtinId="8" hidden="1"/>
    <cellStyle name="Hiperlink" xfId="51" builtinId="8" hidden="1"/>
    <cellStyle name="Hiperlink" xfId="35" builtinId="8" hidden="1"/>
    <cellStyle name="Hiperlink" xfId="11" builtinId="8" hidden="1"/>
    <cellStyle name="Hiperlink" xfId="15" builtinId="8" hidden="1"/>
    <cellStyle name="Hiperlink" xfId="21" builtinId="8" hidden="1"/>
    <cellStyle name="Hiperlink" xfId="7" builtinId="8" hidden="1"/>
    <cellStyle name="Hiperlink" xfId="5" builtinId="8" hidden="1"/>
    <cellStyle name="Hiperlink" xfId="3" builtinId="8" hidden="1"/>
    <cellStyle name="Hiperlink" xfId="9" builtinId="8" hidden="1"/>
    <cellStyle name="Hiperlink" xfId="19" builtinId="8" hidden="1"/>
    <cellStyle name="Hiperlink" xfId="17" builtinId="8" hidden="1"/>
    <cellStyle name="Hiperlink" xfId="13" builtinId="8" hidden="1"/>
    <cellStyle name="Hiperlink" xfId="27" builtinId="8" hidden="1"/>
    <cellStyle name="Hiperlink" xfId="43" builtinId="8" hidden="1"/>
    <cellStyle name="Hiperlink" xfId="59" builtinId="8" hidden="1"/>
    <cellStyle name="Hiperlink" xfId="57" builtinId="8" hidden="1"/>
    <cellStyle name="Hiperlink" xfId="53" builtinId="8" hidden="1"/>
    <cellStyle name="Hiperlink" xfId="47" builtinId="8" hidden="1"/>
    <cellStyle name="Hiperlink" xfId="41" builtinId="8" hidden="1"/>
    <cellStyle name="Hiperlink" xfId="37" builtinId="8" hidden="1"/>
    <cellStyle name="Hiperlink" xfId="31" builtinId="8" hidden="1"/>
    <cellStyle name="Hiperlink" xfId="25" builtinId="8" hidden="1"/>
    <cellStyle name="Hiperlink" xfId="63" builtinId="8" hidden="1"/>
    <cellStyle name="Hiperlink" xfId="71" builtinId="8" hidden="1"/>
    <cellStyle name="Hiperlink" xfId="79" builtinId="8" hidden="1"/>
    <cellStyle name="Hiperlink" xfId="87" builtinId="8" hidden="1"/>
    <cellStyle name="Hiperlink" xfId="95" builtinId="8" hidden="1"/>
    <cellStyle name="Hiperlink" xfId="103" builtinId="8" hidden="1"/>
    <cellStyle name="Hiperlink" xfId="111" builtinId="8" hidden="1"/>
    <cellStyle name="Hiperlink" xfId="119" builtinId="8" hidden="1"/>
    <cellStyle name="Hiperlink" xfId="127" builtinId="8" hidden="1"/>
    <cellStyle name="Hiperlink" xfId="135" builtinId="8" hidden="1"/>
    <cellStyle name="Hiperlink" xfId="143" builtinId="8" hidden="1"/>
    <cellStyle name="Hiperlink" xfId="151" builtinId="8" hidden="1"/>
    <cellStyle name="Hiperlink" xfId="159" builtinId="8" hidden="1"/>
    <cellStyle name="Hiperlink" xfId="167" builtinId="8" hidden="1"/>
    <cellStyle name="Hiperlink" xfId="175" builtinId="8" hidden="1"/>
    <cellStyle name="Hiperlink" xfId="183" builtinId="8" hidden="1"/>
    <cellStyle name="Hiperlink" xfId="191" builtinId="8" hidden="1"/>
    <cellStyle name="Hiperlink" xfId="199" builtinId="8" hidden="1"/>
    <cellStyle name="Hiperlink" xfId="207" builtinId="8" hidden="1"/>
    <cellStyle name="Hiperlink" xfId="215" builtinId="8" hidden="1"/>
    <cellStyle name="Hiperlink" xfId="223" builtinId="8" hidden="1"/>
    <cellStyle name="Hiperlink" xfId="231" builtinId="8" hidden="1"/>
    <cellStyle name="Hiperlink" xfId="239" builtinId="8" hidden="1"/>
    <cellStyle name="Hiperlink" xfId="247" builtinId="8" hidden="1"/>
    <cellStyle name="Hiperlink" xfId="255" builtinId="8" hidden="1"/>
    <cellStyle name="Hiperlink" xfId="263" builtinId="8" hidden="1"/>
    <cellStyle name="Hiperlink" xfId="271" builtinId="8" hidden="1"/>
    <cellStyle name="Hiperlink" xfId="279" builtinId="8" hidden="1"/>
    <cellStyle name="Hiperlink" xfId="287" builtinId="8" hidden="1"/>
    <cellStyle name="Hiperlink" xfId="295" builtinId="8" hidden="1"/>
    <cellStyle name="Hiperlink" xfId="303" builtinId="8" hidden="1"/>
    <cellStyle name="Hiperlink" xfId="311" builtinId="8" hidden="1"/>
    <cellStyle name="Hiperlink" xfId="319" builtinId="8" hidden="1"/>
    <cellStyle name="Hiperlink" xfId="327" builtinId="8" hidden="1"/>
    <cellStyle name="Hiperlink" xfId="335" builtinId="8" hidden="1"/>
    <cellStyle name="Hiperlink" xfId="343" builtinId="8" hidden="1"/>
    <cellStyle name="Hiperlink" xfId="351" builtinId="8" hidden="1"/>
    <cellStyle name="Hiperlink" xfId="359" builtinId="8" hidden="1"/>
    <cellStyle name="Hiperlink" xfId="367" builtinId="8" hidden="1"/>
    <cellStyle name="Hiperlink" xfId="375" builtinId="8" hidden="1"/>
    <cellStyle name="Hiperlink" xfId="383" builtinId="8" hidden="1"/>
    <cellStyle name="Hiperlink" xfId="391" builtinId="8" hidden="1"/>
    <cellStyle name="Hiperlink" xfId="399" builtinId="8" hidden="1"/>
    <cellStyle name="Hiperlink" xfId="407" builtinId="8" hidden="1"/>
    <cellStyle name="Hiperlink" xfId="415" builtinId="8" hidden="1"/>
    <cellStyle name="Hiperlink" xfId="423" builtinId="8" hidden="1"/>
    <cellStyle name="Hiperlink" xfId="431" builtinId="8" hidden="1"/>
    <cellStyle name="Hiperlink" xfId="439" builtinId="8" hidden="1"/>
    <cellStyle name="Hiperlink" xfId="447" builtinId="8" hidden="1"/>
    <cellStyle name="Hiperlink" xfId="455" builtinId="8" hidden="1"/>
    <cellStyle name="Hiperlink" xfId="463" builtinId="8" hidden="1"/>
    <cellStyle name="Hiperlink" xfId="471" builtinId="8" hidden="1"/>
    <cellStyle name="Hiperlink" xfId="479" builtinId="8" hidden="1"/>
    <cellStyle name="Hiperlink" xfId="487" builtinId="8" hidden="1"/>
    <cellStyle name="Hiperlink" xfId="495" builtinId="8" hidden="1"/>
    <cellStyle name="Hiperlink" xfId="503" builtinId="8" hidden="1"/>
    <cellStyle name="Hiperlink" xfId="511" builtinId="8" hidden="1"/>
    <cellStyle name="Hiperlink" xfId="519" builtinId="8" hidden="1"/>
    <cellStyle name="Hiperlink" xfId="527" builtinId="8" hidden="1"/>
    <cellStyle name="Hiperlink" xfId="535" builtinId="8" hidden="1"/>
    <cellStyle name="Hiperlink" xfId="543" builtinId="8" hidden="1"/>
    <cellStyle name="Hiperlink" xfId="551" builtinId="8" hidden="1"/>
    <cellStyle name="Hiperlink" xfId="559" builtinId="8" hidden="1"/>
    <cellStyle name="Hiperlink" xfId="567" builtinId="8" hidden="1"/>
    <cellStyle name="Hiperlink" xfId="575" builtinId="8" hidden="1"/>
    <cellStyle name="Hiperlink" xfId="583" builtinId="8" hidden="1"/>
    <cellStyle name="Hiperlink" xfId="591" builtinId="8" hidden="1"/>
    <cellStyle name="Hiperlink" xfId="599" builtinId="8" hidden="1"/>
    <cellStyle name="Hiperlink" xfId="607" builtinId="8" hidden="1"/>
    <cellStyle name="Hiperlink" xfId="615" builtinId="8" hidden="1"/>
    <cellStyle name="Hiperlink" xfId="623" builtinId="8" hidden="1"/>
    <cellStyle name="Hiperlink" xfId="631" builtinId="8" hidden="1"/>
    <cellStyle name="Hiperlink" xfId="639" builtinId="8" hidden="1"/>
    <cellStyle name="Hiperlink" xfId="647" builtinId="8" hidden="1"/>
    <cellStyle name="Hiperlink" xfId="655" builtinId="8" hidden="1"/>
    <cellStyle name="Hiperlink" xfId="663" builtinId="8" hidden="1"/>
    <cellStyle name="Hiperlink" xfId="671" builtinId="8" hidden="1"/>
    <cellStyle name="Hiperlink" xfId="679" builtinId="8" hidden="1"/>
    <cellStyle name="Hiperlink" xfId="687" builtinId="8" hidden="1"/>
    <cellStyle name="Hiperlink" xfId="695" builtinId="8" hidden="1"/>
    <cellStyle name="Hiperlink" xfId="703" builtinId="8" hidden="1"/>
    <cellStyle name="Hiperlink" xfId="711" builtinId="8" hidden="1"/>
    <cellStyle name="Hiperlink" xfId="719" builtinId="8" hidden="1"/>
    <cellStyle name="Hiperlink" xfId="727" builtinId="8" hidden="1"/>
    <cellStyle name="Hiperlink" xfId="735" builtinId="8" hidden="1"/>
    <cellStyle name="Hiperlink" xfId="743" builtinId="8" hidden="1"/>
    <cellStyle name="Hiperlink" xfId="751" builtinId="8" hidden="1"/>
    <cellStyle name="Hiperlink" xfId="759" builtinId="8" hidden="1"/>
    <cellStyle name="Hiperlink" xfId="767" builtinId="8" hidden="1"/>
    <cellStyle name="Hiperlink" xfId="761" builtinId="8" hidden="1"/>
    <cellStyle name="Hiperlink" xfId="753" builtinId="8" hidden="1"/>
    <cellStyle name="Hiperlink" xfId="745" builtinId="8" hidden="1"/>
    <cellStyle name="Hiperlink" xfId="737" builtinId="8" hidden="1"/>
    <cellStyle name="Hiperlink" xfId="729" builtinId="8" hidden="1"/>
    <cellStyle name="Hiperlink" xfId="721" builtinId="8" hidden="1"/>
    <cellStyle name="Hiperlink" xfId="713" builtinId="8" hidden="1"/>
    <cellStyle name="Hiperlink" xfId="705" builtinId="8" hidden="1"/>
    <cellStyle name="Hiperlink" xfId="697" builtinId="8" hidden="1"/>
    <cellStyle name="Hiperlink" xfId="689" builtinId="8" hidden="1"/>
    <cellStyle name="Hiperlink" xfId="681" builtinId="8" hidden="1"/>
    <cellStyle name="Hiperlink" xfId="673" builtinId="8" hidden="1"/>
    <cellStyle name="Hiperlink" xfId="665" builtinId="8" hidden="1"/>
    <cellStyle name="Hiperlink" xfId="657" builtinId="8" hidden="1"/>
    <cellStyle name="Hiperlink" xfId="649" builtinId="8" hidden="1"/>
    <cellStyle name="Hiperlink" xfId="641" builtinId="8" hidden="1"/>
    <cellStyle name="Hiperlink" xfId="633" builtinId="8" hidden="1"/>
    <cellStyle name="Hiperlink" xfId="625" builtinId="8" hidden="1"/>
    <cellStyle name="Hiperlink" xfId="617" builtinId="8" hidden="1"/>
    <cellStyle name="Hiperlink" xfId="609" builtinId="8" hidden="1"/>
    <cellStyle name="Hiperlink" xfId="601" builtinId="8" hidden="1"/>
    <cellStyle name="Hiperlink" xfId="593" builtinId="8" hidden="1"/>
    <cellStyle name="Hiperlink" xfId="585" builtinId="8" hidden="1"/>
    <cellStyle name="Hiperlink" xfId="577" builtinId="8" hidden="1"/>
    <cellStyle name="Hiperlink" xfId="569" builtinId="8" hidden="1"/>
    <cellStyle name="Hiperlink" xfId="561" builtinId="8" hidden="1"/>
    <cellStyle name="Hiperlink" xfId="553" builtinId="8" hidden="1"/>
    <cellStyle name="Hiperlink" xfId="545" builtinId="8" hidden="1"/>
    <cellStyle name="Hiperlink" xfId="537" builtinId="8" hidden="1"/>
    <cellStyle name="Hiperlink" xfId="529" builtinId="8" hidden="1"/>
    <cellStyle name="Hiperlink" xfId="521" builtinId="8" hidden="1"/>
    <cellStyle name="Hiperlink" xfId="513" builtinId="8" hidden="1"/>
    <cellStyle name="Hiperlink" xfId="505" builtinId="8" hidden="1"/>
    <cellStyle name="Hiperlink" xfId="497" builtinId="8" hidden="1"/>
    <cellStyle name="Hiperlink" xfId="489" builtinId="8" hidden="1"/>
    <cellStyle name="Hiperlink" xfId="481" builtinId="8" hidden="1"/>
    <cellStyle name="Hiperlink" xfId="473" builtinId="8" hidden="1"/>
    <cellStyle name="Hiperlink" xfId="465" builtinId="8" hidden="1"/>
    <cellStyle name="Hiperlink" xfId="457" builtinId="8" hidden="1"/>
    <cellStyle name="Hiperlink" xfId="449" builtinId="8" hidden="1"/>
    <cellStyle name="Hiperlink" xfId="441" builtinId="8" hidden="1"/>
    <cellStyle name="Hiperlink" xfId="433" builtinId="8" hidden="1"/>
    <cellStyle name="Hiperlink" xfId="425" builtinId="8" hidden="1"/>
    <cellStyle name="Hiperlink" xfId="417" builtinId="8" hidden="1"/>
    <cellStyle name="Hiperlink" xfId="409" builtinId="8" hidden="1"/>
    <cellStyle name="Hiperlink" xfId="401" builtinId="8" hidden="1"/>
    <cellStyle name="Hiperlink" xfId="393" builtinId="8" hidden="1"/>
    <cellStyle name="Hiperlink" xfId="385" builtinId="8" hidden="1"/>
    <cellStyle name="Hiperlink" xfId="377" builtinId="8" hidden="1"/>
    <cellStyle name="Hiperlink" xfId="369" builtinId="8" hidden="1"/>
    <cellStyle name="Hiperlink" xfId="361" builtinId="8" hidden="1"/>
    <cellStyle name="Hiperlink" xfId="353" builtinId="8" hidden="1"/>
    <cellStyle name="Hiperlink" xfId="345" builtinId="8" hidden="1"/>
    <cellStyle name="Hiperlink" xfId="337" builtinId="8" hidden="1"/>
    <cellStyle name="Hiperlink" xfId="329" builtinId="8" hidden="1"/>
    <cellStyle name="Hiperlink" xfId="321" builtinId="8" hidden="1"/>
    <cellStyle name="Hiperlink" xfId="313" builtinId="8" hidden="1"/>
    <cellStyle name="Hiperlink" xfId="305" builtinId="8" hidden="1"/>
    <cellStyle name="Hiperlink" xfId="297" builtinId="8" hidden="1"/>
    <cellStyle name="Hiperlink" xfId="289" builtinId="8" hidden="1"/>
    <cellStyle name="Hiperlink" xfId="281" builtinId="8" hidden="1"/>
    <cellStyle name="Hiperlink" xfId="273" builtinId="8" hidden="1"/>
    <cellStyle name="Hiperlink" xfId="265" builtinId="8" hidden="1"/>
    <cellStyle name="Hiperlink" xfId="257" builtinId="8" hidden="1"/>
    <cellStyle name="Hiperlink" xfId="249" builtinId="8" hidden="1"/>
    <cellStyle name="Hiperlink" xfId="241" builtinId="8" hidden="1"/>
    <cellStyle name="Hiperlink" xfId="233" builtinId="8" hidden="1"/>
    <cellStyle name="Hiperlink" xfId="225" builtinId="8" hidden="1"/>
    <cellStyle name="Hiperlink" xfId="217" builtinId="8" hidden="1"/>
    <cellStyle name="Hiperlink" xfId="209" builtinId="8" hidden="1"/>
    <cellStyle name="Hiperlink" xfId="201" builtinId="8" hidden="1"/>
    <cellStyle name="Hiperlink" xfId="193" builtinId="8" hidden="1"/>
    <cellStyle name="Hiperlink" xfId="185" builtinId="8" hidden="1"/>
    <cellStyle name="Hiperlink" xfId="105" builtinId="8" hidden="1"/>
    <cellStyle name="Hiperlink" xfId="109" builtinId="8" hidden="1"/>
    <cellStyle name="Hiperlink" xfId="117" builtinId="8" hidden="1"/>
    <cellStyle name="Hiperlink" xfId="121" builtinId="8" hidden="1"/>
    <cellStyle name="Hiperlink" xfId="125" builtinId="8" hidden="1"/>
    <cellStyle name="Hiperlink" xfId="133" builtinId="8" hidden="1"/>
    <cellStyle name="Hiperlink" xfId="137" builtinId="8" hidden="1"/>
    <cellStyle name="Hiperlink" xfId="141" builtinId="8" hidden="1"/>
    <cellStyle name="Hiperlink" xfId="149" builtinId="8" hidden="1"/>
    <cellStyle name="Hiperlink" xfId="153" builtinId="8" hidden="1"/>
    <cellStyle name="Hiperlink" xfId="157" builtinId="8" hidden="1"/>
    <cellStyle name="Hiperlink" xfId="165" builtinId="8" hidden="1"/>
    <cellStyle name="Hiperlink" xfId="169" builtinId="8" hidden="1"/>
    <cellStyle name="Hiperlink" xfId="173" builtinId="8" hidden="1"/>
    <cellStyle name="Hiperlink" xfId="181" builtinId="8" hidden="1"/>
    <cellStyle name="Hiperlink" xfId="177" builtinId="8" hidden="1"/>
    <cellStyle name="Hiperlink" xfId="161" builtinId="8" hidden="1"/>
    <cellStyle name="Hiperlink" xfId="145" builtinId="8" hidden="1"/>
    <cellStyle name="Hiperlink" xfId="129" builtinId="8" hidden="1"/>
    <cellStyle name="Hiperlink" xfId="113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101" builtinId="8" hidden="1"/>
    <cellStyle name="Hiperlink" xfId="97" builtinId="8" hidden="1"/>
    <cellStyle name="Hiperlink" xfId="73" builtinId="8" hidden="1"/>
    <cellStyle name="Hiperlink" xfId="77" builtinId="8" hidden="1"/>
    <cellStyle name="Hiperlink" xfId="69" builtinId="8" hidden="1"/>
    <cellStyle name="Hiperlink" xfId="65" builtinId="8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4" builtinId="9" hidden="1"/>
    <cellStyle name="Hiperlink Visitado" xfId="8" builtinId="9" hidden="1"/>
    <cellStyle name="Hiperlink Visitado" xfId="10" builtinId="9" hidden="1"/>
    <cellStyle name="Hiperlink Visitado" xfId="22" builtinId="9" hidden="1"/>
    <cellStyle name="Hiperlink Visitado" xfId="56" builtinId="9" hidden="1"/>
    <cellStyle name="Hiperlink Visitado" xfId="48" builtinId="9" hidden="1"/>
    <cellStyle name="Hiperlink Visitado" xfId="40" builtinId="9" hidden="1"/>
    <cellStyle name="Hiperlink Visitado" xfId="32" builtinId="9" hidden="1"/>
    <cellStyle name="Hiperlink Visitado" xfId="120" builtinId="9" hidden="1"/>
    <cellStyle name="Hiperlink Visitado" xfId="112" builtinId="9" hidden="1"/>
    <cellStyle name="Hiperlink Visitado" xfId="104" builtinId="9" hidden="1"/>
    <cellStyle name="Hiperlink Visitado" xfId="94" builtinId="9" hidden="1"/>
    <cellStyle name="Hiperlink Visitado" xfId="86" builtinId="9" hidden="1"/>
    <cellStyle name="Hiperlink Visitado" xfId="78" builtinId="9" hidden="1"/>
    <cellStyle name="Hiperlink Visitado" xfId="68" builtinId="9" hidden="1"/>
    <cellStyle name="Hiperlink Visitado" xfId="60" builtinId="9" hidden="1"/>
    <cellStyle name="Hiperlink Visitado" xfId="166" builtinId="9" hidden="1"/>
    <cellStyle name="Hiperlink Visitado" xfId="230" builtinId="9" hidden="1"/>
    <cellStyle name="Hiperlink Visitado" xfId="274" builtinId="9" hidden="1"/>
    <cellStyle name="Hiperlink Visitado" xfId="266" builtinId="9" hidden="1"/>
    <cellStyle name="Hiperlink Visitado" xfId="256" builtinId="9" hidden="1"/>
    <cellStyle name="Hiperlink Visitado" xfId="248" builtinId="9" hidden="1"/>
    <cellStyle name="Hiperlink Visitado" xfId="238" builtinId="9" hidden="1"/>
    <cellStyle name="Hiperlink Visitado" xfId="228" builtinId="9" hidden="1"/>
    <cellStyle name="Hiperlink Visitado" xfId="220" builtinId="9" hidden="1"/>
    <cellStyle name="Hiperlink Visitado" xfId="210" builtinId="9" hidden="1"/>
    <cellStyle name="Hiperlink Visitado" xfId="202" builtinId="9" hidden="1"/>
    <cellStyle name="Hiperlink Visitado" xfId="192" builtinId="9" hidden="1"/>
    <cellStyle name="Hiperlink Visitado" xfId="184" builtinId="9" hidden="1"/>
    <cellStyle name="Hiperlink Visitado" xfId="174" builtinId="9" hidden="1"/>
    <cellStyle name="Hiperlink Visitado" xfId="164" builtinId="9" hidden="1"/>
    <cellStyle name="Hiperlink Visitado" xfId="156" builtinId="9" hidden="1"/>
    <cellStyle name="Hiperlink Visitado" xfId="146" builtinId="9" hidden="1"/>
    <cellStyle name="Hiperlink Visitado" xfId="138" builtinId="9" hidden="1"/>
    <cellStyle name="Hiperlink Visitado" xfId="128" builtinId="9" hidden="1"/>
    <cellStyle name="Hiperlink Visitado" xfId="278" builtinId="9" hidden="1"/>
    <cellStyle name="Hiperlink Visitado" xfId="310" builtinId="9" hidden="1"/>
    <cellStyle name="Hiperlink Visitado" xfId="342" builtinId="9" hidden="1"/>
    <cellStyle name="Hiperlink Visitado" xfId="374" builtinId="9" hidden="1"/>
    <cellStyle name="Hiperlink Visitado" xfId="406" builtinId="9" hidden="1"/>
    <cellStyle name="Hiperlink Visitado" xfId="438" builtinId="9" hidden="1"/>
    <cellStyle name="Hiperlink Visitado" xfId="470" builtinId="9" hidden="1"/>
    <cellStyle name="Hiperlink Visitado" xfId="502" builtinId="9" hidden="1"/>
    <cellStyle name="Hiperlink Visitado" xfId="534" builtinId="9" hidden="1"/>
    <cellStyle name="Hiperlink Visitado" xfId="566" builtinId="9" hidden="1"/>
    <cellStyle name="Hiperlink Visitado" xfId="598" builtinId="9" hidden="1"/>
    <cellStyle name="Hiperlink Visitado" xfId="630" builtinId="9" hidden="1"/>
    <cellStyle name="Hiperlink Visitado" xfId="662" builtinId="9" hidden="1"/>
    <cellStyle name="Hiperlink Visitado" xfId="694" builtinId="9" hidden="1"/>
    <cellStyle name="Hiperlink Visitado" xfId="726" builtinId="9" hidden="1"/>
    <cellStyle name="Hiperlink Visitado" xfId="758" builtinId="9" hidden="1"/>
    <cellStyle name="Hiperlink Visitado" xfId="762" builtinId="9" hidden="1"/>
    <cellStyle name="Hiperlink Visitado" xfId="752" builtinId="9" hidden="1"/>
    <cellStyle name="Hiperlink Visitado" xfId="740" builtinId="9" hidden="1"/>
    <cellStyle name="Hiperlink Visitado" xfId="730" builtinId="9" hidden="1"/>
    <cellStyle name="Hiperlink Visitado" xfId="720" builtinId="9" hidden="1"/>
    <cellStyle name="Hiperlink Visitado" xfId="708" builtinId="9" hidden="1"/>
    <cellStyle name="Hiperlink Visitado" xfId="698" builtinId="9" hidden="1"/>
    <cellStyle name="Hiperlink Visitado" xfId="688" builtinId="9" hidden="1"/>
    <cellStyle name="Hiperlink Visitado" xfId="676" builtinId="9" hidden="1"/>
    <cellStyle name="Hiperlink Visitado" xfId="666" builtinId="9" hidden="1"/>
    <cellStyle name="Hiperlink Visitado" xfId="656" builtinId="9" hidden="1"/>
    <cellStyle name="Hiperlink Visitado" xfId="64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24" builtinId="9" hidden="1"/>
    <cellStyle name="Hiperlink Visitado" xfId="602" builtinId="9" hidden="1"/>
    <cellStyle name="Hiperlink Visitado" xfId="580" builtinId="9" hidden="1"/>
    <cellStyle name="Hiperlink Visitado" xfId="560" builtinId="9" hidden="1"/>
    <cellStyle name="Hiperlink Visitado" xfId="538" builtinId="9" hidden="1"/>
    <cellStyle name="Hiperlink Visitado" xfId="516" builtinId="9" hidden="1"/>
    <cellStyle name="Hiperlink Visitado" xfId="496" builtinId="9" hidden="1"/>
    <cellStyle name="Hiperlink Visitado" xfId="474" builtinId="9" hidden="1"/>
    <cellStyle name="Hiperlink Visitado" xfId="452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10" builtinId="9" hidden="1"/>
    <cellStyle name="Hiperlink Visitado" xfId="368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82" builtinId="9" hidden="1"/>
    <cellStyle name="Hiperlink Visitado" xfId="284" builtinId="9" hidden="1"/>
    <cellStyle name="Hiperlink Visitado" xfId="280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abSelected="1" topLeftCell="A25" workbookViewId="0">
      <selection activeCell="F29" sqref="F29"/>
    </sheetView>
  </sheetViews>
  <sheetFormatPr defaultColWidth="11" defaultRowHeight="15.75" x14ac:dyDescent="0.2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 x14ac:dyDescent="0.25">
      <c r="A1" s="238" t="s">
        <v>0</v>
      </c>
      <c r="B1" s="238"/>
      <c r="C1" s="238"/>
    </row>
    <row r="2" spans="1:15" ht="15" customHeight="1" x14ac:dyDescent="0.25">
      <c r="A2" s="238"/>
      <c r="B2" s="238"/>
      <c r="C2" s="238"/>
      <c r="F2" t="s">
        <v>1</v>
      </c>
      <c r="H2" s="213">
        <v>125000</v>
      </c>
    </row>
    <row r="3" spans="1:15" ht="15" customHeight="1" x14ac:dyDescent="0.25">
      <c r="A3" s="238"/>
      <c r="B3" s="238"/>
      <c r="C3" s="238"/>
      <c r="F3" t="s">
        <v>2</v>
      </c>
      <c r="H3" s="84">
        <v>137000</v>
      </c>
    </row>
    <row r="4" spans="1:15" ht="15" customHeight="1" x14ac:dyDescent="0.25">
      <c r="A4" s="238"/>
      <c r="B4" s="238"/>
      <c r="C4" s="238"/>
      <c r="F4" t="s">
        <v>3</v>
      </c>
    </row>
    <row r="5" spans="1:15" ht="15" customHeight="1" x14ac:dyDescent="0.25">
      <c r="A5" s="239" t="s">
        <v>4</v>
      </c>
      <c r="B5" s="239"/>
      <c r="C5" s="239"/>
    </row>
    <row r="6" spans="1:15" ht="15" customHeight="1" x14ac:dyDescent="0.25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 x14ac:dyDescent="0.25">
      <c r="B7" t="s">
        <v>7</v>
      </c>
      <c r="C7">
        <v>0</v>
      </c>
      <c r="E7" s="55" t="s">
        <v>8</v>
      </c>
      <c r="F7" s="55" t="s">
        <v>9</v>
      </c>
      <c r="G7" s="209">
        <v>110250</v>
      </c>
      <c r="H7" s="55"/>
    </row>
    <row r="8" spans="1:15" ht="15" customHeight="1" x14ac:dyDescent="0.25">
      <c r="B8" t="s">
        <v>10</v>
      </c>
      <c r="C8" s="3">
        <f>EDATE(C6,C7)</f>
        <v>42705</v>
      </c>
      <c r="E8" s="55" t="s">
        <v>11</v>
      </c>
      <c r="F8" s="55" t="s">
        <v>12</v>
      </c>
      <c r="G8" s="209">
        <f>19500</f>
        <v>19500</v>
      </c>
      <c r="H8" s="55" t="s">
        <v>13</v>
      </c>
    </row>
    <row r="9" spans="1:15" ht="15" customHeight="1" x14ac:dyDescent="0.25">
      <c r="B9" t="s">
        <v>14</v>
      </c>
      <c r="C9">
        <v>2</v>
      </c>
      <c r="E9" s="55" t="s">
        <v>15</v>
      </c>
      <c r="F9" s="55" t="s">
        <v>16</v>
      </c>
      <c r="G9" s="209">
        <v>13450</v>
      </c>
      <c r="H9" s="55" t="s">
        <v>17</v>
      </c>
    </row>
    <row r="10" spans="1:15" ht="15" customHeight="1" x14ac:dyDescent="0.25">
      <c r="B10" s="59" t="s">
        <v>18</v>
      </c>
      <c r="C10" s="79">
        <f>EDATE(C6,C9)</f>
        <v>42767</v>
      </c>
      <c r="E10" s="55"/>
      <c r="F10" s="55"/>
      <c r="G10" s="210">
        <f>SUM(G7:G9)</f>
        <v>143200</v>
      </c>
      <c r="H10" s="55"/>
      <c r="N10" s="1"/>
      <c r="O10" s="1"/>
    </row>
    <row r="11" spans="1:15" ht="15" customHeight="1" x14ac:dyDescent="0.25">
      <c r="B11" t="s">
        <v>19</v>
      </c>
      <c r="C11">
        <v>2</v>
      </c>
    </row>
    <row r="12" spans="1:15" ht="15" customHeight="1" x14ac:dyDescent="0.25">
      <c r="B12" t="s">
        <v>20</v>
      </c>
      <c r="C12" s="3">
        <f>EDATE(C15,C11)</f>
        <v>43191</v>
      </c>
      <c r="F12" t="s">
        <v>21</v>
      </c>
      <c r="G12" s="210">
        <v>600</v>
      </c>
    </row>
    <row r="13" spans="1:15" ht="15" customHeight="1" x14ac:dyDescent="0.25">
      <c r="A13" s="243" t="s">
        <v>22</v>
      </c>
      <c r="B13" s="55" t="s">
        <v>23</v>
      </c>
      <c r="C13" s="55">
        <v>12</v>
      </c>
      <c r="F13" s="55" t="s">
        <v>24</v>
      </c>
      <c r="G13" s="210">
        <v>500</v>
      </c>
    </row>
    <row r="14" spans="1:15" ht="15" customHeight="1" x14ac:dyDescent="0.25">
      <c r="A14" s="243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 x14ac:dyDescent="0.25">
      <c r="A15" s="243"/>
      <c r="B15" s="55" t="s">
        <v>27</v>
      </c>
      <c r="C15" s="167">
        <f>EDATE(C10,C13)</f>
        <v>43132</v>
      </c>
    </row>
    <row r="16" spans="1:15" ht="15" customHeight="1" x14ac:dyDescent="0.25">
      <c r="A16" s="243"/>
      <c r="B16" s="55" t="s">
        <v>20</v>
      </c>
      <c r="C16" s="167">
        <f>EDATE(C15,2)</f>
        <v>43191</v>
      </c>
    </row>
    <row r="17" spans="1:8" x14ac:dyDescent="0.25">
      <c r="A17" s="243"/>
      <c r="B17" s="55" t="s">
        <v>28</v>
      </c>
      <c r="C17" s="181"/>
    </row>
    <row r="18" spans="1:8" x14ac:dyDescent="0.25">
      <c r="A18" s="239" t="s">
        <v>29</v>
      </c>
      <c r="B18" s="239"/>
      <c r="C18" s="239"/>
    </row>
    <row r="19" spans="1:8" x14ac:dyDescent="0.25">
      <c r="B19" t="s">
        <v>30</v>
      </c>
      <c r="C19">
        <v>12</v>
      </c>
      <c r="E19" s="242" t="s">
        <v>31</v>
      </c>
      <c r="F19" s="242"/>
    </row>
    <row r="20" spans="1:8" x14ac:dyDescent="0.25">
      <c r="B20" t="s">
        <v>32</v>
      </c>
      <c r="C20" s="3">
        <f>EDATE(C10,C19)</f>
        <v>43132</v>
      </c>
      <c r="E20" s="242"/>
      <c r="F20" s="242"/>
    </row>
    <row r="21" spans="1:8" x14ac:dyDescent="0.25">
      <c r="B21" t="s">
        <v>33</v>
      </c>
      <c r="C21" t="s">
        <v>34</v>
      </c>
      <c r="E21" s="55" t="s">
        <v>35</v>
      </c>
      <c r="F21" s="55" t="s">
        <v>36</v>
      </c>
    </row>
    <row r="22" spans="1:8" ht="23.25" x14ac:dyDescent="0.35">
      <c r="B22" s="59" t="s">
        <v>37</v>
      </c>
      <c r="C22" s="60">
        <v>0.03</v>
      </c>
      <c r="D22" s="222" t="s">
        <v>38</v>
      </c>
      <c r="E22" s="221">
        <f>C33</f>
        <v>297000</v>
      </c>
      <c r="F22" s="223">
        <v>0</v>
      </c>
    </row>
    <row r="23" spans="1:8" x14ac:dyDescent="0.25">
      <c r="A23" s="239" t="s">
        <v>39</v>
      </c>
      <c r="B23" s="239"/>
      <c r="C23" s="239"/>
      <c r="D23" s="195">
        <v>0.22</v>
      </c>
      <c r="E23" s="177">
        <f>E22*(1-D23)</f>
        <v>231660</v>
      </c>
      <c r="F23" s="208">
        <v>1</v>
      </c>
    </row>
    <row r="24" spans="1:8" x14ac:dyDescent="0.25">
      <c r="A24" s="95" t="s">
        <v>40</v>
      </c>
      <c r="B24" s="95" t="s">
        <v>41</v>
      </c>
      <c r="C24" s="143" t="s">
        <v>42</v>
      </c>
      <c r="D24" s="214">
        <v>0.12</v>
      </c>
      <c r="E24" s="154">
        <f>E23*(1-D24)</f>
        <v>203860.8</v>
      </c>
      <c r="F24" s="223">
        <v>2</v>
      </c>
    </row>
    <row r="25" spans="1:8" x14ac:dyDescent="0.25">
      <c r="A25" s="95" t="s">
        <v>43</v>
      </c>
      <c r="B25" s="95" t="s">
        <v>41</v>
      </c>
      <c r="C25" s="143" t="s">
        <v>42</v>
      </c>
      <c r="D25" s="195">
        <v>0.12</v>
      </c>
      <c r="E25" s="177">
        <f>E24*(1-D25)</f>
        <v>179397.50399999999</v>
      </c>
      <c r="F25" s="208">
        <v>3</v>
      </c>
    </row>
    <row r="26" spans="1:8" x14ac:dyDescent="0.25">
      <c r="A26" s="224" t="s">
        <v>22</v>
      </c>
      <c r="B26" s="55" t="s">
        <v>44</v>
      </c>
      <c r="C26" s="94"/>
      <c r="D26" s="195">
        <v>0.12</v>
      </c>
      <c r="E26" s="176">
        <f>E25*(1-D26)</f>
        <v>157869.80351999999</v>
      </c>
      <c r="F26" s="223">
        <v>4</v>
      </c>
    </row>
    <row r="27" spans="1:8" x14ac:dyDescent="0.25">
      <c r="A27" s="224"/>
      <c r="B27" s="55"/>
      <c r="C27" s="94"/>
      <c r="D27" s="195">
        <v>0.12</v>
      </c>
      <c r="E27" s="176">
        <f>E26*(1-D27)</f>
        <v>138925.42709759998</v>
      </c>
      <c r="F27" s="208">
        <v>5</v>
      </c>
    </row>
    <row r="28" spans="1:8" ht="16.5" thickBot="1" x14ac:dyDescent="0.3">
      <c r="A28" s="239" t="s">
        <v>45</v>
      </c>
      <c r="B28" s="239"/>
      <c r="C28" s="239"/>
      <c r="E28" s="154">
        <f>1*0.8*0.85</f>
        <v>0.68</v>
      </c>
    </row>
    <row r="29" spans="1:8" ht="16.5" thickBot="1" x14ac:dyDescent="0.3">
      <c r="A29" s="220" t="s">
        <v>46</v>
      </c>
      <c r="B29" s="92" t="s">
        <v>47</v>
      </c>
      <c r="C29" s="93">
        <v>275000</v>
      </c>
      <c r="E29" s="216" t="s">
        <v>48</v>
      </c>
      <c r="F29" s="218">
        <v>5.8000000000000003E-2</v>
      </c>
      <c r="H29" s="176">
        <f>C32</f>
        <v>297000</v>
      </c>
    </row>
    <row r="30" spans="1:8" ht="16.5" thickBot="1" x14ac:dyDescent="0.3">
      <c r="A30" s="91" t="s">
        <v>49</v>
      </c>
      <c r="B30" s="92" t="s">
        <v>47</v>
      </c>
      <c r="C30" s="93">
        <v>22000</v>
      </c>
      <c r="D30" s="176">
        <f>C30*0.3</f>
        <v>6600</v>
      </c>
      <c r="E30" s="154"/>
      <c r="F30" s="176"/>
    </row>
    <row r="31" spans="1:8" ht="16.5" thickBot="1" x14ac:dyDescent="0.3">
      <c r="A31" s="91" t="s">
        <v>50</v>
      </c>
      <c r="B31" s="92" t="s">
        <v>51</v>
      </c>
      <c r="C31" s="93"/>
      <c r="D31" s="176" t="s">
        <v>52</v>
      </c>
      <c r="E31" s="154"/>
      <c r="F31" s="176"/>
    </row>
    <row r="32" spans="1:8" ht="30" customHeight="1" thickBot="1" x14ac:dyDescent="0.3">
      <c r="A32" s="185" t="s">
        <v>53</v>
      </c>
      <c r="B32" s="92" t="s">
        <v>47</v>
      </c>
      <c r="C32" s="93">
        <f>C29+C30</f>
        <v>297000</v>
      </c>
      <c r="E32" s="154"/>
      <c r="F32" s="176"/>
    </row>
    <row r="33" spans="1:5" ht="30" customHeight="1" x14ac:dyDescent="0.25">
      <c r="A33" s="166" t="s">
        <v>54</v>
      </c>
      <c r="B33" t="s">
        <v>47</v>
      </c>
      <c r="C33" s="90">
        <f>SUM(C31:C32)</f>
        <v>297000</v>
      </c>
      <c r="E33" s="154"/>
    </row>
    <row r="34" spans="1:5" ht="16.5" thickBot="1" x14ac:dyDescent="0.3">
      <c r="A34" s="239" t="s">
        <v>55</v>
      </c>
      <c r="B34" s="239"/>
      <c r="C34" s="239"/>
      <c r="D34" s="239"/>
      <c r="E34" s="239"/>
    </row>
    <row r="35" spans="1:5" ht="33" customHeight="1" thickBot="1" x14ac:dyDescent="0.3">
      <c r="A35" s="186" t="s">
        <v>56</v>
      </c>
      <c r="B35" s="168"/>
      <c r="C35" s="169">
        <v>2</v>
      </c>
      <c r="D35" s="170" t="s">
        <v>57</v>
      </c>
      <c r="E35" s="171" t="s">
        <v>58</v>
      </c>
    </row>
    <row r="36" spans="1:5" ht="30.95" customHeight="1" thickBot="1" x14ac:dyDescent="0.3">
      <c r="A36" s="91" t="str">
        <f>A29</f>
        <v>express</v>
      </c>
      <c r="B36" s="92" t="s">
        <v>47</v>
      </c>
      <c r="C36" s="93">
        <v>218223.72</v>
      </c>
      <c r="D36" s="179">
        <f>C36/(C29+C30)</f>
        <v>0.73475999999999997</v>
      </c>
      <c r="E36" s="179">
        <f>1-D36</f>
        <v>0.26524000000000003</v>
      </c>
    </row>
    <row r="37" spans="1:5" x14ac:dyDescent="0.25">
      <c r="A37" s="239" t="s">
        <v>59</v>
      </c>
      <c r="B37" s="239"/>
      <c r="C37" s="239"/>
    </row>
    <row r="38" spans="1:5" x14ac:dyDescent="0.25">
      <c r="A38" s="240" t="s">
        <v>60</v>
      </c>
      <c r="B38" s="240"/>
      <c r="C38" s="42">
        <v>0.25</v>
      </c>
    </row>
    <row r="39" spans="1:5" x14ac:dyDescent="0.25">
      <c r="A39" s="240" t="s">
        <v>61</v>
      </c>
      <c r="B39" s="241"/>
      <c r="C39" s="159">
        <f>C38/12</f>
        <v>2.0833333333333332E-2</v>
      </c>
    </row>
    <row r="40" spans="1:5" ht="16.5" thickBot="1" x14ac:dyDescent="0.3">
      <c r="A40" s="240" t="s">
        <v>62</v>
      </c>
      <c r="B40" s="240"/>
      <c r="C40" s="187">
        <f>C32</f>
        <v>297000</v>
      </c>
    </row>
    <row r="41" spans="1:5" ht="16.5" thickBot="1" x14ac:dyDescent="0.3">
      <c r="A41" s="244" t="s">
        <v>63</v>
      </c>
      <c r="B41" s="245"/>
      <c r="C41" s="188">
        <f>C40*C39</f>
        <v>6187.5</v>
      </c>
    </row>
    <row r="42" spans="1:5" ht="16.5" thickBot="1" x14ac:dyDescent="0.3">
      <c r="A42" s="245" t="s">
        <v>64</v>
      </c>
      <c r="B42" s="245"/>
      <c r="C42" s="201">
        <f>SUM(Cashflow!H21:CI21)</f>
        <v>92812.5</v>
      </c>
    </row>
    <row r="43" spans="1:5" ht="16.5" thickBot="1" x14ac:dyDescent="0.3">
      <c r="A43" s="245"/>
      <c r="B43" s="245"/>
      <c r="C43" s="201"/>
    </row>
    <row r="44" spans="1:5" x14ac:dyDescent="0.25">
      <c r="A44" s="237" t="s">
        <v>65</v>
      </c>
      <c r="B44" s="237"/>
      <c r="C44" s="237"/>
    </row>
    <row r="45" spans="1:5" x14ac:dyDescent="0.25">
      <c r="B45" s="5"/>
      <c r="C45" s="5" t="s">
        <v>66</v>
      </c>
    </row>
    <row r="46" spans="1:5" x14ac:dyDescent="0.25">
      <c r="B46" s="5" t="s">
        <v>67</v>
      </c>
      <c r="C46" s="35">
        <v>6.4999999999999997E-3</v>
      </c>
    </row>
    <row r="47" spans="1:5" x14ac:dyDescent="0.25">
      <c r="B47" s="5" t="s">
        <v>68</v>
      </c>
      <c r="C47" s="36">
        <v>0.03</v>
      </c>
    </row>
    <row r="48" spans="1:5" x14ac:dyDescent="0.25">
      <c r="B48" s="5" t="s">
        <v>69</v>
      </c>
      <c r="C48" s="36">
        <v>3.6999999999999998E-2</v>
      </c>
    </row>
    <row r="54" ht="27" customHeight="1" x14ac:dyDescent="0.25"/>
  </sheetData>
  <mergeCells count="16">
    <mergeCell ref="A44:C44"/>
    <mergeCell ref="A1:C4"/>
    <mergeCell ref="A37:C37"/>
    <mergeCell ref="A38:B38"/>
    <mergeCell ref="A39:B39"/>
    <mergeCell ref="A5:C5"/>
    <mergeCell ref="A18:C18"/>
    <mergeCell ref="A23:C23"/>
    <mergeCell ref="A28:C28"/>
    <mergeCell ref="A34:E34"/>
    <mergeCell ref="E19:F20"/>
    <mergeCell ref="A13:A17"/>
    <mergeCell ref="A40:B40"/>
    <mergeCell ref="A41:B41"/>
    <mergeCell ref="A42:B42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DH96"/>
  <sheetViews>
    <sheetView showGridLines="0" topLeftCell="F1" zoomScale="90" zoomScaleNormal="90" zoomScalePageLayoutView="90" workbookViewId="0">
      <pane xSplit="5" ySplit="9" topLeftCell="K90" activePane="bottomRight" state="frozen"/>
      <selection pane="topRight" activeCell="K1" sqref="K1"/>
      <selection pane="bottomLeft" activeCell="F15" sqref="F15"/>
      <selection pane="bottomRight" activeCell="A94" sqref="A94:XFD94"/>
    </sheetView>
  </sheetViews>
  <sheetFormatPr defaultColWidth="11" defaultRowHeight="15.75" x14ac:dyDescent="0.2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24" x14ac:dyDescent="0.25">
      <c r="G1" s="228" t="s">
        <v>70</v>
      </c>
      <c r="H1" s="229"/>
    </row>
    <row r="2" spans="1:24" ht="15.95" customHeight="1" x14ac:dyDescent="0.25">
      <c r="G2" s="85" t="s">
        <v>71</v>
      </c>
      <c r="H2" s="86">
        <v>12</v>
      </c>
    </row>
    <row r="3" spans="1:24" ht="32.1" customHeight="1" x14ac:dyDescent="0.25">
      <c r="G3" s="85" t="s">
        <v>72</v>
      </c>
      <c r="H3" s="206" t="str">
        <f>Dados!A29</f>
        <v>express</v>
      </c>
    </row>
    <row r="4" spans="1:24" x14ac:dyDescent="0.25">
      <c r="G4" s="85" t="s">
        <v>73</v>
      </c>
      <c r="H4" s="86">
        <f>Dados!C14</f>
        <v>0</v>
      </c>
    </row>
    <row r="5" spans="1:24" x14ac:dyDescent="0.25">
      <c r="G5" s="230"/>
      <c r="H5" s="230"/>
      <c r="I5" s="101"/>
      <c r="J5" s="231" t="s">
        <v>74</v>
      </c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07" t="s">
        <v>75</v>
      </c>
      <c r="W5" s="207"/>
      <c r="X5" s="207"/>
    </row>
    <row r="6" spans="1:24" x14ac:dyDescent="0.25">
      <c r="E6">
        <v>6</v>
      </c>
      <c r="V6" s="102"/>
      <c r="W6" s="102"/>
      <c r="X6" s="102"/>
    </row>
    <row r="7" spans="1:24" x14ac:dyDescent="0.25">
      <c r="G7" s="5"/>
      <c r="H7" s="14">
        <v>43466</v>
      </c>
      <c r="I7" s="14">
        <f>EDATE(H7,1)</f>
        <v>43497</v>
      </c>
      <c r="J7" s="14">
        <f t="shared" ref="J7:T7" si="0">EDATE(I7,1)</f>
        <v>43525</v>
      </c>
      <c r="K7" s="14">
        <f t="shared" si="0"/>
        <v>43556</v>
      </c>
      <c r="L7" s="14">
        <f t="shared" si="0"/>
        <v>43586</v>
      </c>
      <c r="M7" s="14">
        <f t="shared" si="0"/>
        <v>43617</v>
      </c>
      <c r="N7" s="14">
        <f t="shared" si="0"/>
        <v>43647</v>
      </c>
      <c r="O7" s="14">
        <f t="shared" si="0"/>
        <v>43678</v>
      </c>
      <c r="P7" s="14">
        <f t="shared" si="0"/>
        <v>43709</v>
      </c>
      <c r="Q7" s="14">
        <f t="shared" si="0"/>
        <v>43739</v>
      </c>
      <c r="R7" s="14">
        <f t="shared" si="0"/>
        <v>43770</v>
      </c>
      <c r="S7" s="14">
        <f t="shared" si="0"/>
        <v>43800</v>
      </c>
      <c r="T7" s="14">
        <f t="shared" si="0"/>
        <v>43831</v>
      </c>
      <c r="U7" s="14">
        <f>EDATE(T7,1)</f>
        <v>43862</v>
      </c>
      <c r="V7" s="14">
        <f t="shared" ref="V7:X7" si="1">EDATE(U7,1)</f>
        <v>43891</v>
      </c>
      <c r="W7" s="14">
        <f t="shared" si="1"/>
        <v>43922</v>
      </c>
      <c r="X7" s="14">
        <f t="shared" si="1"/>
        <v>43952</v>
      </c>
    </row>
    <row r="8" spans="1:24" x14ac:dyDescent="0.25">
      <c r="G8" s="16" t="s">
        <v>76</v>
      </c>
      <c r="H8" s="15">
        <v>0</v>
      </c>
      <c r="I8" s="15">
        <f>H8+1</f>
        <v>1</v>
      </c>
      <c r="J8" s="15">
        <f>I8+1</f>
        <v>2</v>
      </c>
      <c r="K8" s="15">
        <f t="shared" ref="K8:T8" si="2">J8+1</f>
        <v>3</v>
      </c>
      <c r="L8" s="15">
        <f t="shared" si="2"/>
        <v>4</v>
      </c>
      <c r="M8" s="15">
        <f t="shared" si="2"/>
        <v>5</v>
      </c>
      <c r="N8" s="15">
        <f t="shared" si="2"/>
        <v>6</v>
      </c>
      <c r="O8" s="15">
        <f t="shared" si="2"/>
        <v>7</v>
      </c>
      <c r="P8" s="15">
        <f t="shared" si="2"/>
        <v>8</v>
      </c>
      <c r="Q8" s="15">
        <f t="shared" si="2"/>
        <v>9</v>
      </c>
      <c r="R8" s="15">
        <f t="shared" si="2"/>
        <v>10</v>
      </c>
      <c r="S8" s="15">
        <f t="shared" si="2"/>
        <v>11</v>
      </c>
      <c r="T8" s="15">
        <f t="shared" si="2"/>
        <v>12</v>
      </c>
      <c r="U8" s="15">
        <f>T8+1</f>
        <v>13</v>
      </c>
      <c r="V8" s="15">
        <f t="shared" ref="V8:X8" si="3">U8+1</f>
        <v>14</v>
      </c>
      <c r="W8" s="15">
        <f t="shared" si="3"/>
        <v>15</v>
      </c>
      <c r="X8" s="15">
        <f t="shared" si="3"/>
        <v>16</v>
      </c>
    </row>
    <row r="9" spans="1:24" x14ac:dyDescent="0.25">
      <c r="A9" t="s">
        <v>77</v>
      </c>
      <c r="G9" s="107" t="s">
        <v>78</v>
      </c>
      <c r="H9" s="21"/>
      <c r="I9" s="21"/>
      <c r="J9" s="115">
        <v>1</v>
      </c>
      <c r="K9" s="107">
        <f>J9+1</f>
        <v>2</v>
      </c>
      <c r="L9" s="107">
        <f t="shared" ref="L9:T9" si="4">K9+1</f>
        <v>3</v>
      </c>
      <c r="M9" s="107">
        <f t="shared" si="4"/>
        <v>4</v>
      </c>
      <c r="N9" s="107">
        <f t="shared" si="4"/>
        <v>5</v>
      </c>
      <c r="O9" s="107">
        <f t="shared" si="4"/>
        <v>6</v>
      </c>
      <c r="P9" s="107">
        <f t="shared" si="4"/>
        <v>7</v>
      </c>
      <c r="Q9" s="107">
        <f t="shared" si="4"/>
        <v>8</v>
      </c>
      <c r="R9" s="107">
        <f t="shared" si="4"/>
        <v>9</v>
      </c>
      <c r="S9" s="107">
        <f t="shared" si="4"/>
        <v>10</v>
      </c>
      <c r="T9" s="107">
        <f t="shared" si="4"/>
        <v>11</v>
      </c>
      <c r="U9" s="107">
        <f>T9+1</f>
        <v>12</v>
      </c>
      <c r="V9" s="207" t="s">
        <v>75</v>
      </c>
      <c r="W9" s="207"/>
      <c r="X9" s="207"/>
    </row>
    <row r="10" spans="1:24" x14ac:dyDescent="0.25">
      <c r="A10" t="s">
        <v>42</v>
      </c>
      <c r="F10" s="17">
        <v>1</v>
      </c>
      <c r="G10" s="16" t="s">
        <v>79</v>
      </c>
      <c r="J10" s="116"/>
      <c r="X10" s="111"/>
    </row>
    <row r="11" spans="1:24" x14ac:dyDescent="0.25">
      <c r="F11" s="17">
        <f>F10+1</f>
        <v>2</v>
      </c>
      <c r="G11" s="12" t="s">
        <v>69</v>
      </c>
      <c r="H11" s="13">
        <f>'Financ '!B88</f>
        <v>0</v>
      </c>
      <c r="I11" s="13">
        <f>'Financ '!C88</f>
        <v>26404.765849050655</v>
      </c>
      <c r="J11" s="13">
        <f>'Financ '!D88</f>
        <v>26404.765849050655</v>
      </c>
      <c r="K11" s="13">
        <f>'Financ '!E88</f>
        <v>26404.765849050655</v>
      </c>
      <c r="L11" s="13">
        <f>'Financ '!F88</f>
        <v>26404.765849050655</v>
      </c>
      <c r="M11" s="13">
        <f>'Financ '!G88</f>
        <v>26404.765849050655</v>
      </c>
      <c r="N11" s="13">
        <f>'Financ '!H88</f>
        <v>26404.765849050655</v>
      </c>
      <c r="O11" s="13">
        <f>'Financ '!I88</f>
        <v>26404.765849050655</v>
      </c>
      <c r="P11" s="13">
        <f>'Financ '!J88</f>
        <v>26404.765849050655</v>
      </c>
      <c r="Q11" s="13">
        <f>'Financ '!K88</f>
        <v>26404.765849050655</v>
      </c>
      <c r="R11" s="13">
        <f>'Financ '!L88</f>
        <v>26404.765849050655</v>
      </c>
      <c r="S11" s="13">
        <f>'Financ '!M88</f>
        <v>26404.765849050655</v>
      </c>
      <c r="T11" s="13">
        <f>'Financ '!N88</f>
        <v>26404.765849050655</v>
      </c>
      <c r="U11" s="13"/>
      <c r="V11" s="13"/>
      <c r="W11" s="13"/>
      <c r="X11" s="13"/>
    </row>
    <row r="12" spans="1:24" x14ac:dyDescent="0.25">
      <c r="F12" s="17">
        <f t="shared" ref="F12:F76" si="5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12"/>
    </row>
    <row r="13" spans="1:24" x14ac:dyDescent="0.25">
      <c r="F13" s="17">
        <f t="shared" si="5"/>
        <v>4</v>
      </c>
      <c r="G13" s="16" t="s">
        <v>80</v>
      </c>
      <c r="H13" s="24">
        <f>SUM(H14:H18)</f>
        <v>0</v>
      </c>
      <c r="I13" s="24">
        <f>SUM(I14:I18)</f>
        <v>4921.3499999999995</v>
      </c>
      <c r="J13" s="205">
        <f t="shared" ref="J13:S13" si="6">SUM(J14:J18)</f>
        <v>0</v>
      </c>
      <c r="K13" s="24">
        <f>SUM(K14:K18)</f>
        <v>0</v>
      </c>
      <c r="L13" s="24">
        <f t="shared" si="6"/>
        <v>0</v>
      </c>
      <c r="M13" s="24">
        <f t="shared" si="6"/>
        <v>0</v>
      </c>
      <c r="N13" s="24">
        <f t="shared" si="6"/>
        <v>0</v>
      </c>
      <c r="O13" s="24">
        <f t="shared" si="6"/>
        <v>0</v>
      </c>
      <c r="P13" s="24">
        <f t="shared" si="6"/>
        <v>0</v>
      </c>
      <c r="Q13" s="24">
        <f t="shared" si="6"/>
        <v>0</v>
      </c>
      <c r="R13" s="24">
        <f t="shared" si="6"/>
        <v>0</v>
      </c>
      <c r="S13" s="24">
        <f t="shared" si="6"/>
        <v>0</v>
      </c>
      <c r="T13" s="24">
        <f>SUM(T14:T18)</f>
        <v>4471.3499999999995</v>
      </c>
      <c r="U13" s="24">
        <f>SUM(U14:U18)</f>
        <v>0</v>
      </c>
      <c r="V13" s="24">
        <f t="shared" ref="V13:X13" si="7">SUM(V14:V18)</f>
        <v>0</v>
      </c>
      <c r="W13" s="24">
        <f t="shared" si="7"/>
        <v>0</v>
      </c>
      <c r="X13" s="24">
        <f t="shared" si="7"/>
        <v>0</v>
      </c>
    </row>
    <row r="14" spans="1:24" x14ac:dyDescent="0.25">
      <c r="F14" s="17">
        <f t="shared" si="5"/>
        <v>5</v>
      </c>
      <c r="G14" t="s">
        <v>81</v>
      </c>
      <c r="H14" s="24"/>
      <c r="I14" s="197">
        <f>Licenciamento!E7</f>
        <v>4921.3499999999995</v>
      </c>
      <c r="J14" s="119"/>
      <c r="L14" s="11"/>
      <c r="M14" s="11"/>
      <c r="N14" s="11"/>
      <c r="O14" s="11"/>
      <c r="P14" s="11"/>
      <c r="Q14" s="11"/>
      <c r="S14" s="11"/>
      <c r="T14" s="197">
        <f>Licenciamento!H7</f>
        <v>4471.3499999999995</v>
      </c>
      <c r="V14" s="11"/>
      <c r="W14" s="11"/>
      <c r="X14" s="45"/>
    </row>
    <row r="15" spans="1:24" s="95" customFormat="1" x14ac:dyDescent="0.25">
      <c r="F15" s="17">
        <f t="shared" si="5"/>
        <v>6</v>
      </c>
      <c r="G15" s="96" t="s">
        <v>82</v>
      </c>
      <c r="H15" s="97"/>
      <c r="I15" s="98"/>
      <c r="J15" s="120">
        <f>Dados!$C$17</f>
        <v>0</v>
      </c>
      <c r="K15" s="120">
        <f>Dados!$C$17</f>
        <v>0</v>
      </c>
      <c r="L15" s="120">
        <f>Dados!$C$17</f>
        <v>0</v>
      </c>
      <c r="M15" s="120">
        <f>Dados!$C$17</f>
        <v>0</v>
      </c>
      <c r="N15" s="120">
        <f>Dados!$C$17</f>
        <v>0</v>
      </c>
      <c r="O15" s="120">
        <f>Dados!$C$17</f>
        <v>0</v>
      </c>
      <c r="P15" s="120">
        <f>Dados!$C$17</f>
        <v>0</v>
      </c>
      <c r="Q15" s="120">
        <f>Dados!$C$17</f>
        <v>0</v>
      </c>
      <c r="R15" s="120">
        <f>Dados!$C$17</f>
        <v>0</v>
      </c>
      <c r="S15" s="120">
        <f>Dados!$C$17</f>
        <v>0</v>
      </c>
      <c r="T15" s="120">
        <f>Dados!$C$17</f>
        <v>0</v>
      </c>
      <c r="U15" s="120">
        <f>Dados!$C$17</f>
        <v>0</v>
      </c>
      <c r="V15" s="120">
        <f>Dados!$C$17</f>
        <v>0</v>
      </c>
      <c r="W15" s="120">
        <f>Dados!$C$17</f>
        <v>0</v>
      </c>
      <c r="X15" s="120">
        <f>Dados!$C$17</f>
        <v>0</v>
      </c>
    </row>
    <row r="16" spans="1:24" x14ac:dyDescent="0.25">
      <c r="F16" s="17">
        <f t="shared" si="5"/>
        <v>7</v>
      </c>
      <c r="G16" t="s">
        <v>83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'Seguros-Rastreamento'!$E$5</f>
        <v>0</v>
      </c>
      <c r="W16" s="87"/>
      <c r="X16" s="113"/>
    </row>
    <row r="17" spans="1:16336" x14ac:dyDescent="0.25">
      <c r="F17" s="17">
        <f t="shared" si="5"/>
        <v>8</v>
      </c>
      <c r="G17" s="20" t="s">
        <v>84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5"/>
      <c r="X17" s="75"/>
    </row>
    <row r="18" spans="1:16336" s="95" customFormat="1" x14ac:dyDescent="0.25">
      <c r="F18" s="17">
        <f t="shared" si="5"/>
        <v>9</v>
      </c>
      <c r="G18" s="96" t="s">
        <v>85</v>
      </c>
      <c r="H18" s="97"/>
      <c r="I18" s="97"/>
      <c r="J18" s="122"/>
      <c r="K18" s="194">
        <f>Manutenção!$D$36</f>
        <v>0</v>
      </c>
      <c r="L18" s="194">
        <f>Manutenção!$D$36</f>
        <v>0</v>
      </c>
      <c r="M18" s="194">
        <f>Manutenção!$D$36</f>
        <v>0</v>
      </c>
      <c r="N18" s="194">
        <f>Manutenção!$D$36</f>
        <v>0</v>
      </c>
      <c r="O18" s="194">
        <f>Manutenção!$D$36</f>
        <v>0</v>
      </c>
      <c r="P18" s="194">
        <f>Manutenção!$D$36</f>
        <v>0</v>
      </c>
      <c r="Q18" s="194">
        <f>Manutenção!$D$36</f>
        <v>0</v>
      </c>
      <c r="R18" s="194">
        <f>Manutenção!$D$36</f>
        <v>0</v>
      </c>
      <c r="S18" s="194">
        <f>Manutenção!$D$36</f>
        <v>0</v>
      </c>
      <c r="T18" s="194">
        <f>Manutenção!$D$36</f>
        <v>0</v>
      </c>
      <c r="U18" s="194">
        <f>Manutenção!$D$36</f>
        <v>0</v>
      </c>
      <c r="V18" s="194">
        <f>Manutenção!$J$36</f>
        <v>0</v>
      </c>
      <c r="W18" s="97"/>
      <c r="X18" s="97"/>
    </row>
    <row r="19" spans="1:16336" x14ac:dyDescent="0.25">
      <c r="F19" s="17">
        <f t="shared" si="5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spans="1:16336" ht="29.1" customHeight="1" x14ac:dyDescent="0.25">
      <c r="F20" s="17">
        <f t="shared" si="5"/>
        <v>11</v>
      </c>
      <c r="G20" s="172" t="s">
        <v>86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spans="1:16336" x14ac:dyDescent="0.25">
      <c r="F21" s="17">
        <f t="shared" si="5"/>
        <v>12</v>
      </c>
      <c r="G21" s="12" t="s">
        <v>87</v>
      </c>
      <c r="H21" s="13"/>
      <c r="I21" s="13"/>
      <c r="J21" s="13">
        <f>Dados!$C$41</f>
        <v>6187.5</v>
      </c>
      <c r="K21" s="13">
        <f>Dados!$C$41</f>
        <v>6187.5</v>
      </c>
      <c r="L21" s="13">
        <f>Dados!$C$41</f>
        <v>6187.5</v>
      </c>
      <c r="M21" s="13">
        <f>Dados!$C$41</f>
        <v>6187.5</v>
      </c>
      <c r="N21" s="13">
        <f>Dados!$C$41</f>
        <v>6187.5</v>
      </c>
      <c r="O21" s="13">
        <f>Dados!$C$41</f>
        <v>6187.5</v>
      </c>
      <c r="P21" s="13">
        <f>Dados!$C$41</f>
        <v>6187.5</v>
      </c>
      <c r="Q21" s="13">
        <f>Dados!$C$41</f>
        <v>6187.5</v>
      </c>
      <c r="R21" s="13">
        <f>Dados!$C$41</f>
        <v>6187.5</v>
      </c>
      <c r="S21" s="13">
        <f>Dados!$C$41</f>
        <v>6187.5</v>
      </c>
      <c r="T21" s="13">
        <f>Dados!$C$41</f>
        <v>6187.5</v>
      </c>
      <c r="U21" s="13">
        <f>Dados!$C$41</f>
        <v>6187.5</v>
      </c>
      <c r="V21" s="13">
        <f>Dados!$C$41</f>
        <v>6187.5</v>
      </c>
      <c r="W21" s="13">
        <f>Dados!$C$41</f>
        <v>6187.5</v>
      </c>
      <c r="X21" s="13">
        <f>Dados!$C$41</f>
        <v>6187.5</v>
      </c>
    </row>
    <row r="22" spans="1:16336" x14ac:dyDescent="0.25">
      <c r="F22" s="17">
        <f t="shared" si="5"/>
        <v>13</v>
      </c>
    </row>
    <row r="23" spans="1:16336" x14ac:dyDescent="0.25">
      <c r="F23" s="17">
        <f t="shared" si="5"/>
        <v>14</v>
      </c>
    </row>
    <row r="24" spans="1:16336" x14ac:dyDescent="0.25">
      <c r="F24" s="17">
        <f t="shared" si="5"/>
        <v>15</v>
      </c>
      <c r="G24" s="16" t="s">
        <v>88</v>
      </c>
    </row>
    <row r="25" spans="1:16336" x14ac:dyDescent="0.25">
      <c r="A25" s="5"/>
      <c r="B25" s="4"/>
      <c r="C25" s="28"/>
      <c r="D25" s="28"/>
      <c r="E25" s="28"/>
      <c r="F25" s="17">
        <f t="shared" si="5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76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5"/>
      <c r="AJ25" s="4"/>
      <c r="AK25" s="28"/>
      <c r="AL25" s="28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5"/>
      <c r="BK25" s="4"/>
      <c r="BL25" s="28"/>
      <c r="BM25" s="28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5"/>
      <c r="CL25" s="4"/>
      <c r="CM25" s="28"/>
      <c r="CN25" s="28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5"/>
      <c r="DM25" s="4"/>
      <c r="DN25" s="28"/>
      <c r="DO25" s="28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5"/>
      <c r="EN25" s="4"/>
      <c r="EO25" s="28"/>
      <c r="EP25" s="28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5"/>
      <c r="FO25" s="4"/>
      <c r="FP25" s="28"/>
      <c r="FQ25" s="28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5"/>
      <c r="GP25" s="4"/>
      <c r="GQ25" s="28"/>
      <c r="GR25" s="28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5"/>
      <c r="HQ25" s="4"/>
      <c r="HR25" s="28"/>
      <c r="HS25" s="28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5"/>
      <c r="IR25" s="4"/>
      <c r="IS25" s="28"/>
      <c r="IT25" s="28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5"/>
      <c r="JS25" s="4"/>
      <c r="JT25" s="28"/>
      <c r="JU25" s="28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5"/>
      <c r="KT25" s="4"/>
      <c r="KU25" s="28"/>
      <c r="KV25" s="28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5"/>
      <c r="LU25" s="4"/>
      <c r="LV25" s="28"/>
      <c r="LW25" s="28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5"/>
      <c r="MV25" s="4"/>
      <c r="MW25" s="28"/>
      <c r="MX25" s="28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5"/>
      <c r="NW25" s="4"/>
      <c r="NX25" s="28"/>
      <c r="NY25" s="28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5"/>
      <c r="OX25" s="4"/>
      <c r="OY25" s="28"/>
      <c r="OZ25" s="28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5"/>
      <c r="PY25" s="4"/>
      <c r="PZ25" s="28"/>
      <c r="QA25" s="28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5"/>
      <c r="QZ25" s="4"/>
      <c r="RA25" s="28"/>
      <c r="RB25" s="28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5"/>
      <c r="SA25" s="4"/>
      <c r="SB25" s="28"/>
      <c r="SC25" s="28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5"/>
      <c r="TB25" s="4"/>
      <c r="TC25" s="28"/>
      <c r="TD25" s="28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5"/>
      <c r="UC25" s="4"/>
      <c r="UD25" s="28"/>
      <c r="UE25" s="28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5"/>
      <c r="VD25" s="4"/>
      <c r="VE25" s="28"/>
      <c r="VF25" s="28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5"/>
      <c r="WE25" s="4"/>
      <c r="WF25" s="28"/>
      <c r="WG25" s="28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5"/>
      <c r="XF25" s="4"/>
      <c r="XG25" s="28"/>
      <c r="XH25" s="28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5"/>
      <c r="YG25" s="4"/>
      <c r="YH25" s="28"/>
      <c r="YI25" s="28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5"/>
      <c r="ZH25" s="4"/>
      <c r="ZI25" s="28"/>
      <c r="ZJ25" s="28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5"/>
      <c r="AAI25" s="4"/>
      <c r="AAJ25" s="28"/>
      <c r="AAK25" s="28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5"/>
      <c r="ABJ25" s="4"/>
      <c r="ABK25" s="28"/>
      <c r="ABL25" s="28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5"/>
      <c r="ACK25" s="4"/>
      <c r="ACL25" s="28"/>
      <c r="ACM25" s="28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5"/>
      <c r="ADL25" s="4"/>
      <c r="ADM25" s="28"/>
      <c r="ADN25" s="28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5"/>
      <c r="AEM25" s="4"/>
      <c r="AEN25" s="28"/>
      <c r="AEO25" s="28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5"/>
      <c r="AFN25" s="4"/>
      <c r="AFO25" s="28"/>
      <c r="AFP25" s="28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5"/>
      <c r="AGO25" s="4"/>
      <c r="AGP25" s="28"/>
      <c r="AGQ25" s="28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5"/>
      <c r="AHP25" s="4"/>
      <c r="AHQ25" s="28"/>
      <c r="AHR25" s="28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5"/>
      <c r="AIQ25" s="4"/>
      <c r="AIR25" s="28"/>
      <c r="AIS25" s="28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5"/>
      <c r="AJR25" s="4"/>
      <c r="AJS25" s="28"/>
      <c r="AJT25" s="28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5"/>
      <c r="AKS25" s="4"/>
      <c r="AKT25" s="28"/>
      <c r="AKU25" s="28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5"/>
      <c r="ALT25" s="4"/>
      <c r="ALU25" s="28"/>
      <c r="ALV25" s="28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5"/>
      <c r="AMU25" s="4"/>
      <c r="AMV25" s="28"/>
      <c r="AMW25" s="28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5"/>
      <c r="ANV25" s="4"/>
      <c r="ANW25" s="28"/>
      <c r="ANX25" s="28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5"/>
      <c r="AOW25" s="4"/>
      <c r="AOX25" s="28"/>
      <c r="AOY25" s="28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5"/>
      <c r="APX25" s="4"/>
      <c r="APY25" s="28"/>
      <c r="APZ25" s="28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5"/>
      <c r="AQY25" s="4"/>
      <c r="AQZ25" s="28"/>
      <c r="ARA25" s="28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5"/>
      <c r="ARZ25" s="4"/>
      <c r="ASA25" s="28"/>
      <c r="ASB25" s="28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5"/>
      <c r="ATA25" s="4"/>
      <c r="ATB25" s="28"/>
      <c r="ATC25" s="28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5"/>
      <c r="AUB25" s="4"/>
      <c r="AUC25" s="28"/>
      <c r="AUD25" s="28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5"/>
      <c r="AVC25" s="4"/>
      <c r="AVD25" s="28"/>
      <c r="AVE25" s="28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5"/>
      <c r="AWD25" s="4"/>
      <c r="AWE25" s="28"/>
      <c r="AWF25" s="28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5"/>
      <c r="AXE25" s="4"/>
      <c r="AXF25" s="28"/>
      <c r="AXG25" s="28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5"/>
      <c r="AYF25" s="4"/>
      <c r="AYG25" s="28"/>
      <c r="AYH25" s="28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5"/>
      <c r="AZG25" s="4"/>
      <c r="AZH25" s="28"/>
      <c r="AZI25" s="28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5"/>
      <c r="BAH25" s="4"/>
      <c r="BAI25" s="28"/>
      <c r="BAJ25" s="28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5"/>
      <c r="BBI25" s="4"/>
      <c r="BBJ25" s="28"/>
      <c r="BBK25" s="28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5"/>
      <c r="BCJ25" s="4"/>
      <c r="BCK25" s="28"/>
      <c r="BCL25" s="28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5"/>
      <c r="BDK25" s="4"/>
      <c r="BDL25" s="28"/>
      <c r="BDM25" s="28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5"/>
      <c r="BEL25" s="4"/>
      <c r="BEM25" s="28"/>
      <c r="BEN25" s="28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5"/>
      <c r="BFM25" s="4"/>
      <c r="BFN25" s="28"/>
      <c r="BFO25" s="28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5"/>
      <c r="BGN25" s="4"/>
      <c r="BGO25" s="28"/>
      <c r="BGP25" s="28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5"/>
      <c r="BHO25" s="4"/>
      <c r="BHP25" s="28"/>
      <c r="BHQ25" s="28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5"/>
      <c r="BIP25" s="4"/>
      <c r="BIQ25" s="28"/>
      <c r="BIR25" s="28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5"/>
      <c r="BJQ25" s="4"/>
      <c r="BJR25" s="28"/>
      <c r="BJS25" s="28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5"/>
      <c r="BKR25" s="4"/>
      <c r="BKS25" s="28"/>
      <c r="BKT25" s="28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5"/>
      <c r="BLS25" s="4"/>
      <c r="BLT25" s="28"/>
      <c r="BLU25" s="28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5"/>
      <c r="BMT25" s="4"/>
      <c r="BMU25" s="28"/>
      <c r="BMV25" s="28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5"/>
      <c r="BNU25" s="4"/>
      <c r="BNV25" s="28"/>
      <c r="BNW25" s="28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5"/>
      <c r="BOV25" s="4"/>
      <c r="BOW25" s="28"/>
      <c r="BOX25" s="28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5"/>
      <c r="BPW25" s="4"/>
      <c r="BPX25" s="28"/>
      <c r="BPY25" s="28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5"/>
      <c r="BQX25" s="4"/>
      <c r="BQY25" s="28"/>
      <c r="BQZ25" s="28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5"/>
      <c r="BRY25" s="4"/>
      <c r="BRZ25" s="28"/>
      <c r="BSA25" s="28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5"/>
      <c r="BSZ25" s="4"/>
      <c r="BTA25" s="28"/>
      <c r="BTB25" s="28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5"/>
      <c r="BUA25" s="4"/>
      <c r="BUB25" s="28"/>
      <c r="BUC25" s="28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5"/>
      <c r="BVB25" s="4"/>
      <c r="BVC25" s="28"/>
      <c r="BVD25" s="28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5"/>
      <c r="BWC25" s="4"/>
      <c r="BWD25" s="28"/>
      <c r="BWE25" s="28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5"/>
      <c r="BXD25" s="4"/>
      <c r="BXE25" s="28"/>
      <c r="BXF25" s="28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5"/>
      <c r="BYE25" s="4"/>
      <c r="BYF25" s="28"/>
      <c r="BYG25" s="28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5"/>
      <c r="BZF25" s="4"/>
      <c r="BZG25" s="28"/>
      <c r="BZH25" s="28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5"/>
      <c r="CAG25" s="4"/>
      <c r="CAH25" s="28"/>
      <c r="CAI25" s="28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5"/>
      <c r="CBH25" s="4"/>
      <c r="CBI25" s="28"/>
      <c r="CBJ25" s="28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5"/>
      <c r="CCI25" s="4"/>
      <c r="CCJ25" s="28"/>
      <c r="CCK25" s="28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5"/>
      <c r="CDJ25" s="4"/>
      <c r="CDK25" s="28"/>
      <c r="CDL25" s="28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5"/>
      <c r="CEK25" s="4"/>
      <c r="CEL25" s="28"/>
      <c r="CEM25" s="28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5"/>
      <c r="CFL25" s="4"/>
      <c r="CFM25" s="28"/>
      <c r="CFN25" s="28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5"/>
      <c r="CGM25" s="4"/>
      <c r="CGN25" s="28"/>
      <c r="CGO25" s="28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5"/>
      <c r="CHN25" s="4"/>
      <c r="CHO25" s="28"/>
      <c r="CHP25" s="28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5"/>
      <c r="CIO25" s="4"/>
      <c r="CIP25" s="28"/>
      <c r="CIQ25" s="28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5"/>
      <c r="CJP25" s="4"/>
      <c r="CJQ25" s="28"/>
      <c r="CJR25" s="28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5"/>
      <c r="CKQ25" s="4"/>
      <c r="CKR25" s="28"/>
      <c r="CKS25" s="28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5"/>
      <c r="CLR25" s="4"/>
      <c r="CLS25" s="28"/>
      <c r="CLT25" s="28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5"/>
      <c r="CMS25" s="4"/>
      <c r="CMT25" s="28"/>
      <c r="CMU25" s="28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5"/>
      <c r="CNT25" s="4"/>
      <c r="CNU25" s="28"/>
      <c r="CNV25" s="28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5"/>
      <c r="COU25" s="4"/>
      <c r="COV25" s="28"/>
      <c r="COW25" s="28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5"/>
      <c r="CPV25" s="4"/>
      <c r="CPW25" s="28"/>
      <c r="CPX25" s="28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5"/>
      <c r="CQW25" s="4"/>
      <c r="CQX25" s="28"/>
      <c r="CQY25" s="28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5"/>
      <c r="CRX25" s="4"/>
      <c r="CRY25" s="28"/>
      <c r="CRZ25" s="28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5"/>
      <c r="CSY25" s="4"/>
      <c r="CSZ25" s="28"/>
      <c r="CTA25" s="28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5"/>
      <c r="CTZ25" s="4"/>
      <c r="CUA25" s="28"/>
      <c r="CUB25" s="28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5"/>
      <c r="CVA25" s="4"/>
      <c r="CVB25" s="28"/>
      <c r="CVC25" s="28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5"/>
      <c r="CWB25" s="4"/>
      <c r="CWC25" s="28"/>
      <c r="CWD25" s="28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5"/>
      <c r="CXC25" s="4"/>
      <c r="CXD25" s="28"/>
      <c r="CXE25" s="28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5"/>
      <c r="CYD25" s="4"/>
      <c r="CYE25" s="28"/>
      <c r="CYF25" s="28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5"/>
      <c r="CZE25" s="4"/>
      <c r="CZF25" s="28"/>
      <c r="CZG25" s="28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5"/>
      <c r="DAF25" s="4"/>
      <c r="DAG25" s="28"/>
      <c r="DAH25" s="28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5"/>
      <c r="DBG25" s="4"/>
      <c r="DBH25" s="28"/>
      <c r="DBI25" s="28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5"/>
      <c r="DCH25" s="4"/>
      <c r="DCI25" s="28"/>
      <c r="DCJ25" s="28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5"/>
      <c r="DDI25" s="4"/>
      <c r="DDJ25" s="28"/>
      <c r="DDK25" s="28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5"/>
      <c r="DEJ25" s="4"/>
      <c r="DEK25" s="28"/>
      <c r="DEL25" s="28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5"/>
      <c r="DFK25" s="4"/>
      <c r="DFL25" s="28"/>
      <c r="DFM25" s="28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5"/>
      <c r="DGL25" s="4"/>
      <c r="DGM25" s="28"/>
      <c r="DGN25" s="28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5"/>
      <c r="DHM25" s="4"/>
      <c r="DHN25" s="28"/>
      <c r="DHO25" s="28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5"/>
      <c r="DIN25" s="4"/>
      <c r="DIO25" s="28"/>
      <c r="DIP25" s="28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5"/>
      <c r="DJO25" s="4"/>
      <c r="DJP25" s="28"/>
      <c r="DJQ25" s="28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5"/>
      <c r="DKP25" s="4"/>
      <c r="DKQ25" s="28"/>
      <c r="DKR25" s="28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5"/>
      <c r="DLQ25" s="4"/>
      <c r="DLR25" s="28"/>
      <c r="DLS25" s="28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5"/>
      <c r="DMR25" s="4"/>
      <c r="DMS25" s="28"/>
      <c r="DMT25" s="28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5"/>
      <c r="DNS25" s="4"/>
      <c r="DNT25" s="28"/>
      <c r="DNU25" s="28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5"/>
      <c r="DOT25" s="4"/>
      <c r="DOU25" s="28"/>
      <c r="DOV25" s="28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5"/>
      <c r="DPU25" s="4"/>
      <c r="DPV25" s="28"/>
      <c r="DPW25" s="28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5"/>
      <c r="DQV25" s="4"/>
      <c r="DQW25" s="28"/>
      <c r="DQX25" s="28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5"/>
      <c r="DRW25" s="4"/>
      <c r="DRX25" s="28"/>
      <c r="DRY25" s="28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5"/>
      <c r="DSX25" s="4"/>
      <c r="DSY25" s="28"/>
      <c r="DSZ25" s="28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5"/>
      <c r="DTY25" s="4"/>
      <c r="DTZ25" s="28"/>
      <c r="DUA25" s="28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5"/>
      <c r="DUZ25" s="4"/>
      <c r="DVA25" s="28"/>
      <c r="DVB25" s="28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5"/>
      <c r="DWA25" s="4"/>
      <c r="DWB25" s="28"/>
      <c r="DWC25" s="28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5"/>
      <c r="DXB25" s="4"/>
      <c r="DXC25" s="28"/>
      <c r="DXD25" s="28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5"/>
      <c r="DYC25" s="4"/>
      <c r="DYD25" s="28"/>
      <c r="DYE25" s="28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5"/>
      <c r="DZD25" s="4"/>
      <c r="DZE25" s="28"/>
      <c r="DZF25" s="28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5"/>
      <c r="EAE25" s="4"/>
      <c r="EAF25" s="28"/>
      <c r="EAG25" s="28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5"/>
      <c r="EBF25" s="4"/>
      <c r="EBG25" s="28"/>
      <c r="EBH25" s="28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5"/>
      <c r="ECG25" s="4"/>
      <c r="ECH25" s="28"/>
      <c r="ECI25" s="28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5"/>
      <c r="EDH25" s="4"/>
      <c r="EDI25" s="28"/>
      <c r="EDJ25" s="28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5"/>
      <c r="EEI25" s="4"/>
      <c r="EEJ25" s="28"/>
      <c r="EEK25" s="28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5"/>
      <c r="EFJ25" s="4"/>
      <c r="EFK25" s="28"/>
      <c r="EFL25" s="28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5"/>
      <c r="EGK25" s="4"/>
      <c r="EGL25" s="28"/>
      <c r="EGM25" s="28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5"/>
      <c r="EHL25" s="4"/>
      <c r="EHM25" s="28"/>
      <c r="EHN25" s="28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5"/>
      <c r="EIM25" s="4"/>
      <c r="EIN25" s="28"/>
      <c r="EIO25" s="28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5"/>
      <c r="EJN25" s="4"/>
      <c r="EJO25" s="28"/>
      <c r="EJP25" s="28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5"/>
      <c r="EKO25" s="4"/>
      <c r="EKP25" s="28"/>
      <c r="EKQ25" s="28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5"/>
      <c r="ELP25" s="4"/>
      <c r="ELQ25" s="28"/>
      <c r="ELR25" s="28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5"/>
      <c r="EMQ25" s="4"/>
      <c r="EMR25" s="28"/>
      <c r="EMS25" s="28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5"/>
      <c r="ENR25" s="4"/>
      <c r="ENS25" s="28"/>
      <c r="ENT25" s="28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5"/>
      <c r="EOS25" s="4"/>
      <c r="EOT25" s="28"/>
      <c r="EOU25" s="28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5"/>
      <c r="EPT25" s="4"/>
      <c r="EPU25" s="28"/>
      <c r="EPV25" s="28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5"/>
      <c r="EQU25" s="4"/>
      <c r="EQV25" s="28"/>
      <c r="EQW25" s="28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5"/>
      <c r="ERV25" s="4"/>
      <c r="ERW25" s="28"/>
      <c r="ERX25" s="28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5"/>
      <c r="ESW25" s="4"/>
      <c r="ESX25" s="28"/>
      <c r="ESY25" s="28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5"/>
      <c r="ETX25" s="4"/>
      <c r="ETY25" s="28"/>
      <c r="ETZ25" s="28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5"/>
      <c r="EUY25" s="4"/>
      <c r="EUZ25" s="28"/>
      <c r="EVA25" s="28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5"/>
      <c r="EVZ25" s="4"/>
      <c r="EWA25" s="28"/>
      <c r="EWB25" s="28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5"/>
      <c r="EXA25" s="4"/>
      <c r="EXB25" s="28"/>
      <c r="EXC25" s="28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5"/>
      <c r="EYB25" s="4"/>
      <c r="EYC25" s="28"/>
      <c r="EYD25" s="28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5"/>
      <c r="EZC25" s="4"/>
      <c r="EZD25" s="28"/>
      <c r="EZE25" s="28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5"/>
      <c r="FAD25" s="4"/>
      <c r="FAE25" s="28"/>
      <c r="FAF25" s="28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5"/>
      <c r="FBE25" s="4"/>
      <c r="FBF25" s="28"/>
      <c r="FBG25" s="28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5"/>
      <c r="FCF25" s="4"/>
      <c r="FCG25" s="28"/>
      <c r="FCH25" s="28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5"/>
      <c r="FDG25" s="4"/>
      <c r="FDH25" s="28"/>
      <c r="FDI25" s="28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5"/>
      <c r="FEH25" s="4"/>
      <c r="FEI25" s="28"/>
      <c r="FEJ25" s="28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5"/>
      <c r="FFI25" s="4"/>
      <c r="FFJ25" s="28"/>
      <c r="FFK25" s="28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5"/>
      <c r="FGJ25" s="4"/>
      <c r="FGK25" s="28"/>
      <c r="FGL25" s="28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5"/>
      <c r="FHK25" s="4"/>
      <c r="FHL25" s="28"/>
      <c r="FHM25" s="28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5"/>
      <c r="FIL25" s="4"/>
      <c r="FIM25" s="28"/>
      <c r="FIN25" s="28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5"/>
      <c r="FJM25" s="4"/>
      <c r="FJN25" s="28"/>
      <c r="FJO25" s="28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5"/>
      <c r="FKN25" s="4"/>
      <c r="FKO25" s="28"/>
      <c r="FKP25" s="28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5"/>
      <c r="FLO25" s="4"/>
      <c r="FLP25" s="28"/>
      <c r="FLQ25" s="28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5"/>
      <c r="FMP25" s="4"/>
      <c r="FMQ25" s="28"/>
      <c r="FMR25" s="28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5"/>
      <c r="FNQ25" s="4"/>
      <c r="FNR25" s="28"/>
      <c r="FNS25" s="28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5"/>
      <c r="FOR25" s="4"/>
      <c r="FOS25" s="28"/>
      <c r="FOT25" s="28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5"/>
      <c r="FPS25" s="4"/>
      <c r="FPT25" s="28"/>
      <c r="FPU25" s="28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5"/>
      <c r="FQT25" s="4"/>
      <c r="FQU25" s="28"/>
      <c r="FQV25" s="28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5"/>
      <c r="FRU25" s="4"/>
      <c r="FRV25" s="28"/>
      <c r="FRW25" s="28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5"/>
      <c r="FSV25" s="4"/>
      <c r="FSW25" s="28"/>
      <c r="FSX25" s="28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5"/>
      <c r="FTW25" s="4"/>
      <c r="FTX25" s="28"/>
      <c r="FTY25" s="28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5"/>
      <c r="FUX25" s="4"/>
      <c r="FUY25" s="28"/>
      <c r="FUZ25" s="28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5"/>
      <c r="FVY25" s="4"/>
      <c r="FVZ25" s="28"/>
      <c r="FWA25" s="28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5"/>
      <c r="FWZ25" s="4"/>
      <c r="FXA25" s="28"/>
      <c r="FXB25" s="28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5"/>
      <c r="FYA25" s="4"/>
      <c r="FYB25" s="28"/>
      <c r="FYC25" s="28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5"/>
      <c r="FZB25" s="4"/>
      <c r="FZC25" s="28"/>
      <c r="FZD25" s="28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5"/>
      <c r="GAC25" s="4"/>
      <c r="GAD25" s="28"/>
      <c r="GAE25" s="28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5"/>
      <c r="GBD25" s="4"/>
      <c r="GBE25" s="28"/>
      <c r="GBF25" s="28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5"/>
      <c r="GCE25" s="4"/>
      <c r="GCF25" s="28"/>
      <c r="GCG25" s="28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5"/>
      <c r="GDF25" s="4"/>
      <c r="GDG25" s="28"/>
      <c r="GDH25" s="28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5"/>
      <c r="GEG25" s="4"/>
      <c r="GEH25" s="28"/>
      <c r="GEI25" s="28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5"/>
      <c r="GFH25" s="4"/>
      <c r="GFI25" s="28"/>
      <c r="GFJ25" s="28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5"/>
      <c r="GGI25" s="4"/>
      <c r="GGJ25" s="28"/>
      <c r="GGK25" s="28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5"/>
      <c r="GHJ25" s="4"/>
      <c r="GHK25" s="28"/>
      <c r="GHL25" s="28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5"/>
      <c r="GIK25" s="4"/>
      <c r="GIL25" s="28"/>
      <c r="GIM25" s="28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5"/>
      <c r="GJL25" s="4"/>
      <c r="GJM25" s="28"/>
      <c r="GJN25" s="28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5"/>
      <c r="GKM25" s="4"/>
      <c r="GKN25" s="28"/>
      <c r="GKO25" s="28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5"/>
      <c r="GLN25" s="4"/>
      <c r="GLO25" s="28"/>
      <c r="GLP25" s="28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5"/>
      <c r="GMO25" s="4"/>
      <c r="GMP25" s="28"/>
      <c r="GMQ25" s="28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5"/>
      <c r="GNP25" s="4"/>
      <c r="GNQ25" s="28"/>
      <c r="GNR25" s="28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5"/>
      <c r="GOQ25" s="4"/>
      <c r="GOR25" s="28"/>
      <c r="GOS25" s="28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5"/>
      <c r="GPR25" s="4"/>
      <c r="GPS25" s="28"/>
      <c r="GPT25" s="28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5"/>
      <c r="GQS25" s="4"/>
      <c r="GQT25" s="28"/>
      <c r="GQU25" s="28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5"/>
      <c r="GRT25" s="4"/>
      <c r="GRU25" s="28"/>
      <c r="GRV25" s="28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5"/>
      <c r="GSU25" s="4"/>
      <c r="GSV25" s="28"/>
      <c r="GSW25" s="28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5"/>
      <c r="GTV25" s="4"/>
      <c r="GTW25" s="28"/>
      <c r="GTX25" s="28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5"/>
      <c r="GUW25" s="4"/>
      <c r="GUX25" s="28"/>
      <c r="GUY25" s="28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5"/>
      <c r="GVX25" s="4"/>
      <c r="GVY25" s="28"/>
      <c r="GVZ25" s="28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5"/>
      <c r="GWY25" s="4"/>
      <c r="GWZ25" s="28"/>
      <c r="GXA25" s="28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5"/>
      <c r="GXZ25" s="4"/>
      <c r="GYA25" s="28"/>
      <c r="GYB25" s="28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5"/>
      <c r="GZA25" s="4"/>
      <c r="GZB25" s="28"/>
      <c r="GZC25" s="28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5"/>
      <c r="HAB25" s="4"/>
      <c r="HAC25" s="28"/>
      <c r="HAD25" s="28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5"/>
      <c r="HBC25" s="4"/>
      <c r="HBD25" s="28"/>
      <c r="HBE25" s="28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5"/>
      <c r="HCD25" s="4"/>
      <c r="HCE25" s="28"/>
      <c r="HCF25" s="28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5"/>
      <c r="HDE25" s="4"/>
      <c r="HDF25" s="28"/>
      <c r="HDG25" s="28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5"/>
      <c r="HEF25" s="4"/>
      <c r="HEG25" s="28"/>
      <c r="HEH25" s="28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5"/>
      <c r="HFG25" s="4"/>
      <c r="HFH25" s="28"/>
      <c r="HFI25" s="28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5"/>
      <c r="HGH25" s="4"/>
      <c r="HGI25" s="28"/>
      <c r="HGJ25" s="28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5"/>
      <c r="HHI25" s="4"/>
      <c r="HHJ25" s="28"/>
      <c r="HHK25" s="28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5"/>
      <c r="HIJ25" s="4"/>
      <c r="HIK25" s="28"/>
      <c r="HIL25" s="28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5"/>
      <c r="HJK25" s="4"/>
      <c r="HJL25" s="28"/>
      <c r="HJM25" s="28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5"/>
      <c r="HKL25" s="4"/>
      <c r="HKM25" s="28"/>
      <c r="HKN25" s="28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5"/>
      <c r="HLM25" s="4"/>
      <c r="HLN25" s="28"/>
      <c r="HLO25" s="28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5"/>
      <c r="HMN25" s="4"/>
      <c r="HMO25" s="28"/>
      <c r="HMP25" s="28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5"/>
      <c r="HNO25" s="4"/>
      <c r="HNP25" s="28"/>
      <c r="HNQ25" s="28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5"/>
      <c r="HOP25" s="4"/>
      <c r="HOQ25" s="28"/>
      <c r="HOR25" s="28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5"/>
      <c r="HPQ25" s="4"/>
      <c r="HPR25" s="28"/>
      <c r="HPS25" s="28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5"/>
      <c r="HQR25" s="4"/>
      <c r="HQS25" s="28"/>
      <c r="HQT25" s="28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5"/>
      <c r="HRS25" s="4"/>
      <c r="HRT25" s="28"/>
      <c r="HRU25" s="28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5"/>
      <c r="HST25" s="4"/>
      <c r="HSU25" s="28"/>
      <c r="HSV25" s="28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5"/>
      <c r="HTU25" s="4"/>
      <c r="HTV25" s="28"/>
      <c r="HTW25" s="28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5"/>
      <c r="HUV25" s="4"/>
      <c r="HUW25" s="28"/>
      <c r="HUX25" s="28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5"/>
      <c r="HVW25" s="4"/>
      <c r="HVX25" s="28"/>
      <c r="HVY25" s="28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5"/>
      <c r="HWX25" s="4"/>
      <c r="HWY25" s="28"/>
      <c r="HWZ25" s="28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5"/>
      <c r="HXY25" s="4"/>
      <c r="HXZ25" s="28"/>
      <c r="HYA25" s="28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5"/>
      <c r="HYZ25" s="4"/>
      <c r="HZA25" s="28"/>
      <c r="HZB25" s="28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5"/>
      <c r="IAA25" s="4"/>
      <c r="IAB25" s="28"/>
      <c r="IAC25" s="28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5"/>
      <c r="IBB25" s="4"/>
      <c r="IBC25" s="28"/>
      <c r="IBD25" s="28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5"/>
      <c r="ICC25" s="4"/>
      <c r="ICD25" s="28"/>
      <c r="ICE25" s="28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5"/>
      <c r="IDD25" s="4"/>
      <c r="IDE25" s="28"/>
      <c r="IDF25" s="28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5"/>
      <c r="IEE25" s="4"/>
      <c r="IEF25" s="28"/>
      <c r="IEG25" s="28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5"/>
      <c r="IFF25" s="4"/>
      <c r="IFG25" s="28"/>
      <c r="IFH25" s="28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5"/>
      <c r="IGG25" s="4"/>
      <c r="IGH25" s="28"/>
      <c r="IGI25" s="28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5"/>
      <c r="IHH25" s="4"/>
      <c r="IHI25" s="28"/>
      <c r="IHJ25" s="28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5"/>
      <c r="III25" s="4"/>
      <c r="IIJ25" s="28"/>
      <c r="IIK25" s="28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5"/>
      <c r="IJJ25" s="4"/>
      <c r="IJK25" s="28"/>
      <c r="IJL25" s="28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5"/>
      <c r="IKK25" s="4"/>
      <c r="IKL25" s="28"/>
      <c r="IKM25" s="28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5"/>
      <c r="ILL25" s="4"/>
      <c r="ILM25" s="28"/>
      <c r="ILN25" s="28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5"/>
      <c r="IMM25" s="4"/>
      <c r="IMN25" s="28"/>
      <c r="IMO25" s="28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5"/>
      <c r="INN25" s="4"/>
      <c r="INO25" s="28"/>
      <c r="INP25" s="28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5"/>
      <c r="IOO25" s="4"/>
      <c r="IOP25" s="28"/>
      <c r="IOQ25" s="28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5"/>
      <c r="IPP25" s="4"/>
      <c r="IPQ25" s="28"/>
      <c r="IPR25" s="28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5"/>
      <c r="IQQ25" s="4"/>
      <c r="IQR25" s="28"/>
      <c r="IQS25" s="28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5"/>
      <c r="IRR25" s="4"/>
      <c r="IRS25" s="28"/>
      <c r="IRT25" s="28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5"/>
      <c r="ISS25" s="4"/>
      <c r="IST25" s="28"/>
      <c r="ISU25" s="28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5"/>
      <c r="ITT25" s="4"/>
      <c r="ITU25" s="28"/>
      <c r="ITV25" s="28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5"/>
      <c r="IUU25" s="4"/>
      <c r="IUV25" s="28"/>
      <c r="IUW25" s="28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5"/>
      <c r="IVV25" s="4"/>
      <c r="IVW25" s="28"/>
      <c r="IVX25" s="28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5"/>
      <c r="IWW25" s="4"/>
      <c r="IWX25" s="28"/>
      <c r="IWY25" s="28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5"/>
      <c r="IXX25" s="4"/>
      <c r="IXY25" s="28"/>
      <c r="IXZ25" s="28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5"/>
      <c r="IYY25" s="4"/>
      <c r="IYZ25" s="28"/>
      <c r="IZA25" s="28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5"/>
      <c r="IZZ25" s="4"/>
      <c r="JAA25" s="28"/>
      <c r="JAB25" s="28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5"/>
      <c r="JBA25" s="4"/>
      <c r="JBB25" s="28"/>
      <c r="JBC25" s="28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5"/>
      <c r="JCB25" s="4"/>
      <c r="JCC25" s="28"/>
      <c r="JCD25" s="28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5"/>
      <c r="JDC25" s="4"/>
      <c r="JDD25" s="28"/>
      <c r="JDE25" s="28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5"/>
      <c r="JED25" s="4"/>
      <c r="JEE25" s="28"/>
      <c r="JEF25" s="28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5"/>
      <c r="JFE25" s="4"/>
      <c r="JFF25" s="28"/>
      <c r="JFG25" s="28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5"/>
      <c r="JGF25" s="4"/>
      <c r="JGG25" s="28"/>
      <c r="JGH25" s="28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5"/>
      <c r="JHG25" s="4"/>
      <c r="JHH25" s="28"/>
      <c r="JHI25" s="28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5"/>
      <c r="JIH25" s="4"/>
      <c r="JII25" s="28"/>
      <c r="JIJ25" s="28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5"/>
      <c r="JJI25" s="4"/>
      <c r="JJJ25" s="28"/>
      <c r="JJK25" s="28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5"/>
      <c r="JKJ25" s="4"/>
      <c r="JKK25" s="28"/>
      <c r="JKL25" s="28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5"/>
      <c r="JLK25" s="4"/>
      <c r="JLL25" s="28"/>
      <c r="JLM25" s="28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5"/>
      <c r="JML25" s="4"/>
      <c r="JMM25" s="28"/>
      <c r="JMN25" s="28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5"/>
      <c r="JNM25" s="4"/>
      <c r="JNN25" s="28"/>
      <c r="JNO25" s="28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5"/>
      <c r="JON25" s="4"/>
      <c r="JOO25" s="28"/>
      <c r="JOP25" s="28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5"/>
      <c r="JPO25" s="4"/>
      <c r="JPP25" s="28"/>
      <c r="JPQ25" s="28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5"/>
      <c r="JQP25" s="4"/>
      <c r="JQQ25" s="28"/>
      <c r="JQR25" s="28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5"/>
      <c r="JRQ25" s="4"/>
      <c r="JRR25" s="28"/>
      <c r="JRS25" s="28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5"/>
      <c r="JSR25" s="4"/>
      <c r="JSS25" s="28"/>
      <c r="JST25" s="28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5"/>
      <c r="JTS25" s="4"/>
      <c r="JTT25" s="28"/>
      <c r="JTU25" s="28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5"/>
      <c r="JUT25" s="4"/>
      <c r="JUU25" s="28"/>
      <c r="JUV25" s="28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5"/>
      <c r="JVU25" s="4"/>
      <c r="JVV25" s="28"/>
      <c r="JVW25" s="28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5"/>
      <c r="JWV25" s="4"/>
      <c r="JWW25" s="28"/>
      <c r="JWX25" s="28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5"/>
      <c r="JXW25" s="4"/>
      <c r="JXX25" s="28"/>
      <c r="JXY25" s="28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5"/>
      <c r="JYX25" s="4"/>
      <c r="JYY25" s="28"/>
      <c r="JYZ25" s="28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5"/>
      <c r="JZY25" s="4"/>
      <c r="JZZ25" s="28"/>
      <c r="KAA25" s="28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5"/>
      <c r="KAZ25" s="4"/>
      <c r="KBA25" s="28"/>
      <c r="KBB25" s="28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5"/>
      <c r="KCA25" s="4"/>
      <c r="KCB25" s="28"/>
      <c r="KCC25" s="28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5"/>
      <c r="KDB25" s="4"/>
      <c r="KDC25" s="28"/>
      <c r="KDD25" s="28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5"/>
      <c r="KEC25" s="4"/>
      <c r="KED25" s="28"/>
      <c r="KEE25" s="28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5"/>
      <c r="KFD25" s="4"/>
      <c r="KFE25" s="28"/>
      <c r="KFF25" s="28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5"/>
      <c r="KGE25" s="4"/>
      <c r="KGF25" s="28"/>
      <c r="KGG25" s="28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5"/>
      <c r="KHF25" s="4"/>
      <c r="KHG25" s="28"/>
      <c r="KHH25" s="28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5"/>
      <c r="KIG25" s="4"/>
      <c r="KIH25" s="28"/>
      <c r="KII25" s="28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5"/>
      <c r="KJH25" s="4"/>
      <c r="KJI25" s="28"/>
      <c r="KJJ25" s="28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5"/>
      <c r="KKI25" s="4"/>
      <c r="KKJ25" s="28"/>
      <c r="KKK25" s="28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5"/>
      <c r="KLJ25" s="4"/>
      <c r="KLK25" s="28"/>
      <c r="KLL25" s="28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5"/>
      <c r="KMK25" s="4"/>
      <c r="KML25" s="28"/>
      <c r="KMM25" s="28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5"/>
      <c r="KNL25" s="4"/>
      <c r="KNM25" s="28"/>
      <c r="KNN25" s="28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5"/>
      <c r="KOM25" s="4"/>
      <c r="KON25" s="28"/>
      <c r="KOO25" s="28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5"/>
      <c r="KPN25" s="4"/>
      <c r="KPO25" s="28"/>
      <c r="KPP25" s="28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5"/>
      <c r="KQO25" s="4"/>
      <c r="KQP25" s="28"/>
      <c r="KQQ25" s="28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5"/>
      <c r="KRP25" s="4"/>
      <c r="KRQ25" s="28"/>
      <c r="KRR25" s="28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5"/>
      <c r="KSQ25" s="4"/>
      <c r="KSR25" s="28"/>
      <c r="KSS25" s="28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5"/>
      <c r="KTR25" s="4"/>
      <c r="KTS25" s="28"/>
      <c r="KTT25" s="28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5"/>
      <c r="KUS25" s="4"/>
      <c r="KUT25" s="28"/>
      <c r="KUU25" s="28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5"/>
      <c r="KVT25" s="4"/>
      <c r="KVU25" s="28"/>
      <c r="KVV25" s="28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5"/>
      <c r="KWU25" s="4"/>
      <c r="KWV25" s="28"/>
      <c r="KWW25" s="28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5"/>
      <c r="KXV25" s="4"/>
      <c r="KXW25" s="28"/>
      <c r="KXX25" s="28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5"/>
      <c r="KYW25" s="4"/>
      <c r="KYX25" s="28"/>
      <c r="KYY25" s="28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5"/>
      <c r="KZX25" s="4"/>
      <c r="KZY25" s="28"/>
      <c r="KZZ25" s="28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5"/>
      <c r="LAY25" s="4"/>
      <c r="LAZ25" s="28"/>
      <c r="LBA25" s="28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5"/>
      <c r="LBZ25" s="4"/>
      <c r="LCA25" s="28"/>
      <c r="LCB25" s="28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5"/>
      <c r="LDA25" s="4"/>
      <c r="LDB25" s="28"/>
      <c r="LDC25" s="28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5"/>
      <c r="LEB25" s="4"/>
      <c r="LEC25" s="28"/>
      <c r="LED25" s="28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5"/>
      <c r="LFC25" s="4"/>
      <c r="LFD25" s="28"/>
      <c r="LFE25" s="28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5"/>
      <c r="LGD25" s="4"/>
      <c r="LGE25" s="28"/>
      <c r="LGF25" s="28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5"/>
      <c r="LHE25" s="4"/>
      <c r="LHF25" s="28"/>
      <c r="LHG25" s="28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5"/>
      <c r="LIF25" s="4"/>
      <c r="LIG25" s="28"/>
      <c r="LIH25" s="28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5"/>
      <c r="LJG25" s="4"/>
      <c r="LJH25" s="28"/>
      <c r="LJI25" s="28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5"/>
      <c r="LKH25" s="4"/>
      <c r="LKI25" s="28"/>
      <c r="LKJ25" s="28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5"/>
      <c r="LLI25" s="4"/>
      <c r="LLJ25" s="28"/>
      <c r="LLK25" s="28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5"/>
      <c r="LMJ25" s="4"/>
      <c r="LMK25" s="28"/>
      <c r="LML25" s="28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5"/>
      <c r="LNK25" s="4"/>
      <c r="LNL25" s="28"/>
      <c r="LNM25" s="28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5"/>
      <c r="LOL25" s="4"/>
      <c r="LOM25" s="28"/>
      <c r="LON25" s="28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5"/>
      <c r="LPM25" s="4"/>
      <c r="LPN25" s="28"/>
      <c r="LPO25" s="28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5"/>
      <c r="LQN25" s="4"/>
      <c r="LQO25" s="28"/>
      <c r="LQP25" s="28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5"/>
      <c r="LRO25" s="4"/>
      <c r="LRP25" s="28"/>
      <c r="LRQ25" s="28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5"/>
      <c r="LSP25" s="4"/>
      <c r="LSQ25" s="28"/>
      <c r="LSR25" s="28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5"/>
      <c r="LTQ25" s="4"/>
      <c r="LTR25" s="28"/>
      <c r="LTS25" s="28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5"/>
      <c r="LUR25" s="4"/>
      <c r="LUS25" s="28"/>
      <c r="LUT25" s="28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5"/>
      <c r="LVS25" s="4"/>
      <c r="LVT25" s="28"/>
      <c r="LVU25" s="28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5"/>
      <c r="LWT25" s="4"/>
      <c r="LWU25" s="28"/>
      <c r="LWV25" s="28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5"/>
      <c r="LXU25" s="4"/>
      <c r="LXV25" s="28"/>
      <c r="LXW25" s="28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5"/>
      <c r="LYV25" s="4"/>
      <c r="LYW25" s="28"/>
      <c r="LYX25" s="28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5"/>
      <c r="LZW25" s="4"/>
      <c r="LZX25" s="28"/>
      <c r="LZY25" s="28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5"/>
      <c r="MAX25" s="4"/>
      <c r="MAY25" s="28"/>
      <c r="MAZ25" s="28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5"/>
      <c r="MBY25" s="4"/>
      <c r="MBZ25" s="28"/>
      <c r="MCA25" s="28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5"/>
      <c r="MCZ25" s="4"/>
      <c r="MDA25" s="28"/>
      <c r="MDB25" s="28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5"/>
      <c r="MEA25" s="4"/>
      <c r="MEB25" s="28"/>
      <c r="MEC25" s="28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5"/>
      <c r="MFB25" s="4"/>
      <c r="MFC25" s="28"/>
      <c r="MFD25" s="28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5"/>
      <c r="MGC25" s="4"/>
      <c r="MGD25" s="28"/>
      <c r="MGE25" s="28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5"/>
      <c r="MHD25" s="4"/>
      <c r="MHE25" s="28"/>
      <c r="MHF25" s="28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5"/>
      <c r="MIE25" s="4"/>
      <c r="MIF25" s="28"/>
      <c r="MIG25" s="28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5"/>
      <c r="MJF25" s="4"/>
      <c r="MJG25" s="28"/>
      <c r="MJH25" s="28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5"/>
      <c r="MKG25" s="4"/>
      <c r="MKH25" s="28"/>
      <c r="MKI25" s="28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5"/>
      <c r="MLH25" s="4"/>
      <c r="MLI25" s="28"/>
      <c r="MLJ25" s="28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5"/>
      <c r="MMI25" s="4"/>
      <c r="MMJ25" s="28"/>
      <c r="MMK25" s="28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5"/>
      <c r="MNJ25" s="4"/>
      <c r="MNK25" s="28"/>
      <c r="MNL25" s="28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5"/>
      <c r="MOK25" s="4"/>
      <c r="MOL25" s="28"/>
      <c r="MOM25" s="28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5"/>
      <c r="MPL25" s="4"/>
      <c r="MPM25" s="28"/>
      <c r="MPN25" s="28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5"/>
      <c r="MQM25" s="4"/>
      <c r="MQN25" s="28"/>
      <c r="MQO25" s="28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5"/>
      <c r="MRN25" s="4"/>
      <c r="MRO25" s="28"/>
      <c r="MRP25" s="28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5"/>
      <c r="MSO25" s="4"/>
      <c r="MSP25" s="28"/>
      <c r="MSQ25" s="28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5"/>
      <c r="MTP25" s="4"/>
      <c r="MTQ25" s="28"/>
      <c r="MTR25" s="28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5"/>
      <c r="MUQ25" s="4"/>
      <c r="MUR25" s="28"/>
      <c r="MUS25" s="28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5"/>
      <c r="MVR25" s="4"/>
      <c r="MVS25" s="28"/>
      <c r="MVT25" s="28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5"/>
      <c r="MWS25" s="4"/>
      <c r="MWT25" s="28"/>
      <c r="MWU25" s="28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5"/>
      <c r="MXT25" s="4"/>
      <c r="MXU25" s="28"/>
      <c r="MXV25" s="28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5"/>
      <c r="MYU25" s="4"/>
      <c r="MYV25" s="28"/>
      <c r="MYW25" s="28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5"/>
      <c r="MZV25" s="4"/>
      <c r="MZW25" s="28"/>
      <c r="MZX25" s="28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5"/>
      <c r="NAW25" s="4"/>
      <c r="NAX25" s="28"/>
      <c r="NAY25" s="28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5"/>
      <c r="NBX25" s="4"/>
      <c r="NBY25" s="28"/>
      <c r="NBZ25" s="28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5"/>
      <c r="NCY25" s="4"/>
      <c r="NCZ25" s="28"/>
      <c r="NDA25" s="28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5"/>
      <c r="NDZ25" s="4"/>
      <c r="NEA25" s="28"/>
      <c r="NEB25" s="28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5"/>
      <c r="NFA25" s="4"/>
      <c r="NFB25" s="28"/>
      <c r="NFC25" s="28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5"/>
      <c r="NGB25" s="4"/>
      <c r="NGC25" s="28"/>
      <c r="NGD25" s="28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5"/>
      <c r="NHC25" s="4"/>
      <c r="NHD25" s="28"/>
      <c r="NHE25" s="28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5"/>
      <c r="NID25" s="4"/>
      <c r="NIE25" s="28"/>
      <c r="NIF25" s="28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5"/>
      <c r="NJE25" s="4"/>
      <c r="NJF25" s="28"/>
      <c r="NJG25" s="28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5"/>
      <c r="NKF25" s="4"/>
      <c r="NKG25" s="28"/>
      <c r="NKH25" s="28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5"/>
      <c r="NLG25" s="4"/>
      <c r="NLH25" s="28"/>
      <c r="NLI25" s="28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5"/>
      <c r="NMH25" s="4"/>
      <c r="NMI25" s="28"/>
      <c r="NMJ25" s="28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5"/>
      <c r="NNI25" s="4"/>
      <c r="NNJ25" s="28"/>
      <c r="NNK25" s="28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5"/>
      <c r="NOJ25" s="4"/>
      <c r="NOK25" s="28"/>
      <c r="NOL25" s="28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5"/>
      <c r="NPK25" s="4"/>
      <c r="NPL25" s="28"/>
      <c r="NPM25" s="28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5"/>
      <c r="NQL25" s="4"/>
      <c r="NQM25" s="28"/>
      <c r="NQN25" s="28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5"/>
      <c r="NRM25" s="4"/>
      <c r="NRN25" s="28"/>
      <c r="NRO25" s="28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5"/>
      <c r="NSN25" s="4"/>
      <c r="NSO25" s="28"/>
      <c r="NSP25" s="28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5"/>
      <c r="NTO25" s="4"/>
      <c r="NTP25" s="28"/>
      <c r="NTQ25" s="28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5"/>
      <c r="NUP25" s="4"/>
      <c r="NUQ25" s="28"/>
      <c r="NUR25" s="28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5"/>
      <c r="NVQ25" s="4"/>
      <c r="NVR25" s="28"/>
      <c r="NVS25" s="28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5"/>
      <c r="NWR25" s="4"/>
      <c r="NWS25" s="28"/>
      <c r="NWT25" s="28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5"/>
      <c r="NXS25" s="4"/>
      <c r="NXT25" s="28"/>
      <c r="NXU25" s="28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5"/>
      <c r="NYT25" s="4"/>
      <c r="NYU25" s="28"/>
      <c r="NYV25" s="28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5"/>
      <c r="NZU25" s="4"/>
      <c r="NZV25" s="28"/>
      <c r="NZW25" s="28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5"/>
      <c r="OAV25" s="4"/>
      <c r="OAW25" s="28"/>
      <c r="OAX25" s="28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5"/>
      <c r="OBW25" s="4"/>
      <c r="OBX25" s="28"/>
      <c r="OBY25" s="28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5"/>
      <c r="OCX25" s="4"/>
      <c r="OCY25" s="28"/>
      <c r="OCZ25" s="28"/>
      <c r="ODA25" s="4"/>
      <c r="ODB25" s="4"/>
      <c r="ODC25" s="4"/>
      <c r="ODD25" s="4"/>
      <c r="ODE25" s="4"/>
      <c r="ODF25" s="4"/>
      <c r="ODG25" s="4"/>
      <c r="ODH25" s="4"/>
      <c r="ODI25" s="4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4"/>
      <c r="ODV25" s="4"/>
      <c r="ODW25" s="4"/>
      <c r="ODX25" s="5"/>
      <c r="ODY25" s="4"/>
      <c r="ODZ25" s="28"/>
      <c r="OEA25" s="28"/>
      <c r="OEB25" s="4"/>
      <c r="OEC25" s="4"/>
      <c r="OED25" s="4"/>
      <c r="OEE25" s="4"/>
      <c r="OEF25" s="4"/>
      <c r="OEG25" s="4"/>
      <c r="OEH25" s="4"/>
      <c r="OEI25" s="4"/>
      <c r="OEJ25" s="4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4"/>
      <c r="OEW25" s="4"/>
      <c r="OEX25" s="4"/>
      <c r="OEY25" s="5"/>
      <c r="OEZ25" s="4"/>
      <c r="OFA25" s="28"/>
      <c r="OFB25" s="28"/>
      <c r="OFC25" s="4"/>
      <c r="OFD25" s="4"/>
      <c r="OFE25" s="4"/>
      <c r="OFF25" s="4"/>
      <c r="OFG25" s="4"/>
      <c r="OFH25" s="4"/>
      <c r="OFI25" s="4"/>
      <c r="OFJ25" s="4"/>
      <c r="OFK25" s="4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4"/>
      <c r="OFX25" s="4"/>
      <c r="OFY25" s="4"/>
      <c r="OFZ25" s="5"/>
      <c r="OGA25" s="4"/>
      <c r="OGB25" s="28"/>
      <c r="OGC25" s="28"/>
      <c r="OGD25" s="4"/>
      <c r="OGE25" s="4"/>
      <c r="OGF25" s="4"/>
      <c r="OGG25" s="4"/>
      <c r="OGH25" s="4"/>
      <c r="OGI25" s="4"/>
      <c r="OGJ25" s="4"/>
      <c r="OGK25" s="4"/>
      <c r="OGL25" s="4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4"/>
      <c r="OGY25" s="4"/>
      <c r="OGZ25" s="4"/>
      <c r="OHA25" s="5"/>
      <c r="OHB25" s="4"/>
      <c r="OHC25" s="28"/>
      <c r="OHD25" s="28"/>
      <c r="OHE25" s="4"/>
      <c r="OHF25" s="4"/>
      <c r="OHG25" s="4"/>
      <c r="OHH25" s="4"/>
      <c r="OHI25" s="4"/>
      <c r="OHJ25" s="4"/>
      <c r="OHK25" s="4"/>
      <c r="OHL25" s="4"/>
      <c r="OHM25" s="4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4"/>
      <c r="OHZ25" s="4"/>
      <c r="OIA25" s="4"/>
      <c r="OIB25" s="5"/>
      <c r="OIC25" s="4"/>
      <c r="OID25" s="28"/>
      <c r="OIE25" s="28"/>
      <c r="OIF25" s="4"/>
      <c r="OIG25" s="4"/>
      <c r="OIH25" s="4"/>
      <c r="OII25" s="4"/>
      <c r="OIJ25" s="4"/>
      <c r="OIK25" s="4"/>
      <c r="OIL25" s="4"/>
      <c r="OIM25" s="4"/>
      <c r="OIN25" s="4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4"/>
      <c r="OJA25" s="4"/>
      <c r="OJB25" s="4"/>
      <c r="OJC25" s="5"/>
      <c r="OJD25" s="4"/>
      <c r="OJE25" s="28"/>
      <c r="OJF25" s="28"/>
      <c r="OJG25" s="4"/>
      <c r="OJH25" s="4"/>
      <c r="OJI25" s="4"/>
      <c r="OJJ25" s="4"/>
      <c r="OJK25" s="4"/>
      <c r="OJL25" s="4"/>
      <c r="OJM25" s="4"/>
      <c r="OJN25" s="4"/>
      <c r="OJO25" s="4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4"/>
      <c r="OKB25" s="4"/>
      <c r="OKC25" s="4"/>
      <c r="OKD25" s="5"/>
      <c r="OKE25" s="4"/>
      <c r="OKF25" s="28"/>
      <c r="OKG25" s="28"/>
      <c r="OKH25" s="4"/>
      <c r="OKI25" s="4"/>
      <c r="OKJ25" s="4"/>
      <c r="OKK25" s="4"/>
      <c r="OKL25" s="4"/>
      <c r="OKM25" s="4"/>
      <c r="OKN25" s="4"/>
      <c r="OKO25" s="4"/>
      <c r="OKP25" s="4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4"/>
      <c r="OLC25" s="4"/>
      <c r="OLD25" s="4"/>
      <c r="OLE25" s="5"/>
      <c r="OLF25" s="4"/>
      <c r="OLG25" s="28"/>
      <c r="OLH25" s="28"/>
      <c r="OLI25" s="4"/>
      <c r="OLJ25" s="4"/>
      <c r="OLK25" s="4"/>
      <c r="OLL25" s="4"/>
      <c r="OLM25" s="4"/>
      <c r="OLN25" s="4"/>
      <c r="OLO25" s="4"/>
      <c r="OLP25" s="4"/>
      <c r="OLQ25" s="4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4"/>
      <c r="OMD25" s="4"/>
      <c r="OME25" s="4"/>
      <c r="OMF25" s="5"/>
      <c r="OMG25" s="4"/>
      <c r="OMH25" s="28"/>
      <c r="OMI25" s="28"/>
      <c r="OMJ25" s="4"/>
      <c r="OMK25" s="4"/>
      <c r="OML25" s="4"/>
      <c r="OMM25" s="4"/>
      <c r="OMN25" s="4"/>
      <c r="OMO25" s="4"/>
      <c r="OMP25" s="4"/>
      <c r="OMQ25" s="4"/>
      <c r="OMR25" s="4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4"/>
      <c r="ONE25" s="4"/>
      <c r="ONF25" s="4"/>
      <c r="ONG25" s="5"/>
      <c r="ONH25" s="4"/>
      <c r="ONI25" s="28"/>
      <c r="ONJ25" s="28"/>
      <c r="ONK25" s="4"/>
      <c r="ONL25" s="4"/>
      <c r="ONM25" s="4"/>
      <c r="ONN25" s="4"/>
      <c r="ONO25" s="4"/>
      <c r="ONP25" s="4"/>
      <c r="ONQ25" s="4"/>
      <c r="ONR25" s="4"/>
      <c r="ONS25" s="4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4"/>
      <c r="OOF25" s="4"/>
      <c r="OOG25" s="4"/>
      <c r="OOH25" s="5"/>
      <c r="OOI25" s="4"/>
      <c r="OOJ25" s="28"/>
      <c r="OOK25" s="28"/>
      <c r="OOL25" s="4"/>
      <c r="OOM25" s="4"/>
      <c r="OON25" s="4"/>
      <c r="OOO25" s="4"/>
      <c r="OOP25" s="4"/>
      <c r="OOQ25" s="4"/>
      <c r="OOR25" s="4"/>
      <c r="OOS25" s="4"/>
      <c r="OOT25" s="4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4"/>
      <c r="OPG25" s="4"/>
      <c r="OPH25" s="4"/>
      <c r="OPI25" s="5"/>
      <c r="OPJ25" s="4"/>
      <c r="OPK25" s="28"/>
      <c r="OPL25" s="28"/>
      <c r="OPM25" s="4"/>
      <c r="OPN25" s="4"/>
      <c r="OPO25" s="4"/>
      <c r="OPP25" s="4"/>
      <c r="OPQ25" s="4"/>
      <c r="OPR25" s="4"/>
      <c r="OPS25" s="4"/>
      <c r="OPT25" s="4"/>
      <c r="OPU25" s="4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4"/>
      <c r="OQH25" s="4"/>
      <c r="OQI25" s="4"/>
      <c r="OQJ25" s="5"/>
      <c r="OQK25" s="4"/>
      <c r="OQL25" s="28"/>
      <c r="OQM25" s="28"/>
      <c r="OQN25" s="4"/>
      <c r="OQO25" s="4"/>
      <c r="OQP25" s="4"/>
      <c r="OQQ25" s="4"/>
      <c r="OQR25" s="4"/>
      <c r="OQS25" s="4"/>
      <c r="OQT25" s="4"/>
      <c r="OQU25" s="4"/>
      <c r="OQV25" s="4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4"/>
      <c r="ORI25" s="4"/>
      <c r="ORJ25" s="4"/>
      <c r="ORK25" s="5"/>
      <c r="ORL25" s="4"/>
      <c r="ORM25" s="28"/>
      <c r="ORN25" s="28"/>
      <c r="ORO25" s="4"/>
      <c r="ORP25" s="4"/>
      <c r="ORQ25" s="4"/>
      <c r="ORR25" s="4"/>
      <c r="ORS25" s="4"/>
      <c r="ORT25" s="4"/>
      <c r="ORU25" s="4"/>
      <c r="ORV25" s="4"/>
      <c r="ORW25" s="4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4"/>
      <c r="OSJ25" s="4"/>
      <c r="OSK25" s="4"/>
      <c r="OSL25" s="5"/>
      <c r="OSM25" s="4"/>
      <c r="OSN25" s="28"/>
      <c r="OSO25" s="28"/>
      <c r="OSP25" s="4"/>
      <c r="OSQ25" s="4"/>
      <c r="OSR25" s="4"/>
      <c r="OSS25" s="4"/>
      <c r="OST25" s="4"/>
      <c r="OSU25" s="4"/>
      <c r="OSV25" s="4"/>
      <c r="OSW25" s="4"/>
      <c r="OSX25" s="4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4"/>
      <c r="OTK25" s="4"/>
      <c r="OTL25" s="4"/>
      <c r="OTM25" s="5"/>
      <c r="OTN25" s="4"/>
      <c r="OTO25" s="28"/>
      <c r="OTP25" s="28"/>
      <c r="OTQ25" s="4"/>
      <c r="OTR25" s="4"/>
      <c r="OTS25" s="4"/>
      <c r="OTT25" s="4"/>
      <c r="OTU25" s="4"/>
      <c r="OTV25" s="4"/>
      <c r="OTW25" s="4"/>
      <c r="OTX25" s="4"/>
      <c r="OTY25" s="4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4"/>
      <c r="OUL25" s="4"/>
      <c r="OUM25" s="4"/>
      <c r="OUN25" s="5"/>
      <c r="OUO25" s="4"/>
      <c r="OUP25" s="28"/>
      <c r="OUQ25" s="28"/>
      <c r="OUR25" s="4"/>
      <c r="OUS25" s="4"/>
      <c r="OUT25" s="4"/>
      <c r="OUU25" s="4"/>
      <c r="OUV25" s="4"/>
      <c r="OUW25" s="4"/>
      <c r="OUX25" s="4"/>
      <c r="OUY25" s="4"/>
      <c r="OUZ25" s="4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4"/>
      <c r="OVM25" s="4"/>
      <c r="OVN25" s="4"/>
      <c r="OVO25" s="5"/>
      <c r="OVP25" s="4"/>
      <c r="OVQ25" s="28"/>
      <c r="OVR25" s="28"/>
      <c r="OVS25" s="4"/>
      <c r="OVT25" s="4"/>
      <c r="OVU25" s="4"/>
      <c r="OVV25" s="4"/>
      <c r="OVW25" s="4"/>
      <c r="OVX25" s="4"/>
      <c r="OVY25" s="4"/>
      <c r="OVZ25" s="4"/>
      <c r="OWA25" s="4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4"/>
      <c r="OWN25" s="4"/>
      <c r="OWO25" s="4"/>
      <c r="OWP25" s="5"/>
      <c r="OWQ25" s="4"/>
      <c r="OWR25" s="28"/>
      <c r="OWS25" s="28"/>
      <c r="OWT25" s="4"/>
      <c r="OWU25" s="4"/>
      <c r="OWV25" s="4"/>
      <c r="OWW25" s="4"/>
      <c r="OWX25" s="4"/>
      <c r="OWY25" s="4"/>
      <c r="OWZ25" s="4"/>
      <c r="OXA25" s="4"/>
      <c r="OXB25" s="4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4"/>
      <c r="OXO25" s="4"/>
      <c r="OXP25" s="4"/>
      <c r="OXQ25" s="5"/>
      <c r="OXR25" s="4"/>
      <c r="OXS25" s="28"/>
      <c r="OXT25" s="28"/>
      <c r="OXU25" s="4"/>
      <c r="OXV25" s="4"/>
      <c r="OXW25" s="4"/>
      <c r="OXX25" s="4"/>
      <c r="OXY25" s="4"/>
      <c r="OXZ25" s="4"/>
      <c r="OYA25" s="4"/>
      <c r="OYB25" s="4"/>
      <c r="OYC25" s="4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4"/>
      <c r="OYP25" s="4"/>
      <c r="OYQ25" s="4"/>
      <c r="OYR25" s="5"/>
      <c r="OYS25" s="4"/>
      <c r="OYT25" s="28"/>
      <c r="OYU25" s="28"/>
      <c r="OYV25" s="4"/>
      <c r="OYW25" s="4"/>
      <c r="OYX25" s="4"/>
      <c r="OYY25" s="4"/>
      <c r="OYZ25" s="4"/>
      <c r="OZA25" s="4"/>
      <c r="OZB25" s="4"/>
      <c r="OZC25" s="4"/>
      <c r="OZD25" s="4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4"/>
      <c r="OZQ25" s="4"/>
      <c r="OZR25" s="4"/>
      <c r="OZS25" s="5"/>
      <c r="OZT25" s="4"/>
      <c r="OZU25" s="28"/>
      <c r="OZV25" s="28"/>
      <c r="OZW25" s="4"/>
      <c r="OZX25" s="4"/>
      <c r="OZY25" s="4"/>
      <c r="OZZ25" s="4"/>
      <c r="PAA25" s="4"/>
      <c r="PAB25" s="4"/>
      <c r="PAC25" s="4"/>
      <c r="PAD25" s="4"/>
      <c r="PAE25" s="4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4"/>
      <c r="PAR25" s="4"/>
      <c r="PAS25" s="4"/>
      <c r="PAT25" s="5"/>
      <c r="PAU25" s="4"/>
      <c r="PAV25" s="28"/>
      <c r="PAW25" s="28"/>
      <c r="PAX25" s="4"/>
      <c r="PAY25" s="4"/>
      <c r="PAZ25" s="4"/>
      <c r="PBA25" s="4"/>
      <c r="PBB25" s="4"/>
      <c r="PBC25" s="4"/>
      <c r="PBD25" s="4"/>
      <c r="PBE25" s="4"/>
      <c r="PBF25" s="4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4"/>
      <c r="PBS25" s="4"/>
      <c r="PBT25" s="4"/>
      <c r="PBU25" s="5"/>
      <c r="PBV25" s="4"/>
      <c r="PBW25" s="28"/>
      <c r="PBX25" s="28"/>
      <c r="PBY25" s="4"/>
      <c r="PBZ25" s="4"/>
      <c r="PCA25" s="4"/>
      <c r="PCB25" s="4"/>
      <c r="PCC25" s="4"/>
      <c r="PCD25" s="4"/>
      <c r="PCE25" s="4"/>
      <c r="PCF25" s="4"/>
      <c r="PCG25" s="4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4"/>
      <c r="PCT25" s="4"/>
      <c r="PCU25" s="4"/>
      <c r="PCV25" s="5"/>
      <c r="PCW25" s="4"/>
      <c r="PCX25" s="28"/>
      <c r="PCY25" s="28"/>
      <c r="PCZ25" s="4"/>
      <c r="PDA25" s="4"/>
      <c r="PDB25" s="4"/>
      <c r="PDC25" s="4"/>
      <c r="PDD25" s="4"/>
      <c r="PDE25" s="4"/>
      <c r="PDF25" s="4"/>
      <c r="PDG25" s="4"/>
      <c r="PDH25" s="4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4"/>
      <c r="PDU25" s="4"/>
      <c r="PDV25" s="4"/>
      <c r="PDW25" s="5"/>
      <c r="PDX25" s="4"/>
      <c r="PDY25" s="28"/>
      <c r="PDZ25" s="28"/>
      <c r="PEA25" s="4"/>
      <c r="PEB25" s="4"/>
      <c r="PEC25" s="4"/>
      <c r="PED25" s="4"/>
      <c r="PEE25" s="4"/>
      <c r="PEF25" s="4"/>
      <c r="PEG25" s="4"/>
      <c r="PEH25" s="4"/>
      <c r="PEI25" s="4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4"/>
      <c r="PEV25" s="4"/>
      <c r="PEW25" s="4"/>
      <c r="PEX25" s="5"/>
      <c r="PEY25" s="4"/>
      <c r="PEZ25" s="28"/>
      <c r="PFA25" s="28"/>
      <c r="PFB25" s="4"/>
      <c r="PFC25" s="4"/>
      <c r="PFD25" s="4"/>
      <c r="PFE25" s="4"/>
      <c r="PFF25" s="4"/>
      <c r="PFG25" s="4"/>
      <c r="PFH25" s="4"/>
      <c r="PFI25" s="4"/>
      <c r="PFJ25" s="4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4"/>
      <c r="PFW25" s="4"/>
      <c r="PFX25" s="4"/>
      <c r="PFY25" s="5"/>
      <c r="PFZ25" s="4"/>
      <c r="PGA25" s="28"/>
      <c r="PGB25" s="28"/>
      <c r="PGC25" s="4"/>
      <c r="PGD25" s="4"/>
      <c r="PGE25" s="4"/>
      <c r="PGF25" s="4"/>
      <c r="PGG25" s="4"/>
      <c r="PGH25" s="4"/>
      <c r="PGI25" s="4"/>
      <c r="PGJ25" s="4"/>
      <c r="PGK25" s="4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4"/>
      <c r="PGX25" s="4"/>
      <c r="PGY25" s="4"/>
      <c r="PGZ25" s="5"/>
      <c r="PHA25" s="4"/>
      <c r="PHB25" s="28"/>
      <c r="PHC25" s="28"/>
      <c r="PHD25" s="4"/>
      <c r="PHE25" s="4"/>
      <c r="PHF25" s="4"/>
      <c r="PHG25" s="4"/>
      <c r="PHH25" s="4"/>
      <c r="PHI25" s="4"/>
      <c r="PHJ25" s="4"/>
      <c r="PHK25" s="4"/>
      <c r="PHL25" s="4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4"/>
      <c r="PHY25" s="4"/>
      <c r="PHZ25" s="4"/>
      <c r="PIA25" s="5"/>
      <c r="PIB25" s="4"/>
      <c r="PIC25" s="28"/>
      <c r="PID25" s="28"/>
      <c r="PIE25" s="4"/>
      <c r="PIF25" s="4"/>
      <c r="PIG25" s="4"/>
      <c r="PIH25" s="4"/>
      <c r="PII25" s="4"/>
      <c r="PIJ25" s="4"/>
      <c r="PIK25" s="4"/>
      <c r="PIL25" s="4"/>
      <c r="PIM25" s="4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4"/>
      <c r="PIZ25" s="4"/>
      <c r="PJA25" s="4"/>
      <c r="PJB25" s="5"/>
      <c r="PJC25" s="4"/>
      <c r="PJD25" s="28"/>
      <c r="PJE25" s="28"/>
      <c r="PJF25" s="4"/>
      <c r="PJG25" s="4"/>
      <c r="PJH25" s="4"/>
      <c r="PJI25" s="4"/>
      <c r="PJJ25" s="4"/>
      <c r="PJK25" s="4"/>
      <c r="PJL25" s="4"/>
      <c r="PJM25" s="4"/>
      <c r="PJN25" s="4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4"/>
      <c r="PKA25" s="4"/>
      <c r="PKB25" s="4"/>
      <c r="PKC25" s="5"/>
      <c r="PKD25" s="4"/>
      <c r="PKE25" s="28"/>
      <c r="PKF25" s="28"/>
      <c r="PKG25" s="4"/>
      <c r="PKH25" s="4"/>
      <c r="PKI25" s="4"/>
      <c r="PKJ25" s="4"/>
      <c r="PKK25" s="4"/>
      <c r="PKL25" s="4"/>
      <c r="PKM25" s="4"/>
      <c r="PKN25" s="4"/>
      <c r="PKO25" s="4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4"/>
      <c r="PLB25" s="4"/>
      <c r="PLC25" s="4"/>
      <c r="PLD25" s="5"/>
      <c r="PLE25" s="4"/>
      <c r="PLF25" s="28"/>
      <c r="PLG25" s="28"/>
      <c r="PLH25" s="4"/>
      <c r="PLI25" s="4"/>
      <c r="PLJ25" s="4"/>
      <c r="PLK25" s="4"/>
      <c r="PLL25" s="4"/>
      <c r="PLM25" s="4"/>
      <c r="PLN25" s="4"/>
      <c r="PLO25" s="4"/>
      <c r="PLP25" s="4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4"/>
      <c r="PMC25" s="4"/>
      <c r="PMD25" s="4"/>
      <c r="PME25" s="5"/>
      <c r="PMF25" s="4"/>
      <c r="PMG25" s="28"/>
      <c r="PMH25" s="28"/>
      <c r="PMI25" s="4"/>
      <c r="PMJ25" s="4"/>
      <c r="PMK25" s="4"/>
      <c r="PML25" s="4"/>
      <c r="PMM25" s="4"/>
      <c r="PMN25" s="4"/>
      <c r="PMO25" s="4"/>
      <c r="PMP25" s="4"/>
      <c r="PMQ25" s="4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4"/>
      <c r="PND25" s="4"/>
      <c r="PNE25" s="4"/>
      <c r="PNF25" s="5"/>
      <c r="PNG25" s="4"/>
      <c r="PNH25" s="28"/>
      <c r="PNI25" s="28"/>
      <c r="PNJ25" s="4"/>
      <c r="PNK25" s="4"/>
      <c r="PNL25" s="4"/>
      <c r="PNM25" s="4"/>
      <c r="PNN25" s="4"/>
      <c r="PNO25" s="4"/>
      <c r="PNP25" s="4"/>
      <c r="PNQ25" s="4"/>
      <c r="PNR25" s="4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4"/>
      <c r="POE25" s="4"/>
      <c r="POF25" s="4"/>
      <c r="POG25" s="5"/>
      <c r="POH25" s="4"/>
      <c r="POI25" s="28"/>
      <c r="POJ25" s="28"/>
      <c r="POK25" s="4"/>
      <c r="POL25" s="4"/>
      <c r="POM25" s="4"/>
      <c r="PON25" s="4"/>
      <c r="POO25" s="4"/>
      <c r="POP25" s="4"/>
      <c r="POQ25" s="4"/>
      <c r="POR25" s="4"/>
      <c r="POS25" s="4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4"/>
      <c r="PPF25" s="4"/>
      <c r="PPG25" s="4"/>
      <c r="PPH25" s="5"/>
      <c r="PPI25" s="4"/>
      <c r="PPJ25" s="28"/>
      <c r="PPK25" s="28"/>
      <c r="PPL25" s="4"/>
      <c r="PPM25" s="4"/>
      <c r="PPN25" s="4"/>
      <c r="PPO25" s="4"/>
      <c r="PPP25" s="4"/>
      <c r="PPQ25" s="4"/>
      <c r="PPR25" s="4"/>
      <c r="PPS25" s="4"/>
      <c r="PPT25" s="4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4"/>
      <c r="PQG25" s="4"/>
      <c r="PQH25" s="4"/>
      <c r="PQI25" s="5"/>
      <c r="PQJ25" s="4"/>
      <c r="PQK25" s="28"/>
      <c r="PQL25" s="28"/>
      <c r="PQM25" s="4"/>
      <c r="PQN25" s="4"/>
      <c r="PQO25" s="4"/>
      <c r="PQP25" s="4"/>
      <c r="PQQ25" s="4"/>
      <c r="PQR25" s="4"/>
      <c r="PQS25" s="4"/>
      <c r="PQT25" s="4"/>
      <c r="PQU25" s="4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4"/>
      <c r="PRH25" s="4"/>
      <c r="PRI25" s="4"/>
      <c r="PRJ25" s="5"/>
      <c r="PRK25" s="4"/>
      <c r="PRL25" s="28"/>
      <c r="PRM25" s="28"/>
      <c r="PRN25" s="4"/>
      <c r="PRO25" s="4"/>
      <c r="PRP25" s="4"/>
      <c r="PRQ25" s="4"/>
      <c r="PRR25" s="4"/>
      <c r="PRS25" s="4"/>
      <c r="PRT25" s="4"/>
      <c r="PRU25" s="4"/>
      <c r="PRV25" s="4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4"/>
      <c r="PSI25" s="4"/>
      <c r="PSJ25" s="4"/>
      <c r="PSK25" s="5"/>
      <c r="PSL25" s="4"/>
      <c r="PSM25" s="28"/>
      <c r="PSN25" s="28"/>
      <c r="PSO25" s="4"/>
      <c r="PSP25" s="4"/>
      <c r="PSQ25" s="4"/>
      <c r="PSR25" s="4"/>
      <c r="PSS25" s="4"/>
      <c r="PST25" s="4"/>
      <c r="PSU25" s="4"/>
      <c r="PSV25" s="4"/>
      <c r="PSW25" s="4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4"/>
      <c r="PTJ25" s="4"/>
      <c r="PTK25" s="4"/>
      <c r="PTL25" s="5"/>
      <c r="PTM25" s="4"/>
      <c r="PTN25" s="28"/>
      <c r="PTO25" s="28"/>
      <c r="PTP25" s="4"/>
      <c r="PTQ25" s="4"/>
      <c r="PTR25" s="4"/>
      <c r="PTS25" s="4"/>
      <c r="PTT25" s="4"/>
      <c r="PTU25" s="4"/>
      <c r="PTV25" s="4"/>
      <c r="PTW25" s="4"/>
      <c r="PTX25" s="4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4"/>
      <c r="PUK25" s="4"/>
      <c r="PUL25" s="4"/>
      <c r="PUM25" s="5"/>
      <c r="PUN25" s="4"/>
      <c r="PUO25" s="28"/>
      <c r="PUP25" s="28"/>
      <c r="PUQ25" s="4"/>
      <c r="PUR25" s="4"/>
      <c r="PUS25" s="4"/>
      <c r="PUT25" s="4"/>
      <c r="PUU25" s="4"/>
      <c r="PUV25" s="4"/>
      <c r="PUW25" s="4"/>
      <c r="PUX25" s="4"/>
      <c r="PUY25" s="4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4"/>
      <c r="PVL25" s="4"/>
      <c r="PVM25" s="4"/>
      <c r="PVN25" s="5"/>
      <c r="PVO25" s="4"/>
      <c r="PVP25" s="28"/>
      <c r="PVQ25" s="28"/>
      <c r="PVR25" s="4"/>
      <c r="PVS25" s="4"/>
      <c r="PVT25" s="4"/>
      <c r="PVU25" s="4"/>
      <c r="PVV25" s="4"/>
      <c r="PVW25" s="4"/>
      <c r="PVX25" s="4"/>
      <c r="PVY25" s="4"/>
      <c r="PVZ25" s="4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4"/>
      <c r="PWM25" s="4"/>
      <c r="PWN25" s="4"/>
      <c r="PWO25" s="5"/>
      <c r="PWP25" s="4"/>
      <c r="PWQ25" s="28"/>
      <c r="PWR25" s="28"/>
      <c r="PWS25" s="4"/>
      <c r="PWT25" s="4"/>
      <c r="PWU25" s="4"/>
      <c r="PWV25" s="4"/>
      <c r="PWW25" s="4"/>
      <c r="PWX25" s="4"/>
      <c r="PWY25" s="4"/>
      <c r="PWZ25" s="4"/>
      <c r="PXA25" s="4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4"/>
      <c r="PXN25" s="4"/>
      <c r="PXO25" s="4"/>
      <c r="PXP25" s="5"/>
      <c r="PXQ25" s="4"/>
      <c r="PXR25" s="28"/>
      <c r="PXS25" s="28"/>
      <c r="PXT25" s="4"/>
      <c r="PXU25" s="4"/>
      <c r="PXV25" s="4"/>
      <c r="PXW25" s="4"/>
      <c r="PXX25" s="4"/>
      <c r="PXY25" s="4"/>
      <c r="PXZ25" s="4"/>
      <c r="PYA25" s="4"/>
      <c r="PYB25" s="4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4"/>
      <c r="PYO25" s="4"/>
      <c r="PYP25" s="4"/>
      <c r="PYQ25" s="5"/>
      <c r="PYR25" s="4"/>
      <c r="PYS25" s="28"/>
      <c r="PYT25" s="28"/>
      <c r="PYU25" s="4"/>
      <c r="PYV25" s="4"/>
      <c r="PYW25" s="4"/>
      <c r="PYX25" s="4"/>
      <c r="PYY25" s="4"/>
      <c r="PYZ25" s="4"/>
      <c r="PZA25" s="4"/>
      <c r="PZB25" s="4"/>
      <c r="PZC25" s="4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4"/>
      <c r="PZP25" s="4"/>
      <c r="PZQ25" s="4"/>
      <c r="PZR25" s="5"/>
      <c r="PZS25" s="4"/>
      <c r="PZT25" s="28"/>
      <c r="PZU25" s="28"/>
      <c r="PZV25" s="4"/>
      <c r="PZW25" s="4"/>
      <c r="PZX25" s="4"/>
      <c r="PZY25" s="4"/>
      <c r="PZZ25" s="4"/>
      <c r="QAA25" s="4"/>
      <c r="QAB25" s="4"/>
      <c r="QAC25" s="4"/>
      <c r="QAD25" s="4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4"/>
      <c r="QAQ25" s="4"/>
      <c r="QAR25" s="4"/>
      <c r="QAS25" s="5"/>
      <c r="QAT25" s="4"/>
      <c r="QAU25" s="28"/>
      <c r="QAV25" s="28"/>
      <c r="QAW25" s="4"/>
      <c r="QAX25" s="4"/>
      <c r="QAY25" s="4"/>
      <c r="QAZ25" s="4"/>
      <c r="QBA25" s="4"/>
      <c r="QBB25" s="4"/>
      <c r="QBC25" s="4"/>
      <c r="QBD25" s="4"/>
      <c r="QBE25" s="4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4"/>
      <c r="QBR25" s="4"/>
      <c r="QBS25" s="4"/>
      <c r="QBT25" s="5"/>
      <c r="QBU25" s="4"/>
      <c r="QBV25" s="28"/>
      <c r="QBW25" s="28"/>
      <c r="QBX25" s="4"/>
      <c r="QBY25" s="4"/>
      <c r="QBZ25" s="4"/>
      <c r="QCA25" s="4"/>
      <c r="QCB25" s="4"/>
      <c r="QCC25" s="4"/>
      <c r="QCD25" s="4"/>
      <c r="QCE25" s="4"/>
      <c r="QCF25" s="4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4"/>
      <c r="QCS25" s="4"/>
      <c r="QCT25" s="4"/>
      <c r="QCU25" s="5"/>
      <c r="QCV25" s="4"/>
      <c r="QCW25" s="28"/>
      <c r="QCX25" s="28"/>
      <c r="QCY25" s="4"/>
      <c r="QCZ25" s="4"/>
      <c r="QDA25" s="4"/>
      <c r="QDB25" s="4"/>
      <c r="QDC25" s="4"/>
      <c r="QDD25" s="4"/>
      <c r="QDE25" s="4"/>
      <c r="QDF25" s="4"/>
      <c r="QDG25" s="4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4"/>
      <c r="QDT25" s="4"/>
      <c r="QDU25" s="4"/>
      <c r="QDV25" s="5"/>
      <c r="QDW25" s="4"/>
      <c r="QDX25" s="28"/>
      <c r="QDY25" s="28"/>
      <c r="QDZ25" s="4"/>
      <c r="QEA25" s="4"/>
      <c r="QEB25" s="4"/>
      <c r="QEC25" s="4"/>
      <c r="QED25" s="4"/>
      <c r="QEE25" s="4"/>
      <c r="QEF25" s="4"/>
      <c r="QEG25" s="4"/>
      <c r="QEH25" s="4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4"/>
      <c r="QEU25" s="4"/>
      <c r="QEV25" s="4"/>
      <c r="QEW25" s="5"/>
      <c r="QEX25" s="4"/>
      <c r="QEY25" s="28"/>
      <c r="QEZ25" s="28"/>
      <c r="QFA25" s="4"/>
      <c r="QFB25" s="4"/>
      <c r="QFC25" s="4"/>
      <c r="QFD25" s="4"/>
      <c r="QFE25" s="4"/>
      <c r="QFF25" s="4"/>
      <c r="QFG25" s="4"/>
      <c r="QFH25" s="4"/>
      <c r="QFI25" s="4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4"/>
      <c r="QFV25" s="4"/>
      <c r="QFW25" s="4"/>
      <c r="QFX25" s="5"/>
      <c r="QFY25" s="4"/>
      <c r="QFZ25" s="28"/>
      <c r="QGA25" s="28"/>
      <c r="QGB25" s="4"/>
      <c r="QGC25" s="4"/>
      <c r="QGD25" s="4"/>
      <c r="QGE25" s="4"/>
      <c r="QGF25" s="4"/>
      <c r="QGG25" s="4"/>
      <c r="QGH25" s="4"/>
      <c r="QGI25" s="4"/>
      <c r="QGJ25" s="4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4"/>
      <c r="QGW25" s="4"/>
      <c r="QGX25" s="4"/>
      <c r="QGY25" s="5"/>
      <c r="QGZ25" s="4"/>
      <c r="QHA25" s="28"/>
      <c r="QHB25" s="28"/>
      <c r="QHC25" s="4"/>
      <c r="QHD25" s="4"/>
      <c r="QHE25" s="4"/>
      <c r="QHF25" s="4"/>
      <c r="QHG25" s="4"/>
      <c r="QHH25" s="4"/>
      <c r="QHI25" s="4"/>
      <c r="QHJ25" s="4"/>
      <c r="QHK25" s="4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4"/>
      <c r="QHX25" s="4"/>
      <c r="QHY25" s="4"/>
      <c r="QHZ25" s="5"/>
      <c r="QIA25" s="4"/>
      <c r="QIB25" s="28"/>
      <c r="QIC25" s="28"/>
      <c r="QID25" s="4"/>
      <c r="QIE25" s="4"/>
      <c r="QIF25" s="4"/>
      <c r="QIG25" s="4"/>
      <c r="QIH25" s="4"/>
      <c r="QII25" s="4"/>
      <c r="QIJ25" s="4"/>
      <c r="QIK25" s="4"/>
      <c r="QIL25" s="4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4"/>
      <c r="QIY25" s="4"/>
      <c r="QIZ25" s="4"/>
      <c r="QJA25" s="5"/>
      <c r="QJB25" s="4"/>
      <c r="QJC25" s="28"/>
      <c r="QJD25" s="28"/>
      <c r="QJE25" s="4"/>
      <c r="QJF25" s="4"/>
      <c r="QJG25" s="4"/>
      <c r="QJH25" s="4"/>
      <c r="QJI25" s="4"/>
      <c r="QJJ25" s="4"/>
      <c r="QJK25" s="4"/>
      <c r="QJL25" s="4"/>
      <c r="QJM25" s="4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4"/>
      <c r="QJZ25" s="4"/>
      <c r="QKA25" s="4"/>
      <c r="QKB25" s="5"/>
      <c r="QKC25" s="4"/>
      <c r="QKD25" s="28"/>
      <c r="QKE25" s="28"/>
      <c r="QKF25" s="4"/>
      <c r="QKG25" s="4"/>
      <c r="QKH25" s="4"/>
      <c r="QKI25" s="4"/>
      <c r="QKJ25" s="4"/>
      <c r="QKK25" s="4"/>
      <c r="QKL25" s="4"/>
      <c r="QKM25" s="4"/>
      <c r="QKN25" s="4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4"/>
      <c r="QLA25" s="4"/>
      <c r="QLB25" s="4"/>
      <c r="QLC25" s="5"/>
      <c r="QLD25" s="4"/>
      <c r="QLE25" s="28"/>
      <c r="QLF25" s="28"/>
      <c r="QLG25" s="4"/>
      <c r="QLH25" s="4"/>
      <c r="QLI25" s="4"/>
      <c r="QLJ25" s="4"/>
      <c r="QLK25" s="4"/>
      <c r="QLL25" s="4"/>
      <c r="QLM25" s="4"/>
      <c r="QLN25" s="4"/>
      <c r="QLO25" s="4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4"/>
      <c r="QMB25" s="4"/>
      <c r="QMC25" s="4"/>
      <c r="QMD25" s="5"/>
      <c r="QME25" s="4"/>
      <c r="QMF25" s="28"/>
      <c r="QMG25" s="28"/>
      <c r="QMH25" s="4"/>
      <c r="QMI25" s="4"/>
      <c r="QMJ25" s="4"/>
      <c r="QMK25" s="4"/>
      <c r="QML25" s="4"/>
      <c r="QMM25" s="4"/>
      <c r="QMN25" s="4"/>
      <c r="QMO25" s="4"/>
      <c r="QMP25" s="4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4"/>
      <c r="QNC25" s="4"/>
      <c r="QND25" s="4"/>
      <c r="QNE25" s="5"/>
      <c r="QNF25" s="4"/>
      <c r="QNG25" s="28"/>
      <c r="QNH25" s="28"/>
      <c r="QNI25" s="4"/>
      <c r="QNJ25" s="4"/>
      <c r="QNK25" s="4"/>
      <c r="QNL25" s="4"/>
      <c r="QNM25" s="4"/>
      <c r="QNN25" s="4"/>
      <c r="QNO25" s="4"/>
      <c r="QNP25" s="4"/>
      <c r="QNQ25" s="4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4"/>
      <c r="QOD25" s="4"/>
      <c r="QOE25" s="4"/>
      <c r="QOF25" s="5"/>
      <c r="QOG25" s="4"/>
      <c r="QOH25" s="28"/>
      <c r="QOI25" s="28"/>
      <c r="QOJ25" s="4"/>
      <c r="QOK25" s="4"/>
      <c r="QOL25" s="4"/>
      <c r="QOM25" s="4"/>
      <c r="QON25" s="4"/>
      <c r="QOO25" s="4"/>
      <c r="QOP25" s="4"/>
      <c r="QOQ25" s="4"/>
      <c r="QOR25" s="4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4"/>
      <c r="QPE25" s="4"/>
      <c r="QPF25" s="4"/>
      <c r="QPG25" s="5"/>
      <c r="QPH25" s="4"/>
      <c r="QPI25" s="28"/>
      <c r="QPJ25" s="28"/>
      <c r="QPK25" s="4"/>
      <c r="QPL25" s="4"/>
      <c r="QPM25" s="4"/>
      <c r="QPN25" s="4"/>
      <c r="QPO25" s="4"/>
      <c r="QPP25" s="4"/>
      <c r="QPQ25" s="4"/>
      <c r="QPR25" s="4"/>
      <c r="QPS25" s="4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4"/>
      <c r="QQF25" s="4"/>
      <c r="QQG25" s="4"/>
      <c r="QQH25" s="5"/>
      <c r="QQI25" s="4"/>
      <c r="QQJ25" s="28"/>
      <c r="QQK25" s="28"/>
      <c r="QQL25" s="4"/>
      <c r="QQM25" s="4"/>
      <c r="QQN25" s="4"/>
      <c r="QQO25" s="4"/>
      <c r="QQP25" s="4"/>
      <c r="QQQ25" s="4"/>
      <c r="QQR25" s="4"/>
      <c r="QQS25" s="4"/>
      <c r="QQT25" s="4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4"/>
      <c r="QRG25" s="4"/>
      <c r="QRH25" s="4"/>
      <c r="QRI25" s="5"/>
      <c r="QRJ25" s="4"/>
      <c r="QRK25" s="28"/>
      <c r="QRL25" s="28"/>
      <c r="QRM25" s="4"/>
      <c r="QRN25" s="4"/>
      <c r="QRO25" s="4"/>
      <c r="QRP25" s="4"/>
      <c r="QRQ25" s="4"/>
      <c r="QRR25" s="4"/>
      <c r="QRS25" s="4"/>
      <c r="QRT25" s="4"/>
      <c r="QRU25" s="4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4"/>
      <c r="QSH25" s="4"/>
      <c r="QSI25" s="4"/>
      <c r="QSJ25" s="5"/>
      <c r="QSK25" s="4"/>
      <c r="QSL25" s="28"/>
      <c r="QSM25" s="28"/>
      <c r="QSN25" s="4"/>
      <c r="QSO25" s="4"/>
      <c r="QSP25" s="4"/>
      <c r="QSQ25" s="4"/>
      <c r="QSR25" s="4"/>
      <c r="QSS25" s="4"/>
      <c r="QST25" s="4"/>
      <c r="QSU25" s="4"/>
      <c r="QSV25" s="4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4"/>
      <c r="QTI25" s="4"/>
      <c r="QTJ25" s="4"/>
      <c r="QTK25" s="5"/>
      <c r="QTL25" s="4"/>
      <c r="QTM25" s="28"/>
      <c r="QTN25" s="28"/>
      <c r="QTO25" s="4"/>
      <c r="QTP25" s="4"/>
      <c r="QTQ25" s="4"/>
      <c r="QTR25" s="4"/>
      <c r="QTS25" s="4"/>
      <c r="QTT25" s="4"/>
      <c r="QTU25" s="4"/>
      <c r="QTV25" s="4"/>
      <c r="QTW25" s="4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4"/>
      <c r="QUJ25" s="4"/>
      <c r="QUK25" s="4"/>
      <c r="QUL25" s="5"/>
      <c r="QUM25" s="4"/>
      <c r="QUN25" s="28"/>
      <c r="QUO25" s="28"/>
      <c r="QUP25" s="4"/>
      <c r="QUQ25" s="4"/>
      <c r="QUR25" s="4"/>
      <c r="QUS25" s="4"/>
      <c r="QUT25" s="4"/>
      <c r="QUU25" s="4"/>
      <c r="QUV25" s="4"/>
      <c r="QUW25" s="4"/>
      <c r="QUX25" s="4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4"/>
      <c r="QVK25" s="4"/>
      <c r="QVL25" s="4"/>
      <c r="QVM25" s="5"/>
      <c r="QVN25" s="4"/>
      <c r="QVO25" s="28"/>
      <c r="QVP25" s="28"/>
      <c r="QVQ25" s="4"/>
      <c r="QVR25" s="4"/>
      <c r="QVS25" s="4"/>
      <c r="QVT25" s="4"/>
      <c r="QVU25" s="4"/>
      <c r="QVV25" s="4"/>
      <c r="QVW25" s="4"/>
      <c r="QVX25" s="4"/>
      <c r="QVY25" s="4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4"/>
      <c r="QWL25" s="4"/>
      <c r="QWM25" s="4"/>
      <c r="QWN25" s="5"/>
      <c r="QWO25" s="4"/>
      <c r="QWP25" s="28"/>
      <c r="QWQ25" s="28"/>
      <c r="QWR25" s="4"/>
      <c r="QWS25" s="4"/>
      <c r="QWT25" s="4"/>
      <c r="QWU25" s="4"/>
      <c r="QWV25" s="4"/>
      <c r="QWW25" s="4"/>
      <c r="QWX25" s="4"/>
      <c r="QWY25" s="4"/>
      <c r="QWZ25" s="4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4"/>
      <c r="QXM25" s="4"/>
      <c r="QXN25" s="4"/>
      <c r="QXO25" s="5"/>
      <c r="QXP25" s="4"/>
      <c r="QXQ25" s="28"/>
      <c r="QXR25" s="28"/>
      <c r="QXS25" s="4"/>
      <c r="QXT25" s="4"/>
      <c r="QXU25" s="4"/>
      <c r="QXV25" s="4"/>
      <c r="QXW25" s="4"/>
      <c r="QXX25" s="4"/>
      <c r="QXY25" s="4"/>
      <c r="QXZ25" s="4"/>
      <c r="QYA25" s="4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4"/>
      <c r="QYN25" s="4"/>
      <c r="QYO25" s="4"/>
      <c r="QYP25" s="5"/>
      <c r="QYQ25" s="4"/>
      <c r="QYR25" s="28"/>
      <c r="QYS25" s="28"/>
      <c r="QYT25" s="4"/>
      <c r="QYU25" s="4"/>
      <c r="QYV25" s="4"/>
      <c r="QYW25" s="4"/>
      <c r="QYX25" s="4"/>
      <c r="QYY25" s="4"/>
      <c r="QYZ25" s="4"/>
      <c r="QZA25" s="4"/>
      <c r="QZB25" s="4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4"/>
      <c r="QZO25" s="4"/>
      <c r="QZP25" s="4"/>
      <c r="QZQ25" s="5"/>
      <c r="QZR25" s="4"/>
      <c r="QZS25" s="28"/>
      <c r="QZT25" s="28"/>
      <c r="QZU25" s="4"/>
      <c r="QZV25" s="4"/>
      <c r="QZW25" s="4"/>
      <c r="QZX25" s="4"/>
      <c r="QZY25" s="4"/>
      <c r="QZZ25" s="4"/>
      <c r="RAA25" s="4"/>
      <c r="RAB25" s="4"/>
      <c r="RAC25" s="4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4"/>
      <c r="RAP25" s="4"/>
      <c r="RAQ25" s="4"/>
      <c r="RAR25" s="5"/>
      <c r="RAS25" s="4"/>
      <c r="RAT25" s="28"/>
      <c r="RAU25" s="28"/>
      <c r="RAV25" s="4"/>
      <c r="RAW25" s="4"/>
      <c r="RAX25" s="4"/>
      <c r="RAY25" s="4"/>
      <c r="RAZ25" s="4"/>
      <c r="RBA25" s="4"/>
      <c r="RBB25" s="4"/>
      <c r="RBC25" s="4"/>
      <c r="RBD25" s="4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4"/>
      <c r="RBQ25" s="4"/>
      <c r="RBR25" s="4"/>
      <c r="RBS25" s="5"/>
      <c r="RBT25" s="4"/>
      <c r="RBU25" s="28"/>
      <c r="RBV25" s="28"/>
      <c r="RBW25" s="4"/>
      <c r="RBX25" s="4"/>
      <c r="RBY25" s="4"/>
      <c r="RBZ25" s="4"/>
      <c r="RCA25" s="4"/>
      <c r="RCB25" s="4"/>
      <c r="RCC25" s="4"/>
      <c r="RCD25" s="4"/>
      <c r="RCE25" s="4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4"/>
      <c r="RCR25" s="4"/>
      <c r="RCS25" s="4"/>
      <c r="RCT25" s="5"/>
      <c r="RCU25" s="4"/>
      <c r="RCV25" s="28"/>
      <c r="RCW25" s="28"/>
      <c r="RCX25" s="4"/>
      <c r="RCY25" s="4"/>
      <c r="RCZ25" s="4"/>
      <c r="RDA25" s="4"/>
      <c r="RDB25" s="4"/>
      <c r="RDC25" s="4"/>
      <c r="RDD25" s="4"/>
      <c r="RDE25" s="4"/>
      <c r="RDF25" s="4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4"/>
      <c r="RDS25" s="4"/>
      <c r="RDT25" s="4"/>
      <c r="RDU25" s="5"/>
      <c r="RDV25" s="4"/>
      <c r="RDW25" s="28"/>
      <c r="RDX25" s="28"/>
      <c r="RDY25" s="4"/>
      <c r="RDZ25" s="4"/>
      <c r="REA25" s="4"/>
      <c r="REB25" s="4"/>
      <c r="REC25" s="4"/>
      <c r="RED25" s="4"/>
      <c r="REE25" s="4"/>
      <c r="REF25" s="4"/>
      <c r="REG25" s="4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4"/>
      <c r="RET25" s="4"/>
      <c r="REU25" s="4"/>
      <c r="REV25" s="5"/>
      <c r="REW25" s="4"/>
      <c r="REX25" s="28"/>
      <c r="REY25" s="28"/>
      <c r="REZ25" s="4"/>
      <c r="RFA25" s="4"/>
      <c r="RFB25" s="4"/>
      <c r="RFC25" s="4"/>
      <c r="RFD25" s="4"/>
      <c r="RFE25" s="4"/>
      <c r="RFF25" s="4"/>
      <c r="RFG25" s="4"/>
      <c r="RFH25" s="4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4"/>
      <c r="RFU25" s="4"/>
      <c r="RFV25" s="4"/>
      <c r="RFW25" s="5"/>
      <c r="RFX25" s="4"/>
      <c r="RFY25" s="28"/>
      <c r="RFZ25" s="28"/>
      <c r="RGA25" s="4"/>
      <c r="RGB25" s="4"/>
      <c r="RGC25" s="4"/>
      <c r="RGD25" s="4"/>
      <c r="RGE25" s="4"/>
      <c r="RGF25" s="4"/>
      <c r="RGG25" s="4"/>
      <c r="RGH25" s="4"/>
      <c r="RGI25" s="4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4"/>
      <c r="RGV25" s="4"/>
      <c r="RGW25" s="4"/>
      <c r="RGX25" s="5"/>
      <c r="RGY25" s="4"/>
      <c r="RGZ25" s="28"/>
      <c r="RHA25" s="28"/>
      <c r="RHB25" s="4"/>
      <c r="RHC25" s="4"/>
      <c r="RHD25" s="4"/>
      <c r="RHE25" s="4"/>
      <c r="RHF25" s="4"/>
      <c r="RHG25" s="4"/>
      <c r="RHH25" s="4"/>
      <c r="RHI25" s="4"/>
      <c r="RHJ25" s="4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4"/>
      <c r="RHW25" s="4"/>
      <c r="RHX25" s="4"/>
      <c r="RHY25" s="5"/>
      <c r="RHZ25" s="4"/>
      <c r="RIA25" s="28"/>
      <c r="RIB25" s="28"/>
      <c r="RIC25" s="4"/>
      <c r="RID25" s="4"/>
      <c r="RIE25" s="4"/>
      <c r="RIF25" s="4"/>
      <c r="RIG25" s="4"/>
      <c r="RIH25" s="4"/>
      <c r="RII25" s="4"/>
      <c r="RIJ25" s="4"/>
      <c r="RIK25" s="4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4"/>
      <c r="RIX25" s="4"/>
      <c r="RIY25" s="4"/>
      <c r="RIZ25" s="5"/>
      <c r="RJA25" s="4"/>
      <c r="RJB25" s="28"/>
      <c r="RJC25" s="28"/>
      <c r="RJD25" s="4"/>
      <c r="RJE25" s="4"/>
      <c r="RJF25" s="4"/>
      <c r="RJG25" s="4"/>
      <c r="RJH25" s="4"/>
      <c r="RJI25" s="4"/>
      <c r="RJJ25" s="4"/>
      <c r="RJK25" s="4"/>
      <c r="RJL25" s="4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4"/>
      <c r="RJY25" s="4"/>
      <c r="RJZ25" s="4"/>
      <c r="RKA25" s="5"/>
      <c r="RKB25" s="4"/>
      <c r="RKC25" s="28"/>
      <c r="RKD25" s="28"/>
      <c r="RKE25" s="4"/>
      <c r="RKF25" s="4"/>
      <c r="RKG25" s="4"/>
      <c r="RKH25" s="4"/>
      <c r="RKI25" s="4"/>
      <c r="RKJ25" s="4"/>
      <c r="RKK25" s="4"/>
      <c r="RKL25" s="4"/>
      <c r="RKM25" s="4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4"/>
      <c r="RKZ25" s="4"/>
      <c r="RLA25" s="4"/>
      <c r="RLB25" s="5"/>
      <c r="RLC25" s="4"/>
      <c r="RLD25" s="28"/>
      <c r="RLE25" s="28"/>
      <c r="RLF25" s="4"/>
      <c r="RLG25" s="4"/>
      <c r="RLH25" s="4"/>
      <c r="RLI25" s="4"/>
      <c r="RLJ25" s="4"/>
      <c r="RLK25" s="4"/>
      <c r="RLL25" s="4"/>
      <c r="RLM25" s="4"/>
      <c r="RLN25" s="4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4"/>
      <c r="RMA25" s="4"/>
      <c r="RMB25" s="4"/>
      <c r="RMC25" s="5"/>
      <c r="RMD25" s="4"/>
      <c r="RME25" s="28"/>
      <c r="RMF25" s="28"/>
      <c r="RMG25" s="4"/>
      <c r="RMH25" s="4"/>
      <c r="RMI25" s="4"/>
      <c r="RMJ25" s="4"/>
      <c r="RMK25" s="4"/>
      <c r="RML25" s="4"/>
      <c r="RMM25" s="4"/>
      <c r="RMN25" s="4"/>
      <c r="RMO25" s="4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4"/>
      <c r="RNB25" s="4"/>
      <c r="RNC25" s="4"/>
      <c r="RND25" s="5"/>
      <c r="RNE25" s="4"/>
      <c r="RNF25" s="28"/>
      <c r="RNG25" s="28"/>
      <c r="RNH25" s="4"/>
      <c r="RNI25" s="4"/>
      <c r="RNJ25" s="4"/>
      <c r="RNK25" s="4"/>
      <c r="RNL25" s="4"/>
      <c r="RNM25" s="4"/>
      <c r="RNN25" s="4"/>
      <c r="RNO25" s="4"/>
      <c r="RNP25" s="4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4"/>
      <c r="ROC25" s="4"/>
      <c r="ROD25" s="4"/>
      <c r="ROE25" s="5"/>
      <c r="ROF25" s="4"/>
      <c r="ROG25" s="28"/>
      <c r="ROH25" s="28"/>
      <c r="ROI25" s="4"/>
      <c r="ROJ25" s="4"/>
      <c r="ROK25" s="4"/>
      <c r="ROL25" s="4"/>
      <c r="ROM25" s="4"/>
      <c r="RON25" s="4"/>
      <c r="ROO25" s="4"/>
      <c r="ROP25" s="4"/>
      <c r="ROQ25" s="4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4"/>
      <c r="RPD25" s="4"/>
      <c r="RPE25" s="4"/>
      <c r="RPF25" s="5"/>
      <c r="RPG25" s="4"/>
      <c r="RPH25" s="28"/>
      <c r="RPI25" s="28"/>
      <c r="RPJ25" s="4"/>
      <c r="RPK25" s="4"/>
      <c r="RPL25" s="4"/>
      <c r="RPM25" s="4"/>
      <c r="RPN25" s="4"/>
      <c r="RPO25" s="4"/>
      <c r="RPP25" s="4"/>
      <c r="RPQ25" s="4"/>
      <c r="RPR25" s="4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4"/>
      <c r="RQE25" s="4"/>
      <c r="RQF25" s="4"/>
      <c r="RQG25" s="5"/>
      <c r="RQH25" s="4"/>
      <c r="RQI25" s="28"/>
      <c r="RQJ25" s="28"/>
      <c r="RQK25" s="4"/>
      <c r="RQL25" s="4"/>
      <c r="RQM25" s="4"/>
      <c r="RQN25" s="4"/>
      <c r="RQO25" s="4"/>
      <c r="RQP25" s="4"/>
      <c r="RQQ25" s="4"/>
      <c r="RQR25" s="4"/>
      <c r="RQS25" s="4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4"/>
      <c r="RRF25" s="4"/>
      <c r="RRG25" s="4"/>
      <c r="RRH25" s="5"/>
      <c r="RRI25" s="4"/>
      <c r="RRJ25" s="28"/>
      <c r="RRK25" s="28"/>
      <c r="RRL25" s="4"/>
      <c r="RRM25" s="4"/>
      <c r="RRN25" s="4"/>
      <c r="RRO25" s="4"/>
      <c r="RRP25" s="4"/>
      <c r="RRQ25" s="4"/>
      <c r="RRR25" s="4"/>
      <c r="RRS25" s="4"/>
      <c r="RRT25" s="4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4"/>
      <c r="RSG25" s="4"/>
      <c r="RSH25" s="4"/>
      <c r="RSI25" s="5"/>
      <c r="RSJ25" s="4"/>
      <c r="RSK25" s="28"/>
      <c r="RSL25" s="28"/>
      <c r="RSM25" s="4"/>
      <c r="RSN25" s="4"/>
      <c r="RSO25" s="4"/>
      <c r="RSP25" s="4"/>
      <c r="RSQ25" s="4"/>
      <c r="RSR25" s="4"/>
      <c r="RSS25" s="4"/>
      <c r="RST25" s="4"/>
      <c r="RSU25" s="4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4"/>
      <c r="RTH25" s="4"/>
      <c r="RTI25" s="4"/>
      <c r="RTJ25" s="5"/>
      <c r="RTK25" s="4"/>
      <c r="RTL25" s="28"/>
      <c r="RTM25" s="28"/>
      <c r="RTN25" s="4"/>
      <c r="RTO25" s="4"/>
      <c r="RTP25" s="4"/>
      <c r="RTQ25" s="4"/>
      <c r="RTR25" s="4"/>
      <c r="RTS25" s="4"/>
      <c r="RTT25" s="4"/>
      <c r="RTU25" s="4"/>
      <c r="RTV25" s="4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4"/>
      <c r="RUI25" s="4"/>
      <c r="RUJ25" s="4"/>
      <c r="RUK25" s="5"/>
      <c r="RUL25" s="4"/>
      <c r="RUM25" s="28"/>
      <c r="RUN25" s="28"/>
      <c r="RUO25" s="4"/>
      <c r="RUP25" s="4"/>
      <c r="RUQ25" s="4"/>
      <c r="RUR25" s="4"/>
      <c r="RUS25" s="4"/>
      <c r="RUT25" s="4"/>
      <c r="RUU25" s="4"/>
      <c r="RUV25" s="4"/>
      <c r="RUW25" s="4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4"/>
      <c r="RVJ25" s="4"/>
      <c r="RVK25" s="4"/>
      <c r="RVL25" s="5"/>
      <c r="RVM25" s="4"/>
      <c r="RVN25" s="28"/>
      <c r="RVO25" s="28"/>
      <c r="RVP25" s="4"/>
      <c r="RVQ25" s="4"/>
      <c r="RVR25" s="4"/>
      <c r="RVS25" s="4"/>
      <c r="RVT25" s="4"/>
      <c r="RVU25" s="4"/>
      <c r="RVV25" s="4"/>
      <c r="RVW25" s="4"/>
      <c r="RVX25" s="4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4"/>
      <c r="RWK25" s="4"/>
      <c r="RWL25" s="4"/>
      <c r="RWM25" s="5"/>
      <c r="RWN25" s="4"/>
      <c r="RWO25" s="28"/>
      <c r="RWP25" s="28"/>
      <c r="RWQ25" s="4"/>
      <c r="RWR25" s="4"/>
      <c r="RWS25" s="4"/>
      <c r="RWT25" s="4"/>
      <c r="RWU25" s="4"/>
      <c r="RWV25" s="4"/>
      <c r="RWW25" s="4"/>
      <c r="RWX25" s="4"/>
      <c r="RWY25" s="4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4"/>
      <c r="RXL25" s="4"/>
      <c r="RXM25" s="4"/>
      <c r="RXN25" s="5"/>
      <c r="RXO25" s="4"/>
      <c r="RXP25" s="28"/>
      <c r="RXQ25" s="28"/>
      <c r="RXR25" s="4"/>
      <c r="RXS25" s="4"/>
      <c r="RXT25" s="4"/>
      <c r="RXU25" s="4"/>
      <c r="RXV25" s="4"/>
      <c r="RXW25" s="4"/>
      <c r="RXX25" s="4"/>
      <c r="RXY25" s="4"/>
      <c r="RXZ25" s="4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4"/>
      <c r="RYM25" s="4"/>
      <c r="RYN25" s="4"/>
      <c r="RYO25" s="5"/>
      <c r="RYP25" s="4"/>
      <c r="RYQ25" s="28"/>
      <c r="RYR25" s="28"/>
      <c r="RYS25" s="4"/>
      <c r="RYT25" s="4"/>
      <c r="RYU25" s="4"/>
      <c r="RYV25" s="4"/>
      <c r="RYW25" s="4"/>
      <c r="RYX25" s="4"/>
      <c r="RYY25" s="4"/>
      <c r="RYZ25" s="4"/>
      <c r="RZA25" s="4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4"/>
      <c r="RZN25" s="4"/>
      <c r="RZO25" s="4"/>
      <c r="RZP25" s="5"/>
      <c r="RZQ25" s="4"/>
      <c r="RZR25" s="28"/>
      <c r="RZS25" s="28"/>
      <c r="RZT25" s="4"/>
      <c r="RZU25" s="4"/>
      <c r="RZV25" s="4"/>
      <c r="RZW25" s="4"/>
      <c r="RZX25" s="4"/>
      <c r="RZY25" s="4"/>
      <c r="RZZ25" s="4"/>
      <c r="SAA25" s="4"/>
      <c r="SAB25" s="4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4"/>
      <c r="SAO25" s="4"/>
      <c r="SAP25" s="4"/>
      <c r="SAQ25" s="5"/>
      <c r="SAR25" s="4"/>
      <c r="SAS25" s="28"/>
      <c r="SAT25" s="28"/>
      <c r="SAU25" s="4"/>
      <c r="SAV25" s="4"/>
      <c r="SAW25" s="4"/>
      <c r="SAX25" s="4"/>
      <c r="SAY25" s="4"/>
      <c r="SAZ25" s="4"/>
      <c r="SBA25" s="4"/>
      <c r="SBB25" s="4"/>
      <c r="SBC25" s="4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4"/>
      <c r="SBP25" s="4"/>
      <c r="SBQ25" s="4"/>
      <c r="SBR25" s="5"/>
      <c r="SBS25" s="4"/>
      <c r="SBT25" s="28"/>
      <c r="SBU25" s="28"/>
      <c r="SBV25" s="4"/>
      <c r="SBW25" s="4"/>
      <c r="SBX25" s="4"/>
      <c r="SBY25" s="4"/>
      <c r="SBZ25" s="4"/>
      <c r="SCA25" s="4"/>
      <c r="SCB25" s="4"/>
      <c r="SCC25" s="4"/>
      <c r="SCD25" s="4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4"/>
      <c r="SCQ25" s="4"/>
      <c r="SCR25" s="4"/>
      <c r="SCS25" s="5"/>
      <c r="SCT25" s="4"/>
      <c r="SCU25" s="28"/>
      <c r="SCV25" s="28"/>
      <c r="SCW25" s="4"/>
      <c r="SCX25" s="4"/>
      <c r="SCY25" s="4"/>
      <c r="SCZ25" s="4"/>
      <c r="SDA25" s="4"/>
      <c r="SDB25" s="4"/>
      <c r="SDC25" s="4"/>
      <c r="SDD25" s="4"/>
      <c r="SDE25" s="4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4"/>
      <c r="SDR25" s="4"/>
      <c r="SDS25" s="4"/>
      <c r="SDT25" s="5"/>
      <c r="SDU25" s="4"/>
      <c r="SDV25" s="28"/>
      <c r="SDW25" s="28"/>
      <c r="SDX25" s="4"/>
      <c r="SDY25" s="4"/>
      <c r="SDZ25" s="4"/>
      <c r="SEA25" s="4"/>
      <c r="SEB25" s="4"/>
      <c r="SEC25" s="4"/>
      <c r="SED25" s="4"/>
      <c r="SEE25" s="4"/>
      <c r="SEF25" s="4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4"/>
      <c r="SES25" s="4"/>
      <c r="SET25" s="4"/>
      <c r="SEU25" s="5"/>
      <c r="SEV25" s="4"/>
      <c r="SEW25" s="28"/>
      <c r="SEX25" s="28"/>
      <c r="SEY25" s="4"/>
      <c r="SEZ25" s="4"/>
      <c r="SFA25" s="4"/>
      <c r="SFB25" s="4"/>
      <c r="SFC25" s="4"/>
      <c r="SFD25" s="4"/>
      <c r="SFE25" s="4"/>
      <c r="SFF25" s="4"/>
      <c r="SFG25" s="4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4"/>
      <c r="SFT25" s="4"/>
      <c r="SFU25" s="4"/>
      <c r="SFV25" s="5"/>
      <c r="SFW25" s="4"/>
      <c r="SFX25" s="28"/>
      <c r="SFY25" s="28"/>
      <c r="SFZ25" s="4"/>
      <c r="SGA25" s="4"/>
      <c r="SGB25" s="4"/>
      <c r="SGC25" s="4"/>
      <c r="SGD25" s="4"/>
      <c r="SGE25" s="4"/>
      <c r="SGF25" s="4"/>
      <c r="SGG25" s="4"/>
      <c r="SGH25" s="4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4"/>
      <c r="SGU25" s="4"/>
      <c r="SGV25" s="4"/>
      <c r="SGW25" s="5"/>
      <c r="SGX25" s="4"/>
      <c r="SGY25" s="28"/>
      <c r="SGZ25" s="28"/>
      <c r="SHA25" s="4"/>
      <c r="SHB25" s="4"/>
      <c r="SHC25" s="4"/>
      <c r="SHD25" s="4"/>
      <c r="SHE25" s="4"/>
      <c r="SHF25" s="4"/>
      <c r="SHG25" s="4"/>
      <c r="SHH25" s="4"/>
      <c r="SHI25" s="4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4"/>
      <c r="SHV25" s="4"/>
      <c r="SHW25" s="4"/>
      <c r="SHX25" s="5"/>
      <c r="SHY25" s="4"/>
      <c r="SHZ25" s="28"/>
      <c r="SIA25" s="28"/>
      <c r="SIB25" s="4"/>
      <c r="SIC25" s="4"/>
      <c r="SID25" s="4"/>
      <c r="SIE25" s="4"/>
      <c r="SIF25" s="4"/>
      <c r="SIG25" s="4"/>
      <c r="SIH25" s="4"/>
      <c r="SII25" s="4"/>
      <c r="SIJ25" s="4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4"/>
      <c r="SIW25" s="4"/>
      <c r="SIX25" s="4"/>
      <c r="SIY25" s="5"/>
      <c r="SIZ25" s="4"/>
      <c r="SJA25" s="28"/>
      <c r="SJB25" s="28"/>
      <c r="SJC25" s="4"/>
      <c r="SJD25" s="4"/>
      <c r="SJE25" s="4"/>
      <c r="SJF25" s="4"/>
      <c r="SJG25" s="4"/>
      <c r="SJH25" s="4"/>
      <c r="SJI25" s="4"/>
      <c r="SJJ25" s="4"/>
      <c r="SJK25" s="4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4"/>
      <c r="SJX25" s="4"/>
      <c r="SJY25" s="4"/>
      <c r="SJZ25" s="5"/>
      <c r="SKA25" s="4"/>
      <c r="SKB25" s="28"/>
      <c r="SKC25" s="28"/>
      <c r="SKD25" s="4"/>
      <c r="SKE25" s="4"/>
      <c r="SKF25" s="4"/>
      <c r="SKG25" s="4"/>
      <c r="SKH25" s="4"/>
      <c r="SKI25" s="4"/>
      <c r="SKJ25" s="4"/>
      <c r="SKK25" s="4"/>
      <c r="SKL25" s="4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4"/>
      <c r="SKY25" s="4"/>
      <c r="SKZ25" s="4"/>
      <c r="SLA25" s="5"/>
      <c r="SLB25" s="4"/>
      <c r="SLC25" s="28"/>
      <c r="SLD25" s="28"/>
      <c r="SLE25" s="4"/>
      <c r="SLF25" s="4"/>
      <c r="SLG25" s="4"/>
      <c r="SLH25" s="4"/>
      <c r="SLI25" s="4"/>
      <c r="SLJ25" s="4"/>
      <c r="SLK25" s="4"/>
      <c r="SLL25" s="4"/>
      <c r="SLM25" s="4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4"/>
      <c r="SLZ25" s="4"/>
      <c r="SMA25" s="4"/>
      <c r="SMB25" s="5"/>
      <c r="SMC25" s="4"/>
      <c r="SMD25" s="28"/>
      <c r="SME25" s="28"/>
      <c r="SMF25" s="4"/>
      <c r="SMG25" s="4"/>
      <c r="SMH25" s="4"/>
      <c r="SMI25" s="4"/>
      <c r="SMJ25" s="4"/>
      <c r="SMK25" s="4"/>
      <c r="SML25" s="4"/>
      <c r="SMM25" s="4"/>
      <c r="SMN25" s="4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4"/>
      <c r="SNA25" s="4"/>
      <c r="SNB25" s="4"/>
      <c r="SNC25" s="5"/>
      <c r="SND25" s="4"/>
      <c r="SNE25" s="28"/>
      <c r="SNF25" s="28"/>
      <c r="SNG25" s="4"/>
      <c r="SNH25" s="4"/>
      <c r="SNI25" s="4"/>
      <c r="SNJ25" s="4"/>
      <c r="SNK25" s="4"/>
      <c r="SNL25" s="4"/>
      <c r="SNM25" s="4"/>
      <c r="SNN25" s="4"/>
      <c r="SNO25" s="4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4"/>
      <c r="SOB25" s="4"/>
      <c r="SOC25" s="4"/>
      <c r="SOD25" s="5"/>
      <c r="SOE25" s="4"/>
      <c r="SOF25" s="28"/>
      <c r="SOG25" s="28"/>
      <c r="SOH25" s="4"/>
      <c r="SOI25" s="4"/>
      <c r="SOJ25" s="4"/>
      <c r="SOK25" s="4"/>
      <c r="SOL25" s="4"/>
      <c r="SOM25" s="4"/>
      <c r="SON25" s="4"/>
      <c r="SOO25" s="4"/>
      <c r="SOP25" s="4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4"/>
      <c r="SPC25" s="4"/>
      <c r="SPD25" s="4"/>
      <c r="SPE25" s="5"/>
      <c r="SPF25" s="4"/>
      <c r="SPG25" s="28"/>
      <c r="SPH25" s="28"/>
      <c r="SPI25" s="4"/>
      <c r="SPJ25" s="4"/>
      <c r="SPK25" s="4"/>
      <c r="SPL25" s="4"/>
      <c r="SPM25" s="4"/>
      <c r="SPN25" s="4"/>
      <c r="SPO25" s="4"/>
      <c r="SPP25" s="4"/>
      <c r="SPQ25" s="4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4"/>
      <c r="SQD25" s="4"/>
      <c r="SQE25" s="4"/>
      <c r="SQF25" s="5"/>
      <c r="SQG25" s="4"/>
      <c r="SQH25" s="28"/>
      <c r="SQI25" s="28"/>
      <c r="SQJ25" s="4"/>
      <c r="SQK25" s="4"/>
      <c r="SQL25" s="4"/>
      <c r="SQM25" s="4"/>
      <c r="SQN25" s="4"/>
      <c r="SQO25" s="4"/>
      <c r="SQP25" s="4"/>
      <c r="SQQ25" s="4"/>
      <c r="SQR25" s="4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4"/>
      <c r="SRE25" s="4"/>
      <c r="SRF25" s="4"/>
      <c r="SRG25" s="5"/>
      <c r="SRH25" s="4"/>
      <c r="SRI25" s="28"/>
      <c r="SRJ25" s="28"/>
      <c r="SRK25" s="4"/>
      <c r="SRL25" s="4"/>
      <c r="SRM25" s="4"/>
      <c r="SRN25" s="4"/>
      <c r="SRO25" s="4"/>
      <c r="SRP25" s="4"/>
      <c r="SRQ25" s="4"/>
      <c r="SRR25" s="4"/>
      <c r="SRS25" s="4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4"/>
      <c r="SSF25" s="4"/>
      <c r="SSG25" s="4"/>
      <c r="SSH25" s="5"/>
      <c r="SSI25" s="4"/>
      <c r="SSJ25" s="28"/>
      <c r="SSK25" s="28"/>
      <c r="SSL25" s="4"/>
      <c r="SSM25" s="4"/>
      <c r="SSN25" s="4"/>
      <c r="SSO25" s="4"/>
      <c r="SSP25" s="4"/>
      <c r="SSQ25" s="4"/>
      <c r="SSR25" s="4"/>
      <c r="SSS25" s="4"/>
      <c r="SST25" s="4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4"/>
      <c r="STG25" s="4"/>
      <c r="STH25" s="4"/>
      <c r="STI25" s="5"/>
      <c r="STJ25" s="4"/>
      <c r="STK25" s="28"/>
      <c r="STL25" s="28"/>
      <c r="STM25" s="4"/>
      <c r="STN25" s="4"/>
      <c r="STO25" s="4"/>
      <c r="STP25" s="4"/>
      <c r="STQ25" s="4"/>
      <c r="STR25" s="4"/>
      <c r="STS25" s="4"/>
      <c r="STT25" s="4"/>
      <c r="STU25" s="4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4"/>
      <c r="SUH25" s="4"/>
      <c r="SUI25" s="4"/>
      <c r="SUJ25" s="5"/>
      <c r="SUK25" s="4"/>
      <c r="SUL25" s="28"/>
      <c r="SUM25" s="28"/>
      <c r="SUN25" s="4"/>
      <c r="SUO25" s="4"/>
      <c r="SUP25" s="4"/>
      <c r="SUQ25" s="4"/>
      <c r="SUR25" s="4"/>
      <c r="SUS25" s="4"/>
      <c r="SUT25" s="4"/>
      <c r="SUU25" s="4"/>
      <c r="SUV25" s="4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4"/>
      <c r="SVI25" s="4"/>
      <c r="SVJ25" s="4"/>
      <c r="SVK25" s="5"/>
      <c r="SVL25" s="4"/>
      <c r="SVM25" s="28"/>
      <c r="SVN25" s="28"/>
      <c r="SVO25" s="4"/>
      <c r="SVP25" s="4"/>
      <c r="SVQ25" s="4"/>
      <c r="SVR25" s="4"/>
      <c r="SVS25" s="4"/>
      <c r="SVT25" s="4"/>
      <c r="SVU25" s="4"/>
      <c r="SVV25" s="4"/>
      <c r="SVW25" s="4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4"/>
      <c r="SWJ25" s="4"/>
      <c r="SWK25" s="4"/>
      <c r="SWL25" s="5"/>
      <c r="SWM25" s="4"/>
      <c r="SWN25" s="28"/>
      <c r="SWO25" s="28"/>
      <c r="SWP25" s="4"/>
      <c r="SWQ25" s="4"/>
      <c r="SWR25" s="4"/>
      <c r="SWS25" s="4"/>
      <c r="SWT25" s="4"/>
      <c r="SWU25" s="4"/>
      <c r="SWV25" s="4"/>
      <c r="SWW25" s="4"/>
      <c r="SWX25" s="4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4"/>
      <c r="SXK25" s="4"/>
      <c r="SXL25" s="4"/>
      <c r="SXM25" s="5"/>
      <c r="SXN25" s="4"/>
      <c r="SXO25" s="28"/>
      <c r="SXP25" s="28"/>
      <c r="SXQ25" s="4"/>
      <c r="SXR25" s="4"/>
      <c r="SXS25" s="4"/>
      <c r="SXT25" s="4"/>
      <c r="SXU25" s="4"/>
      <c r="SXV25" s="4"/>
      <c r="SXW25" s="4"/>
      <c r="SXX25" s="4"/>
      <c r="SXY25" s="4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4"/>
      <c r="SYL25" s="4"/>
      <c r="SYM25" s="4"/>
      <c r="SYN25" s="5"/>
      <c r="SYO25" s="4"/>
      <c r="SYP25" s="28"/>
      <c r="SYQ25" s="28"/>
      <c r="SYR25" s="4"/>
      <c r="SYS25" s="4"/>
      <c r="SYT25" s="4"/>
      <c r="SYU25" s="4"/>
      <c r="SYV25" s="4"/>
      <c r="SYW25" s="4"/>
      <c r="SYX25" s="4"/>
      <c r="SYY25" s="4"/>
      <c r="SYZ25" s="4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4"/>
      <c r="SZM25" s="4"/>
      <c r="SZN25" s="4"/>
      <c r="SZO25" s="5"/>
      <c r="SZP25" s="4"/>
      <c r="SZQ25" s="28"/>
      <c r="SZR25" s="28"/>
      <c r="SZS25" s="4"/>
      <c r="SZT25" s="4"/>
      <c r="SZU25" s="4"/>
      <c r="SZV25" s="4"/>
      <c r="SZW25" s="4"/>
      <c r="SZX25" s="4"/>
      <c r="SZY25" s="4"/>
      <c r="SZZ25" s="4"/>
      <c r="TAA25" s="4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4"/>
      <c r="TAN25" s="4"/>
      <c r="TAO25" s="4"/>
      <c r="TAP25" s="5"/>
      <c r="TAQ25" s="4"/>
      <c r="TAR25" s="28"/>
      <c r="TAS25" s="28"/>
      <c r="TAT25" s="4"/>
      <c r="TAU25" s="4"/>
      <c r="TAV25" s="4"/>
      <c r="TAW25" s="4"/>
      <c r="TAX25" s="4"/>
      <c r="TAY25" s="4"/>
      <c r="TAZ25" s="4"/>
      <c r="TBA25" s="4"/>
      <c r="TBB25" s="4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4"/>
      <c r="TBO25" s="4"/>
      <c r="TBP25" s="4"/>
      <c r="TBQ25" s="5"/>
      <c r="TBR25" s="4"/>
      <c r="TBS25" s="28"/>
      <c r="TBT25" s="28"/>
      <c r="TBU25" s="4"/>
      <c r="TBV25" s="4"/>
      <c r="TBW25" s="4"/>
      <c r="TBX25" s="4"/>
      <c r="TBY25" s="4"/>
      <c r="TBZ25" s="4"/>
      <c r="TCA25" s="4"/>
      <c r="TCB25" s="4"/>
      <c r="TCC25" s="4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4"/>
      <c r="TCP25" s="4"/>
      <c r="TCQ25" s="4"/>
      <c r="TCR25" s="5"/>
      <c r="TCS25" s="4"/>
      <c r="TCT25" s="28"/>
      <c r="TCU25" s="28"/>
      <c r="TCV25" s="4"/>
      <c r="TCW25" s="4"/>
      <c r="TCX25" s="4"/>
      <c r="TCY25" s="4"/>
      <c r="TCZ25" s="4"/>
      <c r="TDA25" s="4"/>
      <c r="TDB25" s="4"/>
      <c r="TDC25" s="4"/>
      <c r="TDD25" s="4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4"/>
      <c r="TDQ25" s="4"/>
      <c r="TDR25" s="4"/>
      <c r="TDS25" s="5"/>
      <c r="TDT25" s="4"/>
      <c r="TDU25" s="28"/>
      <c r="TDV25" s="28"/>
      <c r="TDW25" s="4"/>
      <c r="TDX25" s="4"/>
      <c r="TDY25" s="4"/>
      <c r="TDZ25" s="4"/>
      <c r="TEA25" s="4"/>
      <c r="TEB25" s="4"/>
      <c r="TEC25" s="4"/>
      <c r="TED25" s="4"/>
      <c r="TEE25" s="4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4"/>
      <c r="TER25" s="4"/>
      <c r="TES25" s="4"/>
      <c r="TET25" s="5"/>
      <c r="TEU25" s="4"/>
      <c r="TEV25" s="28"/>
      <c r="TEW25" s="28"/>
      <c r="TEX25" s="4"/>
      <c r="TEY25" s="4"/>
      <c r="TEZ25" s="4"/>
      <c r="TFA25" s="4"/>
      <c r="TFB25" s="4"/>
      <c r="TFC25" s="4"/>
      <c r="TFD25" s="4"/>
      <c r="TFE25" s="4"/>
      <c r="TFF25" s="4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4"/>
      <c r="TFS25" s="4"/>
      <c r="TFT25" s="4"/>
      <c r="TFU25" s="5"/>
      <c r="TFV25" s="4"/>
      <c r="TFW25" s="28"/>
      <c r="TFX25" s="28"/>
      <c r="TFY25" s="4"/>
      <c r="TFZ25" s="4"/>
      <c r="TGA25" s="4"/>
      <c r="TGB25" s="4"/>
      <c r="TGC25" s="4"/>
      <c r="TGD25" s="4"/>
      <c r="TGE25" s="4"/>
      <c r="TGF25" s="4"/>
      <c r="TGG25" s="4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4"/>
      <c r="TGT25" s="4"/>
      <c r="TGU25" s="4"/>
      <c r="TGV25" s="5"/>
      <c r="TGW25" s="4"/>
      <c r="TGX25" s="28"/>
      <c r="TGY25" s="28"/>
      <c r="TGZ25" s="4"/>
      <c r="THA25" s="4"/>
      <c r="THB25" s="4"/>
      <c r="THC25" s="4"/>
      <c r="THD25" s="4"/>
      <c r="THE25" s="4"/>
      <c r="THF25" s="4"/>
      <c r="THG25" s="4"/>
      <c r="THH25" s="4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4"/>
      <c r="THU25" s="4"/>
      <c r="THV25" s="4"/>
      <c r="THW25" s="5"/>
      <c r="THX25" s="4"/>
      <c r="THY25" s="28"/>
      <c r="THZ25" s="28"/>
      <c r="TIA25" s="4"/>
      <c r="TIB25" s="4"/>
      <c r="TIC25" s="4"/>
      <c r="TID25" s="4"/>
      <c r="TIE25" s="4"/>
      <c r="TIF25" s="4"/>
      <c r="TIG25" s="4"/>
      <c r="TIH25" s="4"/>
      <c r="TII25" s="4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4"/>
      <c r="TIV25" s="4"/>
      <c r="TIW25" s="4"/>
      <c r="TIX25" s="5"/>
      <c r="TIY25" s="4"/>
      <c r="TIZ25" s="28"/>
      <c r="TJA25" s="28"/>
      <c r="TJB25" s="4"/>
      <c r="TJC25" s="4"/>
      <c r="TJD25" s="4"/>
      <c r="TJE25" s="4"/>
      <c r="TJF25" s="4"/>
      <c r="TJG25" s="4"/>
      <c r="TJH25" s="4"/>
      <c r="TJI25" s="4"/>
      <c r="TJJ25" s="4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4"/>
      <c r="TJW25" s="4"/>
      <c r="TJX25" s="4"/>
      <c r="TJY25" s="5"/>
      <c r="TJZ25" s="4"/>
      <c r="TKA25" s="28"/>
      <c r="TKB25" s="28"/>
      <c r="TKC25" s="4"/>
      <c r="TKD25" s="4"/>
      <c r="TKE25" s="4"/>
      <c r="TKF25" s="4"/>
      <c r="TKG25" s="4"/>
      <c r="TKH25" s="4"/>
      <c r="TKI25" s="4"/>
      <c r="TKJ25" s="4"/>
      <c r="TKK25" s="4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4"/>
      <c r="TKX25" s="4"/>
      <c r="TKY25" s="4"/>
      <c r="TKZ25" s="5"/>
      <c r="TLA25" s="4"/>
      <c r="TLB25" s="28"/>
      <c r="TLC25" s="28"/>
      <c r="TLD25" s="4"/>
      <c r="TLE25" s="4"/>
      <c r="TLF25" s="4"/>
      <c r="TLG25" s="4"/>
      <c r="TLH25" s="4"/>
      <c r="TLI25" s="4"/>
      <c r="TLJ25" s="4"/>
      <c r="TLK25" s="4"/>
      <c r="TLL25" s="4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4"/>
      <c r="TLY25" s="4"/>
      <c r="TLZ25" s="4"/>
      <c r="TMA25" s="5"/>
      <c r="TMB25" s="4"/>
      <c r="TMC25" s="28"/>
      <c r="TMD25" s="28"/>
      <c r="TME25" s="4"/>
      <c r="TMF25" s="4"/>
      <c r="TMG25" s="4"/>
      <c r="TMH25" s="4"/>
      <c r="TMI25" s="4"/>
      <c r="TMJ25" s="4"/>
      <c r="TMK25" s="4"/>
      <c r="TML25" s="4"/>
      <c r="TMM25" s="4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4"/>
      <c r="TMZ25" s="4"/>
      <c r="TNA25" s="4"/>
      <c r="TNB25" s="5"/>
      <c r="TNC25" s="4"/>
      <c r="TND25" s="28"/>
      <c r="TNE25" s="28"/>
      <c r="TNF25" s="4"/>
      <c r="TNG25" s="4"/>
      <c r="TNH25" s="4"/>
      <c r="TNI25" s="4"/>
      <c r="TNJ25" s="4"/>
      <c r="TNK25" s="4"/>
      <c r="TNL25" s="4"/>
      <c r="TNM25" s="4"/>
      <c r="TNN25" s="4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4"/>
      <c r="TOA25" s="4"/>
      <c r="TOB25" s="4"/>
      <c r="TOC25" s="5"/>
      <c r="TOD25" s="4"/>
      <c r="TOE25" s="28"/>
      <c r="TOF25" s="28"/>
      <c r="TOG25" s="4"/>
      <c r="TOH25" s="4"/>
      <c r="TOI25" s="4"/>
      <c r="TOJ25" s="4"/>
      <c r="TOK25" s="4"/>
      <c r="TOL25" s="4"/>
      <c r="TOM25" s="4"/>
      <c r="TON25" s="4"/>
      <c r="TOO25" s="4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4"/>
      <c r="TPB25" s="4"/>
      <c r="TPC25" s="4"/>
      <c r="TPD25" s="5"/>
      <c r="TPE25" s="4"/>
      <c r="TPF25" s="28"/>
      <c r="TPG25" s="28"/>
      <c r="TPH25" s="4"/>
      <c r="TPI25" s="4"/>
      <c r="TPJ25" s="4"/>
      <c r="TPK25" s="4"/>
      <c r="TPL25" s="4"/>
      <c r="TPM25" s="4"/>
      <c r="TPN25" s="4"/>
      <c r="TPO25" s="4"/>
      <c r="TPP25" s="4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4"/>
      <c r="TQC25" s="4"/>
      <c r="TQD25" s="4"/>
      <c r="TQE25" s="5"/>
      <c r="TQF25" s="4"/>
      <c r="TQG25" s="28"/>
      <c r="TQH25" s="28"/>
      <c r="TQI25" s="4"/>
      <c r="TQJ25" s="4"/>
      <c r="TQK25" s="4"/>
      <c r="TQL25" s="4"/>
      <c r="TQM25" s="4"/>
      <c r="TQN25" s="4"/>
      <c r="TQO25" s="4"/>
      <c r="TQP25" s="4"/>
      <c r="TQQ25" s="4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4"/>
      <c r="TRD25" s="4"/>
      <c r="TRE25" s="4"/>
      <c r="TRF25" s="5"/>
      <c r="TRG25" s="4"/>
      <c r="TRH25" s="28"/>
      <c r="TRI25" s="28"/>
      <c r="TRJ25" s="4"/>
      <c r="TRK25" s="4"/>
      <c r="TRL25" s="4"/>
      <c r="TRM25" s="4"/>
      <c r="TRN25" s="4"/>
      <c r="TRO25" s="4"/>
      <c r="TRP25" s="4"/>
      <c r="TRQ25" s="4"/>
      <c r="TRR25" s="4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4"/>
      <c r="TSE25" s="4"/>
      <c r="TSF25" s="4"/>
      <c r="TSG25" s="5"/>
      <c r="TSH25" s="4"/>
      <c r="TSI25" s="28"/>
      <c r="TSJ25" s="28"/>
      <c r="TSK25" s="4"/>
      <c r="TSL25" s="4"/>
      <c r="TSM25" s="4"/>
      <c r="TSN25" s="4"/>
      <c r="TSO25" s="4"/>
      <c r="TSP25" s="4"/>
      <c r="TSQ25" s="4"/>
      <c r="TSR25" s="4"/>
      <c r="TSS25" s="4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4"/>
      <c r="TTF25" s="4"/>
      <c r="TTG25" s="4"/>
      <c r="TTH25" s="5"/>
      <c r="TTI25" s="4"/>
      <c r="TTJ25" s="28"/>
      <c r="TTK25" s="28"/>
      <c r="TTL25" s="4"/>
      <c r="TTM25" s="4"/>
      <c r="TTN25" s="4"/>
      <c r="TTO25" s="4"/>
      <c r="TTP25" s="4"/>
      <c r="TTQ25" s="4"/>
      <c r="TTR25" s="4"/>
      <c r="TTS25" s="4"/>
      <c r="TTT25" s="4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4"/>
      <c r="TUG25" s="4"/>
      <c r="TUH25" s="4"/>
      <c r="TUI25" s="5"/>
      <c r="TUJ25" s="4"/>
      <c r="TUK25" s="28"/>
      <c r="TUL25" s="28"/>
      <c r="TUM25" s="4"/>
      <c r="TUN25" s="4"/>
      <c r="TUO25" s="4"/>
      <c r="TUP25" s="4"/>
      <c r="TUQ25" s="4"/>
      <c r="TUR25" s="4"/>
      <c r="TUS25" s="4"/>
      <c r="TUT25" s="4"/>
      <c r="TUU25" s="4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4"/>
      <c r="TVH25" s="4"/>
      <c r="TVI25" s="4"/>
      <c r="TVJ25" s="5"/>
      <c r="TVK25" s="4"/>
      <c r="TVL25" s="28"/>
      <c r="TVM25" s="28"/>
      <c r="TVN25" s="4"/>
      <c r="TVO25" s="4"/>
      <c r="TVP25" s="4"/>
      <c r="TVQ25" s="4"/>
      <c r="TVR25" s="4"/>
      <c r="TVS25" s="4"/>
      <c r="TVT25" s="4"/>
      <c r="TVU25" s="4"/>
      <c r="TVV25" s="4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4"/>
      <c r="TWI25" s="4"/>
      <c r="TWJ25" s="4"/>
      <c r="TWK25" s="5"/>
      <c r="TWL25" s="4"/>
      <c r="TWM25" s="28"/>
      <c r="TWN25" s="28"/>
      <c r="TWO25" s="4"/>
      <c r="TWP25" s="4"/>
      <c r="TWQ25" s="4"/>
      <c r="TWR25" s="4"/>
      <c r="TWS25" s="4"/>
      <c r="TWT25" s="4"/>
      <c r="TWU25" s="4"/>
      <c r="TWV25" s="4"/>
      <c r="TWW25" s="4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4"/>
      <c r="TXJ25" s="4"/>
      <c r="TXK25" s="4"/>
      <c r="TXL25" s="5"/>
      <c r="TXM25" s="4"/>
      <c r="TXN25" s="28"/>
      <c r="TXO25" s="28"/>
      <c r="TXP25" s="4"/>
      <c r="TXQ25" s="4"/>
      <c r="TXR25" s="4"/>
      <c r="TXS25" s="4"/>
      <c r="TXT25" s="4"/>
      <c r="TXU25" s="4"/>
      <c r="TXV25" s="4"/>
      <c r="TXW25" s="4"/>
      <c r="TXX25" s="4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4"/>
      <c r="TYK25" s="4"/>
      <c r="TYL25" s="4"/>
      <c r="TYM25" s="5"/>
      <c r="TYN25" s="4"/>
      <c r="TYO25" s="28"/>
      <c r="TYP25" s="28"/>
      <c r="TYQ25" s="4"/>
      <c r="TYR25" s="4"/>
      <c r="TYS25" s="4"/>
      <c r="TYT25" s="4"/>
      <c r="TYU25" s="4"/>
      <c r="TYV25" s="4"/>
      <c r="TYW25" s="4"/>
      <c r="TYX25" s="4"/>
      <c r="TYY25" s="4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4"/>
      <c r="TZL25" s="4"/>
      <c r="TZM25" s="4"/>
      <c r="TZN25" s="5"/>
      <c r="TZO25" s="4"/>
      <c r="TZP25" s="28"/>
      <c r="TZQ25" s="28"/>
      <c r="TZR25" s="4"/>
      <c r="TZS25" s="4"/>
      <c r="TZT25" s="4"/>
      <c r="TZU25" s="4"/>
      <c r="TZV25" s="4"/>
      <c r="TZW25" s="4"/>
      <c r="TZX25" s="4"/>
      <c r="TZY25" s="4"/>
      <c r="TZZ25" s="4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4"/>
      <c r="UAM25" s="4"/>
      <c r="UAN25" s="4"/>
      <c r="UAO25" s="5"/>
      <c r="UAP25" s="4"/>
      <c r="UAQ25" s="28"/>
      <c r="UAR25" s="28"/>
      <c r="UAS25" s="4"/>
      <c r="UAT25" s="4"/>
      <c r="UAU25" s="4"/>
      <c r="UAV25" s="4"/>
      <c r="UAW25" s="4"/>
      <c r="UAX25" s="4"/>
      <c r="UAY25" s="4"/>
      <c r="UAZ25" s="4"/>
      <c r="UBA25" s="4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4"/>
      <c r="UBN25" s="4"/>
      <c r="UBO25" s="4"/>
      <c r="UBP25" s="5"/>
      <c r="UBQ25" s="4"/>
      <c r="UBR25" s="28"/>
      <c r="UBS25" s="28"/>
      <c r="UBT25" s="4"/>
      <c r="UBU25" s="4"/>
      <c r="UBV25" s="4"/>
      <c r="UBW25" s="4"/>
      <c r="UBX25" s="4"/>
      <c r="UBY25" s="4"/>
      <c r="UBZ25" s="4"/>
      <c r="UCA25" s="4"/>
      <c r="UCB25" s="4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4"/>
      <c r="UCO25" s="4"/>
      <c r="UCP25" s="4"/>
      <c r="UCQ25" s="5"/>
      <c r="UCR25" s="4"/>
      <c r="UCS25" s="28"/>
      <c r="UCT25" s="28"/>
      <c r="UCU25" s="4"/>
      <c r="UCV25" s="4"/>
      <c r="UCW25" s="4"/>
      <c r="UCX25" s="4"/>
      <c r="UCY25" s="4"/>
      <c r="UCZ25" s="4"/>
      <c r="UDA25" s="4"/>
      <c r="UDB25" s="4"/>
      <c r="UDC25" s="4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4"/>
      <c r="UDP25" s="4"/>
      <c r="UDQ25" s="4"/>
      <c r="UDR25" s="5"/>
      <c r="UDS25" s="4"/>
      <c r="UDT25" s="28"/>
      <c r="UDU25" s="28"/>
      <c r="UDV25" s="4"/>
      <c r="UDW25" s="4"/>
      <c r="UDX25" s="4"/>
      <c r="UDY25" s="4"/>
      <c r="UDZ25" s="4"/>
      <c r="UEA25" s="4"/>
      <c r="UEB25" s="4"/>
      <c r="UEC25" s="4"/>
      <c r="UED25" s="4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4"/>
      <c r="UEQ25" s="4"/>
      <c r="UER25" s="4"/>
      <c r="UES25" s="5"/>
      <c r="UET25" s="4"/>
      <c r="UEU25" s="28"/>
      <c r="UEV25" s="28"/>
      <c r="UEW25" s="4"/>
      <c r="UEX25" s="4"/>
      <c r="UEY25" s="4"/>
      <c r="UEZ25" s="4"/>
      <c r="UFA25" s="4"/>
      <c r="UFB25" s="4"/>
      <c r="UFC25" s="4"/>
      <c r="UFD25" s="4"/>
      <c r="UFE25" s="4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4"/>
      <c r="UFR25" s="4"/>
      <c r="UFS25" s="4"/>
      <c r="UFT25" s="5"/>
      <c r="UFU25" s="4"/>
      <c r="UFV25" s="28"/>
      <c r="UFW25" s="28"/>
      <c r="UFX25" s="4"/>
      <c r="UFY25" s="4"/>
      <c r="UFZ25" s="4"/>
      <c r="UGA25" s="4"/>
      <c r="UGB25" s="4"/>
      <c r="UGC25" s="4"/>
      <c r="UGD25" s="4"/>
      <c r="UGE25" s="4"/>
      <c r="UGF25" s="4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4"/>
      <c r="UGS25" s="4"/>
      <c r="UGT25" s="4"/>
      <c r="UGU25" s="5"/>
      <c r="UGV25" s="4"/>
      <c r="UGW25" s="28"/>
      <c r="UGX25" s="28"/>
      <c r="UGY25" s="4"/>
      <c r="UGZ25" s="4"/>
      <c r="UHA25" s="4"/>
      <c r="UHB25" s="4"/>
      <c r="UHC25" s="4"/>
      <c r="UHD25" s="4"/>
      <c r="UHE25" s="4"/>
      <c r="UHF25" s="4"/>
      <c r="UHG25" s="4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4"/>
      <c r="UHT25" s="4"/>
      <c r="UHU25" s="4"/>
      <c r="UHV25" s="5"/>
      <c r="UHW25" s="4"/>
      <c r="UHX25" s="28"/>
      <c r="UHY25" s="28"/>
      <c r="UHZ25" s="4"/>
      <c r="UIA25" s="4"/>
      <c r="UIB25" s="4"/>
      <c r="UIC25" s="4"/>
      <c r="UID25" s="4"/>
      <c r="UIE25" s="4"/>
      <c r="UIF25" s="4"/>
      <c r="UIG25" s="4"/>
      <c r="UIH25" s="4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4"/>
      <c r="UIU25" s="4"/>
      <c r="UIV25" s="4"/>
      <c r="UIW25" s="5"/>
      <c r="UIX25" s="4"/>
      <c r="UIY25" s="28"/>
      <c r="UIZ25" s="28"/>
      <c r="UJA25" s="4"/>
      <c r="UJB25" s="4"/>
      <c r="UJC25" s="4"/>
      <c r="UJD25" s="4"/>
      <c r="UJE25" s="4"/>
      <c r="UJF25" s="4"/>
      <c r="UJG25" s="4"/>
      <c r="UJH25" s="4"/>
      <c r="UJI25" s="4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4"/>
      <c r="UJV25" s="4"/>
      <c r="UJW25" s="4"/>
      <c r="UJX25" s="5"/>
      <c r="UJY25" s="4"/>
      <c r="UJZ25" s="28"/>
      <c r="UKA25" s="28"/>
      <c r="UKB25" s="4"/>
      <c r="UKC25" s="4"/>
      <c r="UKD25" s="4"/>
      <c r="UKE25" s="4"/>
      <c r="UKF25" s="4"/>
      <c r="UKG25" s="4"/>
      <c r="UKH25" s="4"/>
      <c r="UKI25" s="4"/>
      <c r="UKJ25" s="4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4"/>
      <c r="UKW25" s="4"/>
      <c r="UKX25" s="4"/>
      <c r="UKY25" s="5"/>
      <c r="UKZ25" s="4"/>
      <c r="ULA25" s="28"/>
      <c r="ULB25" s="28"/>
      <c r="ULC25" s="4"/>
      <c r="ULD25" s="4"/>
      <c r="ULE25" s="4"/>
      <c r="ULF25" s="4"/>
      <c r="ULG25" s="4"/>
      <c r="ULH25" s="4"/>
      <c r="ULI25" s="4"/>
      <c r="ULJ25" s="4"/>
      <c r="ULK25" s="4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4"/>
      <c r="ULX25" s="4"/>
      <c r="ULY25" s="4"/>
      <c r="ULZ25" s="5"/>
      <c r="UMA25" s="4"/>
      <c r="UMB25" s="28"/>
      <c r="UMC25" s="28"/>
      <c r="UMD25" s="4"/>
      <c r="UME25" s="4"/>
      <c r="UMF25" s="4"/>
      <c r="UMG25" s="4"/>
      <c r="UMH25" s="4"/>
      <c r="UMI25" s="4"/>
      <c r="UMJ25" s="4"/>
      <c r="UMK25" s="4"/>
      <c r="UML25" s="4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4"/>
      <c r="UMY25" s="4"/>
      <c r="UMZ25" s="4"/>
      <c r="UNA25" s="5"/>
      <c r="UNB25" s="4"/>
      <c r="UNC25" s="28"/>
      <c r="UND25" s="28"/>
      <c r="UNE25" s="4"/>
      <c r="UNF25" s="4"/>
      <c r="UNG25" s="4"/>
      <c r="UNH25" s="4"/>
      <c r="UNI25" s="4"/>
      <c r="UNJ25" s="4"/>
      <c r="UNK25" s="4"/>
      <c r="UNL25" s="4"/>
      <c r="UNM25" s="4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4"/>
      <c r="UNZ25" s="4"/>
      <c r="UOA25" s="4"/>
      <c r="UOB25" s="5"/>
      <c r="UOC25" s="4"/>
      <c r="UOD25" s="28"/>
      <c r="UOE25" s="28"/>
      <c r="UOF25" s="4"/>
      <c r="UOG25" s="4"/>
      <c r="UOH25" s="4"/>
      <c r="UOI25" s="4"/>
      <c r="UOJ25" s="4"/>
      <c r="UOK25" s="4"/>
      <c r="UOL25" s="4"/>
      <c r="UOM25" s="4"/>
      <c r="UON25" s="4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4"/>
      <c r="UPA25" s="4"/>
      <c r="UPB25" s="4"/>
      <c r="UPC25" s="5"/>
      <c r="UPD25" s="4"/>
      <c r="UPE25" s="28"/>
      <c r="UPF25" s="28"/>
      <c r="UPG25" s="4"/>
      <c r="UPH25" s="4"/>
      <c r="UPI25" s="4"/>
      <c r="UPJ25" s="4"/>
      <c r="UPK25" s="4"/>
      <c r="UPL25" s="4"/>
      <c r="UPM25" s="4"/>
      <c r="UPN25" s="4"/>
      <c r="UPO25" s="4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4"/>
      <c r="UQB25" s="4"/>
      <c r="UQC25" s="4"/>
      <c r="UQD25" s="5"/>
      <c r="UQE25" s="4"/>
      <c r="UQF25" s="28"/>
      <c r="UQG25" s="28"/>
      <c r="UQH25" s="4"/>
      <c r="UQI25" s="4"/>
      <c r="UQJ25" s="4"/>
      <c r="UQK25" s="4"/>
      <c r="UQL25" s="4"/>
      <c r="UQM25" s="4"/>
      <c r="UQN25" s="4"/>
      <c r="UQO25" s="4"/>
      <c r="UQP25" s="4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4"/>
      <c r="URC25" s="4"/>
      <c r="URD25" s="4"/>
      <c r="URE25" s="5"/>
      <c r="URF25" s="4"/>
      <c r="URG25" s="28"/>
      <c r="URH25" s="28"/>
      <c r="URI25" s="4"/>
      <c r="URJ25" s="4"/>
      <c r="URK25" s="4"/>
      <c r="URL25" s="4"/>
      <c r="URM25" s="4"/>
      <c r="URN25" s="4"/>
      <c r="URO25" s="4"/>
      <c r="URP25" s="4"/>
      <c r="URQ25" s="4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4"/>
      <c r="USD25" s="4"/>
      <c r="USE25" s="4"/>
      <c r="USF25" s="5"/>
      <c r="USG25" s="4"/>
      <c r="USH25" s="28"/>
      <c r="USI25" s="28"/>
      <c r="USJ25" s="4"/>
      <c r="USK25" s="4"/>
      <c r="USL25" s="4"/>
      <c r="USM25" s="4"/>
      <c r="USN25" s="4"/>
      <c r="USO25" s="4"/>
      <c r="USP25" s="4"/>
      <c r="USQ25" s="4"/>
      <c r="USR25" s="4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4"/>
      <c r="UTE25" s="4"/>
      <c r="UTF25" s="4"/>
      <c r="UTG25" s="5"/>
      <c r="UTH25" s="4"/>
      <c r="UTI25" s="28"/>
      <c r="UTJ25" s="28"/>
      <c r="UTK25" s="4"/>
      <c r="UTL25" s="4"/>
      <c r="UTM25" s="4"/>
      <c r="UTN25" s="4"/>
      <c r="UTO25" s="4"/>
      <c r="UTP25" s="4"/>
      <c r="UTQ25" s="4"/>
      <c r="UTR25" s="4"/>
      <c r="UTS25" s="4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4"/>
      <c r="UUF25" s="4"/>
      <c r="UUG25" s="4"/>
      <c r="UUH25" s="5"/>
      <c r="UUI25" s="4"/>
      <c r="UUJ25" s="28"/>
      <c r="UUK25" s="28"/>
      <c r="UUL25" s="4"/>
      <c r="UUM25" s="4"/>
      <c r="UUN25" s="4"/>
      <c r="UUO25" s="4"/>
      <c r="UUP25" s="4"/>
      <c r="UUQ25" s="4"/>
      <c r="UUR25" s="4"/>
      <c r="UUS25" s="4"/>
      <c r="UUT25" s="4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4"/>
      <c r="UVG25" s="4"/>
      <c r="UVH25" s="4"/>
      <c r="UVI25" s="5"/>
      <c r="UVJ25" s="4"/>
      <c r="UVK25" s="28"/>
      <c r="UVL25" s="28"/>
      <c r="UVM25" s="4"/>
      <c r="UVN25" s="4"/>
      <c r="UVO25" s="4"/>
      <c r="UVP25" s="4"/>
      <c r="UVQ25" s="4"/>
      <c r="UVR25" s="4"/>
      <c r="UVS25" s="4"/>
      <c r="UVT25" s="4"/>
      <c r="UVU25" s="4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4"/>
      <c r="UWH25" s="4"/>
      <c r="UWI25" s="4"/>
      <c r="UWJ25" s="5"/>
      <c r="UWK25" s="4"/>
      <c r="UWL25" s="28"/>
      <c r="UWM25" s="28"/>
      <c r="UWN25" s="4"/>
      <c r="UWO25" s="4"/>
      <c r="UWP25" s="4"/>
      <c r="UWQ25" s="4"/>
      <c r="UWR25" s="4"/>
      <c r="UWS25" s="4"/>
      <c r="UWT25" s="4"/>
      <c r="UWU25" s="4"/>
      <c r="UWV25" s="4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4"/>
      <c r="UXI25" s="4"/>
      <c r="UXJ25" s="4"/>
      <c r="UXK25" s="5"/>
      <c r="UXL25" s="4"/>
      <c r="UXM25" s="28"/>
      <c r="UXN25" s="28"/>
      <c r="UXO25" s="4"/>
      <c r="UXP25" s="4"/>
      <c r="UXQ25" s="4"/>
      <c r="UXR25" s="4"/>
      <c r="UXS25" s="4"/>
      <c r="UXT25" s="4"/>
      <c r="UXU25" s="4"/>
      <c r="UXV25" s="4"/>
      <c r="UXW25" s="4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4"/>
      <c r="UYJ25" s="4"/>
      <c r="UYK25" s="4"/>
      <c r="UYL25" s="5"/>
      <c r="UYM25" s="4"/>
      <c r="UYN25" s="28"/>
      <c r="UYO25" s="28"/>
      <c r="UYP25" s="4"/>
      <c r="UYQ25" s="4"/>
      <c r="UYR25" s="4"/>
      <c r="UYS25" s="4"/>
      <c r="UYT25" s="4"/>
      <c r="UYU25" s="4"/>
      <c r="UYV25" s="4"/>
      <c r="UYW25" s="4"/>
      <c r="UYX25" s="4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4"/>
      <c r="UZK25" s="4"/>
      <c r="UZL25" s="4"/>
      <c r="UZM25" s="5"/>
      <c r="UZN25" s="4"/>
      <c r="UZO25" s="28"/>
      <c r="UZP25" s="28"/>
      <c r="UZQ25" s="4"/>
      <c r="UZR25" s="4"/>
      <c r="UZS25" s="4"/>
      <c r="UZT25" s="4"/>
      <c r="UZU25" s="4"/>
      <c r="UZV25" s="4"/>
      <c r="UZW25" s="4"/>
      <c r="UZX25" s="4"/>
      <c r="UZY25" s="4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4"/>
      <c r="VAL25" s="4"/>
      <c r="VAM25" s="4"/>
      <c r="VAN25" s="5"/>
      <c r="VAO25" s="4"/>
      <c r="VAP25" s="28"/>
      <c r="VAQ25" s="28"/>
      <c r="VAR25" s="4"/>
      <c r="VAS25" s="4"/>
      <c r="VAT25" s="4"/>
      <c r="VAU25" s="4"/>
      <c r="VAV25" s="4"/>
      <c r="VAW25" s="4"/>
      <c r="VAX25" s="4"/>
      <c r="VAY25" s="4"/>
      <c r="VAZ25" s="4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4"/>
      <c r="VBM25" s="4"/>
      <c r="VBN25" s="4"/>
      <c r="VBO25" s="5"/>
      <c r="VBP25" s="4"/>
      <c r="VBQ25" s="28"/>
      <c r="VBR25" s="28"/>
      <c r="VBS25" s="4"/>
      <c r="VBT25" s="4"/>
      <c r="VBU25" s="4"/>
      <c r="VBV25" s="4"/>
      <c r="VBW25" s="4"/>
      <c r="VBX25" s="4"/>
      <c r="VBY25" s="4"/>
      <c r="VBZ25" s="4"/>
      <c r="VCA25" s="4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4"/>
      <c r="VCN25" s="4"/>
      <c r="VCO25" s="4"/>
      <c r="VCP25" s="5"/>
      <c r="VCQ25" s="4"/>
      <c r="VCR25" s="28"/>
      <c r="VCS25" s="28"/>
      <c r="VCT25" s="4"/>
      <c r="VCU25" s="4"/>
      <c r="VCV25" s="4"/>
      <c r="VCW25" s="4"/>
      <c r="VCX25" s="4"/>
      <c r="VCY25" s="4"/>
      <c r="VCZ25" s="4"/>
      <c r="VDA25" s="4"/>
      <c r="VDB25" s="4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4"/>
      <c r="VDO25" s="4"/>
      <c r="VDP25" s="4"/>
      <c r="VDQ25" s="5"/>
      <c r="VDR25" s="4"/>
      <c r="VDS25" s="28"/>
      <c r="VDT25" s="28"/>
      <c r="VDU25" s="4"/>
      <c r="VDV25" s="4"/>
      <c r="VDW25" s="4"/>
      <c r="VDX25" s="4"/>
      <c r="VDY25" s="4"/>
      <c r="VDZ25" s="4"/>
      <c r="VEA25" s="4"/>
      <c r="VEB25" s="4"/>
      <c r="VEC25" s="4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4"/>
      <c r="VEP25" s="4"/>
      <c r="VEQ25" s="4"/>
      <c r="VER25" s="5"/>
      <c r="VES25" s="4"/>
      <c r="VET25" s="28"/>
      <c r="VEU25" s="28"/>
      <c r="VEV25" s="4"/>
      <c r="VEW25" s="4"/>
      <c r="VEX25" s="4"/>
      <c r="VEY25" s="4"/>
      <c r="VEZ25" s="4"/>
      <c r="VFA25" s="4"/>
      <c r="VFB25" s="4"/>
      <c r="VFC25" s="4"/>
      <c r="VFD25" s="4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4"/>
      <c r="VFQ25" s="4"/>
      <c r="VFR25" s="4"/>
      <c r="VFS25" s="5"/>
      <c r="VFT25" s="4"/>
      <c r="VFU25" s="28"/>
      <c r="VFV25" s="28"/>
      <c r="VFW25" s="4"/>
      <c r="VFX25" s="4"/>
      <c r="VFY25" s="4"/>
      <c r="VFZ25" s="4"/>
      <c r="VGA25" s="4"/>
      <c r="VGB25" s="4"/>
      <c r="VGC25" s="4"/>
      <c r="VGD25" s="4"/>
      <c r="VGE25" s="4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4"/>
      <c r="VGR25" s="4"/>
      <c r="VGS25" s="4"/>
      <c r="VGT25" s="5"/>
      <c r="VGU25" s="4"/>
      <c r="VGV25" s="28"/>
      <c r="VGW25" s="28"/>
      <c r="VGX25" s="4"/>
      <c r="VGY25" s="4"/>
      <c r="VGZ25" s="4"/>
      <c r="VHA25" s="4"/>
      <c r="VHB25" s="4"/>
      <c r="VHC25" s="4"/>
      <c r="VHD25" s="4"/>
      <c r="VHE25" s="4"/>
      <c r="VHF25" s="4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4"/>
      <c r="VHS25" s="4"/>
      <c r="VHT25" s="4"/>
      <c r="VHU25" s="5"/>
      <c r="VHV25" s="4"/>
      <c r="VHW25" s="28"/>
      <c r="VHX25" s="28"/>
      <c r="VHY25" s="4"/>
      <c r="VHZ25" s="4"/>
      <c r="VIA25" s="4"/>
      <c r="VIB25" s="4"/>
      <c r="VIC25" s="4"/>
      <c r="VID25" s="4"/>
      <c r="VIE25" s="4"/>
      <c r="VIF25" s="4"/>
      <c r="VIG25" s="4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4"/>
      <c r="VIT25" s="4"/>
      <c r="VIU25" s="4"/>
      <c r="VIV25" s="5"/>
      <c r="VIW25" s="4"/>
      <c r="VIX25" s="28"/>
      <c r="VIY25" s="28"/>
      <c r="VIZ25" s="4"/>
      <c r="VJA25" s="4"/>
      <c r="VJB25" s="4"/>
      <c r="VJC25" s="4"/>
      <c r="VJD25" s="4"/>
      <c r="VJE25" s="4"/>
      <c r="VJF25" s="4"/>
      <c r="VJG25" s="4"/>
      <c r="VJH25" s="4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4"/>
      <c r="VJU25" s="4"/>
      <c r="VJV25" s="4"/>
      <c r="VJW25" s="5"/>
      <c r="VJX25" s="4"/>
      <c r="VJY25" s="28"/>
      <c r="VJZ25" s="28"/>
      <c r="VKA25" s="4"/>
      <c r="VKB25" s="4"/>
      <c r="VKC25" s="4"/>
      <c r="VKD25" s="4"/>
      <c r="VKE25" s="4"/>
      <c r="VKF25" s="4"/>
      <c r="VKG25" s="4"/>
      <c r="VKH25" s="4"/>
      <c r="VKI25" s="4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4"/>
      <c r="VKV25" s="4"/>
      <c r="VKW25" s="4"/>
      <c r="VKX25" s="5"/>
      <c r="VKY25" s="4"/>
      <c r="VKZ25" s="28"/>
      <c r="VLA25" s="28"/>
      <c r="VLB25" s="4"/>
      <c r="VLC25" s="4"/>
      <c r="VLD25" s="4"/>
      <c r="VLE25" s="4"/>
      <c r="VLF25" s="4"/>
      <c r="VLG25" s="4"/>
      <c r="VLH25" s="4"/>
      <c r="VLI25" s="4"/>
      <c r="VLJ25" s="4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4"/>
      <c r="VLW25" s="4"/>
      <c r="VLX25" s="4"/>
      <c r="VLY25" s="5"/>
      <c r="VLZ25" s="4"/>
      <c r="VMA25" s="28"/>
      <c r="VMB25" s="28"/>
      <c r="VMC25" s="4"/>
      <c r="VMD25" s="4"/>
      <c r="VME25" s="4"/>
      <c r="VMF25" s="4"/>
      <c r="VMG25" s="4"/>
      <c r="VMH25" s="4"/>
      <c r="VMI25" s="4"/>
      <c r="VMJ25" s="4"/>
      <c r="VMK25" s="4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4"/>
      <c r="VMX25" s="4"/>
      <c r="VMY25" s="4"/>
      <c r="VMZ25" s="5"/>
      <c r="VNA25" s="4"/>
      <c r="VNB25" s="28"/>
      <c r="VNC25" s="28"/>
      <c r="VND25" s="4"/>
      <c r="VNE25" s="4"/>
      <c r="VNF25" s="4"/>
      <c r="VNG25" s="4"/>
      <c r="VNH25" s="4"/>
      <c r="VNI25" s="4"/>
      <c r="VNJ25" s="4"/>
      <c r="VNK25" s="4"/>
      <c r="VNL25" s="4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4"/>
      <c r="VNY25" s="4"/>
      <c r="VNZ25" s="4"/>
      <c r="VOA25" s="5"/>
      <c r="VOB25" s="4"/>
      <c r="VOC25" s="28"/>
      <c r="VOD25" s="28"/>
      <c r="VOE25" s="4"/>
      <c r="VOF25" s="4"/>
      <c r="VOG25" s="4"/>
      <c r="VOH25" s="4"/>
      <c r="VOI25" s="4"/>
      <c r="VOJ25" s="4"/>
      <c r="VOK25" s="4"/>
      <c r="VOL25" s="4"/>
      <c r="VOM25" s="4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4"/>
      <c r="VOZ25" s="4"/>
      <c r="VPA25" s="4"/>
      <c r="VPB25" s="5"/>
      <c r="VPC25" s="4"/>
      <c r="VPD25" s="28"/>
      <c r="VPE25" s="28"/>
      <c r="VPF25" s="4"/>
      <c r="VPG25" s="4"/>
      <c r="VPH25" s="4"/>
      <c r="VPI25" s="4"/>
      <c r="VPJ25" s="4"/>
      <c r="VPK25" s="4"/>
      <c r="VPL25" s="4"/>
      <c r="VPM25" s="4"/>
      <c r="VPN25" s="4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4"/>
      <c r="VQA25" s="4"/>
      <c r="VQB25" s="4"/>
      <c r="VQC25" s="5"/>
      <c r="VQD25" s="4"/>
      <c r="VQE25" s="28"/>
      <c r="VQF25" s="28"/>
      <c r="VQG25" s="4"/>
      <c r="VQH25" s="4"/>
      <c r="VQI25" s="4"/>
      <c r="VQJ25" s="4"/>
      <c r="VQK25" s="4"/>
      <c r="VQL25" s="4"/>
      <c r="VQM25" s="4"/>
      <c r="VQN25" s="4"/>
      <c r="VQO25" s="4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4"/>
      <c r="VRB25" s="4"/>
      <c r="VRC25" s="4"/>
      <c r="VRD25" s="5"/>
      <c r="VRE25" s="4"/>
      <c r="VRF25" s="28"/>
      <c r="VRG25" s="28"/>
      <c r="VRH25" s="4"/>
      <c r="VRI25" s="4"/>
      <c r="VRJ25" s="4"/>
      <c r="VRK25" s="4"/>
      <c r="VRL25" s="4"/>
      <c r="VRM25" s="4"/>
      <c r="VRN25" s="4"/>
      <c r="VRO25" s="4"/>
      <c r="VRP25" s="4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4"/>
      <c r="VSC25" s="4"/>
      <c r="VSD25" s="4"/>
      <c r="VSE25" s="5"/>
      <c r="VSF25" s="4"/>
      <c r="VSG25" s="28"/>
      <c r="VSH25" s="28"/>
      <c r="VSI25" s="4"/>
      <c r="VSJ25" s="4"/>
      <c r="VSK25" s="4"/>
      <c r="VSL25" s="4"/>
      <c r="VSM25" s="4"/>
      <c r="VSN25" s="4"/>
      <c r="VSO25" s="4"/>
      <c r="VSP25" s="4"/>
      <c r="VSQ25" s="4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4"/>
      <c r="VTD25" s="4"/>
      <c r="VTE25" s="4"/>
      <c r="VTF25" s="5"/>
      <c r="VTG25" s="4"/>
      <c r="VTH25" s="28"/>
      <c r="VTI25" s="28"/>
      <c r="VTJ25" s="4"/>
      <c r="VTK25" s="4"/>
      <c r="VTL25" s="4"/>
      <c r="VTM25" s="4"/>
      <c r="VTN25" s="4"/>
      <c r="VTO25" s="4"/>
      <c r="VTP25" s="4"/>
      <c r="VTQ25" s="4"/>
      <c r="VTR25" s="4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4"/>
      <c r="VUE25" s="4"/>
      <c r="VUF25" s="4"/>
      <c r="VUG25" s="5"/>
      <c r="VUH25" s="4"/>
      <c r="VUI25" s="28"/>
      <c r="VUJ25" s="28"/>
      <c r="VUK25" s="4"/>
      <c r="VUL25" s="4"/>
      <c r="VUM25" s="4"/>
      <c r="VUN25" s="4"/>
      <c r="VUO25" s="4"/>
      <c r="VUP25" s="4"/>
      <c r="VUQ25" s="4"/>
      <c r="VUR25" s="4"/>
      <c r="VUS25" s="4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4"/>
      <c r="VVF25" s="4"/>
      <c r="VVG25" s="4"/>
      <c r="VVH25" s="5"/>
      <c r="VVI25" s="4"/>
      <c r="VVJ25" s="28"/>
      <c r="VVK25" s="28"/>
      <c r="VVL25" s="4"/>
      <c r="VVM25" s="4"/>
      <c r="VVN25" s="4"/>
      <c r="VVO25" s="4"/>
      <c r="VVP25" s="4"/>
      <c r="VVQ25" s="4"/>
      <c r="VVR25" s="4"/>
      <c r="VVS25" s="4"/>
      <c r="VVT25" s="4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4"/>
      <c r="VWG25" s="4"/>
      <c r="VWH25" s="4"/>
      <c r="VWI25" s="5"/>
      <c r="VWJ25" s="4"/>
      <c r="VWK25" s="28"/>
      <c r="VWL25" s="28"/>
      <c r="VWM25" s="4"/>
      <c r="VWN25" s="4"/>
      <c r="VWO25" s="4"/>
      <c r="VWP25" s="4"/>
      <c r="VWQ25" s="4"/>
      <c r="VWR25" s="4"/>
      <c r="VWS25" s="4"/>
      <c r="VWT25" s="4"/>
      <c r="VWU25" s="4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4"/>
      <c r="VXH25" s="4"/>
      <c r="VXI25" s="4"/>
      <c r="VXJ25" s="5"/>
      <c r="VXK25" s="4"/>
      <c r="VXL25" s="28"/>
      <c r="VXM25" s="28"/>
      <c r="VXN25" s="4"/>
      <c r="VXO25" s="4"/>
      <c r="VXP25" s="4"/>
      <c r="VXQ25" s="4"/>
      <c r="VXR25" s="4"/>
      <c r="VXS25" s="4"/>
      <c r="VXT25" s="4"/>
      <c r="VXU25" s="4"/>
      <c r="VXV25" s="4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4"/>
      <c r="VYI25" s="4"/>
      <c r="VYJ25" s="4"/>
      <c r="VYK25" s="5"/>
      <c r="VYL25" s="4"/>
      <c r="VYM25" s="28"/>
      <c r="VYN25" s="28"/>
      <c r="VYO25" s="4"/>
      <c r="VYP25" s="4"/>
      <c r="VYQ25" s="4"/>
      <c r="VYR25" s="4"/>
      <c r="VYS25" s="4"/>
      <c r="VYT25" s="4"/>
      <c r="VYU25" s="4"/>
      <c r="VYV25" s="4"/>
      <c r="VYW25" s="4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4"/>
      <c r="VZJ25" s="4"/>
      <c r="VZK25" s="4"/>
      <c r="VZL25" s="5"/>
      <c r="VZM25" s="4"/>
      <c r="VZN25" s="28"/>
      <c r="VZO25" s="28"/>
      <c r="VZP25" s="4"/>
      <c r="VZQ25" s="4"/>
      <c r="VZR25" s="4"/>
      <c r="VZS25" s="4"/>
      <c r="VZT25" s="4"/>
      <c r="VZU25" s="4"/>
      <c r="VZV25" s="4"/>
      <c r="VZW25" s="4"/>
      <c r="VZX25" s="4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4"/>
      <c r="WAK25" s="4"/>
      <c r="WAL25" s="4"/>
      <c r="WAM25" s="5"/>
      <c r="WAN25" s="4"/>
      <c r="WAO25" s="28"/>
      <c r="WAP25" s="28"/>
      <c r="WAQ25" s="4"/>
      <c r="WAR25" s="4"/>
      <c r="WAS25" s="4"/>
      <c r="WAT25" s="4"/>
      <c r="WAU25" s="4"/>
      <c r="WAV25" s="4"/>
      <c r="WAW25" s="4"/>
      <c r="WAX25" s="4"/>
      <c r="WAY25" s="4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4"/>
      <c r="WBL25" s="4"/>
      <c r="WBM25" s="4"/>
      <c r="WBN25" s="5"/>
      <c r="WBO25" s="4"/>
      <c r="WBP25" s="28"/>
      <c r="WBQ25" s="28"/>
      <c r="WBR25" s="4"/>
      <c r="WBS25" s="4"/>
      <c r="WBT25" s="4"/>
      <c r="WBU25" s="4"/>
      <c r="WBV25" s="4"/>
      <c r="WBW25" s="4"/>
      <c r="WBX25" s="4"/>
      <c r="WBY25" s="4"/>
      <c r="WBZ25" s="4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4"/>
      <c r="WCM25" s="4"/>
      <c r="WCN25" s="4"/>
      <c r="WCO25" s="5"/>
      <c r="WCP25" s="4"/>
      <c r="WCQ25" s="28"/>
      <c r="WCR25" s="28"/>
      <c r="WCS25" s="4"/>
      <c r="WCT25" s="4"/>
      <c r="WCU25" s="4"/>
      <c r="WCV25" s="4"/>
      <c r="WCW25" s="4"/>
      <c r="WCX25" s="4"/>
      <c r="WCY25" s="4"/>
      <c r="WCZ25" s="4"/>
      <c r="WDA25" s="4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4"/>
      <c r="WDN25" s="4"/>
      <c r="WDO25" s="4"/>
      <c r="WDP25" s="5"/>
      <c r="WDQ25" s="4"/>
      <c r="WDR25" s="28"/>
      <c r="WDS25" s="28"/>
      <c r="WDT25" s="4"/>
      <c r="WDU25" s="4"/>
      <c r="WDV25" s="4"/>
      <c r="WDW25" s="4"/>
      <c r="WDX25" s="4"/>
      <c r="WDY25" s="4"/>
      <c r="WDZ25" s="4"/>
      <c r="WEA25" s="4"/>
      <c r="WEB25" s="4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4"/>
      <c r="WEO25" s="4"/>
      <c r="WEP25" s="4"/>
      <c r="WEQ25" s="5"/>
      <c r="WER25" s="4"/>
      <c r="WES25" s="28"/>
      <c r="WET25" s="28"/>
      <c r="WEU25" s="4"/>
      <c r="WEV25" s="4"/>
      <c r="WEW25" s="4"/>
      <c r="WEX25" s="4"/>
      <c r="WEY25" s="4"/>
      <c r="WEZ25" s="4"/>
      <c r="WFA25" s="4"/>
      <c r="WFB25" s="4"/>
      <c r="WFC25" s="4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4"/>
      <c r="WFP25" s="4"/>
      <c r="WFQ25" s="4"/>
      <c r="WFR25" s="5"/>
      <c r="WFS25" s="4"/>
      <c r="WFT25" s="28"/>
      <c r="WFU25" s="28"/>
      <c r="WFV25" s="4"/>
      <c r="WFW25" s="4"/>
      <c r="WFX25" s="4"/>
      <c r="WFY25" s="4"/>
      <c r="WFZ25" s="4"/>
      <c r="WGA25" s="4"/>
      <c r="WGB25" s="4"/>
      <c r="WGC25" s="4"/>
      <c r="WGD25" s="4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4"/>
      <c r="WGQ25" s="4"/>
      <c r="WGR25" s="4"/>
      <c r="WGS25" s="5"/>
      <c r="WGT25" s="4"/>
      <c r="WGU25" s="28"/>
      <c r="WGV25" s="28"/>
      <c r="WGW25" s="4"/>
      <c r="WGX25" s="4"/>
      <c r="WGY25" s="4"/>
      <c r="WGZ25" s="4"/>
      <c r="WHA25" s="4"/>
      <c r="WHB25" s="4"/>
      <c r="WHC25" s="4"/>
      <c r="WHD25" s="4"/>
      <c r="WHE25" s="4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4"/>
      <c r="WHR25" s="4"/>
      <c r="WHS25" s="4"/>
      <c r="WHT25" s="5"/>
      <c r="WHU25" s="4"/>
      <c r="WHV25" s="28"/>
      <c r="WHW25" s="28"/>
      <c r="WHX25" s="4"/>
      <c r="WHY25" s="4"/>
      <c r="WHZ25" s="4"/>
      <c r="WIA25" s="4"/>
      <c r="WIB25" s="4"/>
      <c r="WIC25" s="4"/>
      <c r="WID25" s="4"/>
      <c r="WIE25" s="4"/>
      <c r="WIF25" s="4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4"/>
      <c r="WIS25" s="4"/>
      <c r="WIT25" s="4"/>
      <c r="WIU25" s="5"/>
      <c r="WIV25" s="4"/>
      <c r="WIW25" s="28"/>
      <c r="WIX25" s="28"/>
      <c r="WIY25" s="4"/>
      <c r="WIZ25" s="4"/>
      <c r="WJA25" s="4"/>
      <c r="WJB25" s="4"/>
      <c r="WJC25" s="4"/>
      <c r="WJD25" s="4"/>
      <c r="WJE25" s="4"/>
      <c r="WJF25" s="4"/>
      <c r="WJG25" s="4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4"/>
      <c r="WJT25" s="4"/>
      <c r="WJU25" s="4"/>
      <c r="WJV25" s="5"/>
      <c r="WJW25" s="4"/>
      <c r="WJX25" s="28"/>
      <c r="WJY25" s="28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5"/>
      <c r="WKX25" s="4"/>
      <c r="WKY25" s="28"/>
      <c r="WKZ25" s="28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5"/>
      <c r="WLY25" s="4"/>
      <c r="WLZ25" s="28"/>
      <c r="WMA25" s="28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5"/>
      <c r="WMZ25" s="4"/>
      <c r="WNA25" s="28"/>
      <c r="WNB25" s="28"/>
      <c r="WNC25" s="4"/>
      <c r="WND25" s="4"/>
      <c r="WNE25" s="4"/>
      <c r="WNF25" s="4"/>
      <c r="WNG25" s="4"/>
      <c r="WNH25" s="4"/>
      <c r="WNI25" s="4"/>
      <c r="WNJ25" s="4"/>
      <c r="WNK25" s="4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4"/>
      <c r="WNX25" s="4"/>
      <c r="WNY25" s="4"/>
      <c r="WNZ25" s="5"/>
      <c r="WOA25" s="4"/>
      <c r="WOB25" s="28"/>
      <c r="WOC25" s="28"/>
      <c r="WOD25" s="4"/>
      <c r="WOE25" s="4"/>
      <c r="WOF25" s="4"/>
      <c r="WOG25" s="4"/>
      <c r="WOH25" s="4"/>
      <c r="WOI25" s="4"/>
      <c r="WOJ25" s="4"/>
      <c r="WOK25" s="4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5"/>
      <c r="WPB25" s="4"/>
      <c r="WPC25" s="28"/>
      <c r="WPD25" s="28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5"/>
      <c r="WQC25" s="4"/>
      <c r="WQD25" s="28"/>
      <c r="WQE25" s="28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5"/>
      <c r="WRD25" s="4"/>
      <c r="WRE25" s="28"/>
      <c r="WRF25" s="28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4"/>
      <c r="WSB25" s="4"/>
      <c r="WSC25" s="4"/>
      <c r="WSD25" s="5"/>
      <c r="WSE25" s="4"/>
      <c r="WSF25" s="28"/>
      <c r="WSG25" s="28"/>
      <c r="WSH25" s="4"/>
      <c r="WSI25" s="4"/>
      <c r="WSJ25" s="4"/>
      <c r="WSK25" s="4"/>
      <c r="WSL25" s="4"/>
      <c r="WSM25" s="4"/>
      <c r="WSN25" s="4"/>
      <c r="WSO25" s="4"/>
      <c r="WSP25" s="4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4"/>
      <c r="WTC25" s="4"/>
      <c r="WTD25" s="4"/>
      <c r="WTE25" s="5"/>
      <c r="WTF25" s="4"/>
      <c r="WTG25" s="28"/>
      <c r="WTH25" s="28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5"/>
      <c r="WUG25" s="4"/>
      <c r="WUH25" s="28"/>
      <c r="WUI25" s="28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5"/>
      <c r="WVH25" s="4"/>
      <c r="WVI25" s="28"/>
      <c r="WVJ25" s="28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5"/>
      <c r="WWI25" s="4"/>
      <c r="WWJ25" s="28"/>
      <c r="WWK25" s="28"/>
      <c r="WWL25" s="4"/>
      <c r="WWM25" s="4"/>
      <c r="WWN25" s="4"/>
      <c r="WWO25" s="4"/>
      <c r="WWP25" s="4"/>
      <c r="WWQ25" s="4"/>
      <c r="WWR25" s="4"/>
      <c r="WWS25" s="4"/>
      <c r="WWT25" s="4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4"/>
      <c r="WXG25" s="4"/>
      <c r="WXH25" s="4"/>
      <c r="WXI25" s="5"/>
      <c r="WXJ25" s="4"/>
      <c r="WXK25" s="28"/>
      <c r="WXL25" s="28"/>
      <c r="WXM25" s="4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5"/>
      <c r="WYK25" s="4"/>
      <c r="WYL25" s="28"/>
      <c r="WYM25" s="28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5"/>
      <c r="WZL25" s="4"/>
      <c r="WZM25" s="28"/>
      <c r="WZN25" s="28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5"/>
      <c r="XAM25" s="4"/>
      <c r="XAN25" s="28"/>
      <c r="XAO25" s="28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5"/>
      <c r="XBN25" s="4"/>
      <c r="XBO25" s="28"/>
      <c r="XBP25" s="28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5"/>
      <c r="XCO25" s="4"/>
      <c r="XCP25" s="28"/>
      <c r="XCQ25" s="28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</row>
    <row r="26" spans="1:16336" x14ac:dyDescent="0.25">
      <c r="A26" s="5"/>
      <c r="B26" s="4"/>
      <c r="C26" s="28"/>
      <c r="D26" s="28"/>
      <c r="E26" s="28"/>
      <c r="F26" s="17">
        <f t="shared" si="5"/>
        <v>17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5"/>
      <c r="AJ26" s="4"/>
      <c r="AK26" s="28"/>
      <c r="AL26" s="28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5"/>
      <c r="BK26" s="4"/>
      <c r="BL26" s="28"/>
      <c r="BM26" s="28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5"/>
      <c r="CL26" s="4"/>
      <c r="CM26" s="28"/>
      <c r="CN26" s="28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5"/>
      <c r="DM26" s="4"/>
      <c r="DN26" s="28"/>
      <c r="DO26" s="28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5"/>
      <c r="EN26" s="4"/>
      <c r="EO26" s="28"/>
      <c r="EP26" s="28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5"/>
      <c r="FO26" s="4"/>
      <c r="FP26" s="28"/>
      <c r="FQ26" s="28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5"/>
      <c r="GP26" s="4"/>
      <c r="GQ26" s="28"/>
      <c r="GR26" s="28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5"/>
      <c r="HQ26" s="4"/>
      <c r="HR26" s="28"/>
      <c r="HS26" s="28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5"/>
      <c r="IR26" s="4"/>
      <c r="IS26" s="28"/>
      <c r="IT26" s="28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5"/>
      <c r="JS26" s="4"/>
      <c r="JT26" s="28"/>
      <c r="JU26" s="28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5"/>
      <c r="KT26" s="4"/>
      <c r="KU26" s="28"/>
      <c r="KV26" s="28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5"/>
      <c r="LU26" s="4"/>
      <c r="LV26" s="28"/>
      <c r="LW26" s="28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5"/>
      <c r="MV26" s="4"/>
      <c r="MW26" s="28"/>
      <c r="MX26" s="28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5"/>
      <c r="NW26" s="4"/>
      <c r="NX26" s="28"/>
      <c r="NY26" s="28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5"/>
      <c r="OX26" s="4"/>
      <c r="OY26" s="28"/>
      <c r="OZ26" s="28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5"/>
      <c r="PY26" s="4"/>
      <c r="PZ26" s="28"/>
      <c r="QA26" s="28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5"/>
      <c r="QZ26" s="4"/>
      <c r="RA26" s="28"/>
      <c r="RB26" s="28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5"/>
      <c r="SA26" s="4"/>
      <c r="SB26" s="28"/>
      <c r="SC26" s="28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5"/>
      <c r="TB26" s="4"/>
      <c r="TC26" s="28"/>
      <c r="TD26" s="28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5"/>
      <c r="UC26" s="4"/>
      <c r="UD26" s="28"/>
      <c r="UE26" s="28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5"/>
      <c r="VD26" s="4"/>
      <c r="VE26" s="28"/>
      <c r="VF26" s="28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5"/>
      <c r="WE26" s="4"/>
      <c r="WF26" s="28"/>
      <c r="WG26" s="28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5"/>
      <c r="XF26" s="4"/>
      <c r="XG26" s="28"/>
      <c r="XH26" s="28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5"/>
      <c r="YG26" s="4"/>
      <c r="YH26" s="28"/>
      <c r="YI26" s="28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5"/>
      <c r="ZH26" s="4"/>
      <c r="ZI26" s="28"/>
      <c r="ZJ26" s="28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5"/>
      <c r="AAI26" s="4"/>
      <c r="AAJ26" s="28"/>
      <c r="AAK26" s="28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5"/>
      <c r="ABJ26" s="4"/>
      <c r="ABK26" s="28"/>
      <c r="ABL26" s="28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5"/>
      <c r="ACK26" s="4"/>
      <c r="ACL26" s="28"/>
      <c r="ACM26" s="28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5"/>
      <c r="ADL26" s="4"/>
      <c r="ADM26" s="28"/>
      <c r="ADN26" s="28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5"/>
      <c r="AEM26" s="4"/>
      <c r="AEN26" s="28"/>
      <c r="AEO26" s="28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5"/>
      <c r="AFN26" s="4"/>
      <c r="AFO26" s="28"/>
      <c r="AFP26" s="28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5"/>
      <c r="AGO26" s="4"/>
      <c r="AGP26" s="28"/>
      <c r="AGQ26" s="28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5"/>
      <c r="AHP26" s="4"/>
      <c r="AHQ26" s="28"/>
      <c r="AHR26" s="28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5"/>
      <c r="AIQ26" s="4"/>
      <c r="AIR26" s="28"/>
      <c r="AIS26" s="28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5"/>
      <c r="AJR26" s="4"/>
      <c r="AJS26" s="28"/>
      <c r="AJT26" s="28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5"/>
      <c r="AKS26" s="4"/>
      <c r="AKT26" s="28"/>
      <c r="AKU26" s="28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5"/>
      <c r="ALT26" s="4"/>
      <c r="ALU26" s="28"/>
      <c r="ALV26" s="28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5"/>
      <c r="AMU26" s="4"/>
      <c r="AMV26" s="28"/>
      <c r="AMW26" s="28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5"/>
      <c r="ANV26" s="4"/>
      <c r="ANW26" s="28"/>
      <c r="ANX26" s="28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5"/>
      <c r="AOW26" s="4"/>
      <c r="AOX26" s="28"/>
      <c r="AOY26" s="28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5"/>
      <c r="APX26" s="4"/>
      <c r="APY26" s="28"/>
      <c r="APZ26" s="28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5"/>
      <c r="AQY26" s="4"/>
      <c r="AQZ26" s="28"/>
      <c r="ARA26" s="28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5"/>
      <c r="ARZ26" s="4"/>
      <c r="ASA26" s="28"/>
      <c r="ASB26" s="28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5"/>
      <c r="ATA26" s="4"/>
      <c r="ATB26" s="28"/>
      <c r="ATC26" s="28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5"/>
      <c r="AUB26" s="4"/>
      <c r="AUC26" s="28"/>
      <c r="AUD26" s="28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5"/>
      <c r="AVC26" s="4"/>
      <c r="AVD26" s="28"/>
      <c r="AVE26" s="28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5"/>
      <c r="AWD26" s="4"/>
      <c r="AWE26" s="28"/>
      <c r="AWF26" s="28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5"/>
      <c r="AXE26" s="4"/>
      <c r="AXF26" s="28"/>
      <c r="AXG26" s="28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5"/>
      <c r="AYF26" s="4"/>
      <c r="AYG26" s="28"/>
      <c r="AYH26" s="28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5"/>
      <c r="AZG26" s="4"/>
      <c r="AZH26" s="28"/>
      <c r="AZI26" s="28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5"/>
      <c r="BAH26" s="4"/>
      <c r="BAI26" s="28"/>
      <c r="BAJ26" s="28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5"/>
      <c r="BBI26" s="4"/>
      <c r="BBJ26" s="28"/>
      <c r="BBK26" s="28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5"/>
      <c r="BCJ26" s="4"/>
      <c r="BCK26" s="28"/>
      <c r="BCL26" s="28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5"/>
      <c r="BDK26" s="4"/>
      <c r="BDL26" s="28"/>
      <c r="BDM26" s="28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5"/>
      <c r="BEL26" s="4"/>
      <c r="BEM26" s="28"/>
      <c r="BEN26" s="28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5"/>
      <c r="BFM26" s="4"/>
      <c r="BFN26" s="28"/>
      <c r="BFO26" s="28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5"/>
      <c r="BGN26" s="4"/>
      <c r="BGO26" s="28"/>
      <c r="BGP26" s="28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5"/>
      <c r="BHO26" s="4"/>
      <c r="BHP26" s="28"/>
      <c r="BHQ26" s="28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5"/>
      <c r="BIP26" s="4"/>
      <c r="BIQ26" s="28"/>
      <c r="BIR26" s="28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5"/>
      <c r="BJQ26" s="4"/>
      <c r="BJR26" s="28"/>
      <c r="BJS26" s="28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5"/>
      <c r="BKR26" s="4"/>
      <c r="BKS26" s="28"/>
      <c r="BKT26" s="28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5"/>
      <c r="BLS26" s="4"/>
      <c r="BLT26" s="28"/>
      <c r="BLU26" s="28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5"/>
      <c r="BMT26" s="4"/>
      <c r="BMU26" s="28"/>
      <c r="BMV26" s="28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5"/>
      <c r="BNU26" s="4"/>
      <c r="BNV26" s="28"/>
      <c r="BNW26" s="28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5"/>
      <c r="BOV26" s="4"/>
      <c r="BOW26" s="28"/>
      <c r="BOX26" s="28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5"/>
      <c r="BPW26" s="4"/>
      <c r="BPX26" s="28"/>
      <c r="BPY26" s="28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5"/>
      <c r="BQX26" s="4"/>
      <c r="BQY26" s="28"/>
      <c r="BQZ26" s="28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5"/>
      <c r="BRY26" s="4"/>
      <c r="BRZ26" s="28"/>
      <c r="BSA26" s="28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5"/>
      <c r="BSZ26" s="4"/>
      <c r="BTA26" s="28"/>
      <c r="BTB26" s="28"/>
      <c r="BTC26" s="4"/>
      <c r="BTD26" s="4"/>
      <c r="BTE26" s="4"/>
      <c r="BTF26" s="4"/>
      <c r="BTG26" s="4"/>
      <c r="BTH26" s="4"/>
      <c r="BTI26" s="4"/>
      <c r="BTJ26" s="4"/>
      <c r="BTK26" s="4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4"/>
      <c r="BTX26" s="4"/>
      <c r="BTY26" s="4"/>
      <c r="BTZ26" s="5"/>
      <c r="BUA26" s="4"/>
      <c r="BUB26" s="28"/>
      <c r="BUC26" s="28"/>
      <c r="BUD26" s="4"/>
      <c r="BUE26" s="4"/>
      <c r="BUF26" s="4"/>
      <c r="BUG26" s="4"/>
      <c r="BUH26" s="4"/>
      <c r="BUI26" s="4"/>
      <c r="BUJ26" s="4"/>
      <c r="BUK26" s="4"/>
      <c r="BUL26" s="4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4"/>
      <c r="BUY26" s="4"/>
      <c r="BUZ26" s="4"/>
      <c r="BVA26" s="5"/>
      <c r="BVB26" s="4"/>
      <c r="BVC26" s="28"/>
      <c r="BVD26" s="28"/>
      <c r="BVE26" s="4"/>
      <c r="BVF26" s="4"/>
      <c r="BVG26" s="4"/>
      <c r="BVH26" s="4"/>
      <c r="BVI26" s="4"/>
      <c r="BVJ26" s="4"/>
      <c r="BVK26" s="4"/>
      <c r="BVL26" s="4"/>
      <c r="BVM26" s="4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4"/>
      <c r="BVZ26" s="4"/>
      <c r="BWA26" s="4"/>
      <c r="BWB26" s="5"/>
      <c r="BWC26" s="4"/>
      <c r="BWD26" s="28"/>
      <c r="BWE26" s="28"/>
      <c r="BWF26" s="4"/>
      <c r="BWG26" s="4"/>
      <c r="BWH26" s="4"/>
      <c r="BWI26" s="4"/>
      <c r="BWJ26" s="4"/>
      <c r="BWK26" s="4"/>
      <c r="BWL26" s="4"/>
      <c r="BWM26" s="4"/>
      <c r="BWN26" s="4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4"/>
      <c r="BXA26" s="4"/>
      <c r="BXB26" s="4"/>
      <c r="BXC26" s="5"/>
      <c r="BXD26" s="4"/>
      <c r="BXE26" s="28"/>
      <c r="BXF26" s="28"/>
      <c r="BXG26" s="4"/>
      <c r="BXH26" s="4"/>
      <c r="BXI26" s="4"/>
      <c r="BXJ26" s="4"/>
      <c r="BXK26" s="4"/>
      <c r="BXL26" s="4"/>
      <c r="BXM26" s="4"/>
      <c r="BXN26" s="4"/>
      <c r="BXO26" s="4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4"/>
      <c r="BYB26" s="4"/>
      <c r="BYC26" s="4"/>
      <c r="BYD26" s="5"/>
      <c r="BYE26" s="4"/>
      <c r="BYF26" s="28"/>
      <c r="BYG26" s="28"/>
      <c r="BYH26" s="4"/>
      <c r="BYI26" s="4"/>
      <c r="BYJ26" s="4"/>
      <c r="BYK26" s="4"/>
      <c r="BYL26" s="4"/>
      <c r="BYM26" s="4"/>
      <c r="BYN26" s="4"/>
      <c r="BYO26" s="4"/>
      <c r="BYP26" s="4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4"/>
      <c r="BZC26" s="4"/>
      <c r="BZD26" s="4"/>
      <c r="BZE26" s="5"/>
      <c r="BZF26" s="4"/>
      <c r="BZG26" s="28"/>
      <c r="BZH26" s="28"/>
      <c r="BZI26" s="4"/>
      <c r="BZJ26" s="4"/>
      <c r="BZK26" s="4"/>
      <c r="BZL26" s="4"/>
      <c r="BZM26" s="4"/>
      <c r="BZN26" s="4"/>
      <c r="BZO26" s="4"/>
      <c r="BZP26" s="4"/>
      <c r="BZQ26" s="4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4"/>
      <c r="CAD26" s="4"/>
      <c r="CAE26" s="4"/>
      <c r="CAF26" s="5"/>
      <c r="CAG26" s="4"/>
      <c r="CAH26" s="28"/>
      <c r="CAI26" s="28"/>
      <c r="CAJ26" s="4"/>
      <c r="CAK26" s="4"/>
      <c r="CAL26" s="4"/>
      <c r="CAM26" s="4"/>
      <c r="CAN26" s="4"/>
      <c r="CAO26" s="4"/>
      <c r="CAP26" s="4"/>
      <c r="CAQ26" s="4"/>
      <c r="CAR26" s="4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4"/>
      <c r="CBE26" s="4"/>
      <c r="CBF26" s="4"/>
      <c r="CBG26" s="5"/>
      <c r="CBH26" s="4"/>
      <c r="CBI26" s="28"/>
      <c r="CBJ26" s="28"/>
      <c r="CBK26" s="4"/>
      <c r="CBL26" s="4"/>
      <c r="CBM26" s="4"/>
      <c r="CBN26" s="4"/>
      <c r="CBO26" s="4"/>
      <c r="CBP26" s="4"/>
      <c r="CBQ26" s="4"/>
      <c r="CBR26" s="4"/>
      <c r="CBS26" s="4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4"/>
      <c r="CCF26" s="4"/>
      <c r="CCG26" s="4"/>
      <c r="CCH26" s="5"/>
      <c r="CCI26" s="4"/>
      <c r="CCJ26" s="28"/>
      <c r="CCK26" s="28"/>
      <c r="CCL26" s="4"/>
      <c r="CCM26" s="4"/>
      <c r="CCN26" s="4"/>
      <c r="CCO26" s="4"/>
      <c r="CCP26" s="4"/>
      <c r="CCQ26" s="4"/>
      <c r="CCR26" s="4"/>
      <c r="CCS26" s="4"/>
      <c r="CCT26" s="4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4"/>
      <c r="CDG26" s="4"/>
      <c r="CDH26" s="4"/>
      <c r="CDI26" s="5"/>
      <c r="CDJ26" s="4"/>
      <c r="CDK26" s="28"/>
      <c r="CDL26" s="28"/>
      <c r="CDM26" s="4"/>
      <c r="CDN26" s="4"/>
      <c r="CDO26" s="4"/>
      <c r="CDP26" s="4"/>
      <c r="CDQ26" s="4"/>
      <c r="CDR26" s="4"/>
      <c r="CDS26" s="4"/>
      <c r="CDT26" s="4"/>
      <c r="CDU26" s="4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4"/>
      <c r="CEH26" s="4"/>
      <c r="CEI26" s="4"/>
      <c r="CEJ26" s="5"/>
      <c r="CEK26" s="4"/>
      <c r="CEL26" s="28"/>
      <c r="CEM26" s="28"/>
      <c r="CEN26" s="4"/>
      <c r="CEO26" s="4"/>
      <c r="CEP26" s="4"/>
      <c r="CEQ26" s="4"/>
      <c r="CER26" s="4"/>
      <c r="CES26" s="4"/>
      <c r="CET26" s="4"/>
      <c r="CEU26" s="4"/>
      <c r="CEV26" s="4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4"/>
      <c r="CFI26" s="4"/>
      <c r="CFJ26" s="4"/>
      <c r="CFK26" s="5"/>
      <c r="CFL26" s="4"/>
      <c r="CFM26" s="28"/>
      <c r="CFN26" s="28"/>
      <c r="CFO26" s="4"/>
      <c r="CFP26" s="4"/>
      <c r="CFQ26" s="4"/>
      <c r="CFR26" s="4"/>
      <c r="CFS26" s="4"/>
      <c r="CFT26" s="4"/>
      <c r="CFU26" s="4"/>
      <c r="CFV26" s="4"/>
      <c r="CFW26" s="4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4"/>
      <c r="CGJ26" s="4"/>
      <c r="CGK26" s="4"/>
      <c r="CGL26" s="5"/>
      <c r="CGM26" s="4"/>
      <c r="CGN26" s="28"/>
      <c r="CGO26" s="28"/>
      <c r="CGP26" s="4"/>
      <c r="CGQ26" s="4"/>
      <c r="CGR26" s="4"/>
      <c r="CGS26" s="4"/>
      <c r="CGT26" s="4"/>
      <c r="CGU26" s="4"/>
      <c r="CGV26" s="4"/>
      <c r="CGW26" s="4"/>
      <c r="CGX26" s="4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4"/>
      <c r="CHK26" s="4"/>
      <c r="CHL26" s="4"/>
      <c r="CHM26" s="5"/>
      <c r="CHN26" s="4"/>
      <c r="CHO26" s="28"/>
      <c r="CHP26" s="28"/>
      <c r="CHQ26" s="4"/>
      <c r="CHR26" s="4"/>
      <c r="CHS26" s="4"/>
      <c r="CHT26" s="4"/>
      <c r="CHU26" s="4"/>
      <c r="CHV26" s="4"/>
      <c r="CHW26" s="4"/>
      <c r="CHX26" s="4"/>
      <c r="CHY26" s="4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4"/>
      <c r="CIL26" s="4"/>
      <c r="CIM26" s="4"/>
      <c r="CIN26" s="5"/>
      <c r="CIO26" s="4"/>
      <c r="CIP26" s="28"/>
      <c r="CIQ26" s="28"/>
      <c r="CIR26" s="4"/>
      <c r="CIS26" s="4"/>
      <c r="CIT26" s="4"/>
      <c r="CIU26" s="4"/>
      <c r="CIV26" s="4"/>
      <c r="CIW26" s="4"/>
      <c r="CIX26" s="4"/>
      <c r="CIY26" s="4"/>
      <c r="CIZ26" s="4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4"/>
      <c r="CJM26" s="4"/>
      <c r="CJN26" s="4"/>
      <c r="CJO26" s="5"/>
      <c r="CJP26" s="4"/>
      <c r="CJQ26" s="28"/>
      <c r="CJR26" s="28"/>
      <c r="CJS26" s="4"/>
      <c r="CJT26" s="4"/>
      <c r="CJU26" s="4"/>
      <c r="CJV26" s="4"/>
      <c r="CJW26" s="4"/>
      <c r="CJX26" s="4"/>
      <c r="CJY26" s="4"/>
      <c r="CJZ26" s="4"/>
      <c r="CKA26" s="4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4"/>
      <c r="CKN26" s="4"/>
      <c r="CKO26" s="4"/>
      <c r="CKP26" s="5"/>
      <c r="CKQ26" s="4"/>
      <c r="CKR26" s="28"/>
      <c r="CKS26" s="28"/>
      <c r="CKT26" s="4"/>
      <c r="CKU26" s="4"/>
      <c r="CKV26" s="4"/>
      <c r="CKW26" s="4"/>
      <c r="CKX26" s="4"/>
      <c r="CKY26" s="4"/>
      <c r="CKZ26" s="4"/>
      <c r="CLA26" s="4"/>
      <c r="CLB26" s="4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4"/>
      <c r="CLO26" s="4"/>
      <c r="CLP26" s="4"/>
      <c r="CLQ26" s="5"/>
      <c r="CLR26" s="4"/>
      <c r="CLS26" s="28"/>
      <c r="CLT26" s="28"/>
      <c r="CLU26" s="4"/>
      <c r="CLV26" s="4"/>
      <c r="CLW26" s="4"/>
      <c r="CLX26" s="4"/>
      <c r="CLY26" s="4"/>
      <c r="CLZ26" s="4"/>
      <c r="CMA26" s="4"/>
      <c r="CMB26" s="4"/>
      <c r="CMC26" s="4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4"/>
      <c r="CMP26" s="4"/>
      <c r="CMQ26" s="4"/>
      <c r="CMR26" s="5"/>
      <c r="CMS26" s="4"/>
      <c r="CMT26" s="28"/>
      <c r="CMU26" s="28"/>
      <c r="CMV26" s="4"/>
      <c r="CMW26" s="4"/>
      <c r="CMX26" s="4"/>
      <c r="CMY26" s="4"/>
      <c r="CMZ26" s="4"/>
      <c r="CNA26" s="4"/>
      <c r="CNB26" s="4"/>
      <c r="CNC26" s="4"/>
      <c r="CND26" s="4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4"/>
      <c r="CNQ26" s="4"/>
      <c r="CNR26" s="4"/>
      <c r="CNS26" s="5"/>
      <c r="CNT26" s="4"/>
      <c r="CNU26" s="28"/>
      <c r="CNV26" s="28"/>
      <c r="CNW26" s="4"/>
      <c r="CNX26" s="4"/>
      <c r="CNY26" s="4"/>
      <c r="CNZ26" s="4"/>
      <c r="COA26" s="4"/>
      <c r="COB26" s="4"/>
      <c r="COC26" s="4"/>
      <c r="COD26" s="4"/>
      <c r="COE26" s="4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4"/>
      <c r="COR26" s="4"/>
      <c r="COS26" s="4"/>
      <c r="COT26" s="5"/>
      <c r="COU26" s="4"/>
      <c r="COV26" s="28"/>
      <c r="COW26" s="28"/>
      <c r="COX26" s="4"/>
      <c r="COY26" s="4"/>
      <c r="COZ26" s="4"/>
      <c r="CPA26" s="4"/>
      <c r="CPB26" s="4"/>
      <c r="CPC26" s="4"/>
      <c r="CPD26" s="4"/>
      <c r="CPE26" s="4"/>
      <c r="CPF26" s="4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4"/>
      <c r="CPS26" s="4"/>
      <c r="CPT26" s="4"/>
      <c r="CPU26" s="5"/>
      <c r="CPV26" s="4"/>
      <c r="CPW26" s="28"/>
      <c r="CPX26" s="28"/>
      <c r="CPY26" s="4"/>
      <c r="CPZ26" s="4"/>
      <c r="CQA26" s="4"/>
      <c r="CQB26" s="4"/>
      <c r="CQC26" s="4"/>
      <c r="CQD26" s="4"/>
      <c r="CQE26" s="4"/>
      <c r="CQF26" s="4"/>
      <c r="CQG26" s="4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4"/>
      <c r="CQT26" s="4"/>
      <c r="CQU26" s="4"/>
      <c r="CQV26" s="5"/>
      <c r="CQW26" s="4"/>
      <c r="CQX26" s="28"/>
      <c r="CQY26" s="28"/>
      <c r="CQZ26" s="4"/>
      <c r="CRA26" s="4"/>
      <c r="CRB26" s="4"/>
      <c r="CRC26" s="4"/>
      <c r="CRD26" s="4"/>
      <c r="CRE26" s="4"/>
      <c r="CRF26" s="4"/>
      <c r="CRG26" s="4"/>
      <c r="CRH26" s="4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4"/>
      <c r="CRU26" s="4"/>
      <c r="CRV26" s="4"/>
      <c r="CRW26" s="5"/>
      <c r="CRX26" s="4"/>
      <c r="CRY26" s="28"/>
      <c r="CRZ26" s="28"/>
      <c r="CSA26" s="4"/>
      <c r="CSB26" s="4"/>
      <c r="CSC26" s="4"/>
      <c r="CSD26" s="4"/>
      <c r="CSE26" s="4"/>
      <c r="CSF26" s="4"/>
      <c r="CSG26" s="4"/>
      <c r="CSH26" s="4"/>
      <c r="CSI26" s="4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4"/>
      <c r="CSV26" s="4"/>
      <c r="CSW26" s="4"/>
      <c r="CSX26" s="5"/>
      <c r="CSY26" s="4"/>
      <c r="CSZ26" s="28"/>
      <c r="CTA26" s="28"/>
      <c r="CTB26" s="4"/>
      <c r="CTC26" s="4"/>
      <c r="CTD26" s="4"/>
      <c r="CTE26" s="4"/>
      <c r="CTF26" s="4"/>
      <c r="CTG26" s="4"/>
      <c r="CTH26" s="4"/>
      <c r="CTI26" s="4"/>
      <c r="CTJ26" s="4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4"/>
      <c r="CTW26" s="4"/>
      <c r="CTX26" s="4"/>
      <c r="CTY26" s="5"/>
      <c r="CTZ26" s="4"/>
      <c r="CUA26" s="28"/>
      <c r="CUB26" s="28"/>
      <c r="CUC26" s="4"/>
      <c r="CUD26" s="4"/>
      <c r="CUE26" s="4"/>
      <c r="CUF26" s="4"/>
      <c r="CUG26" s="4"/>
      <c r="CUH26" s="4"/>
      <c r="CUI26" s="4"/>
      <c r="CUJ26" s="4"/>
      <c r="CUK26" s="4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4"/>
      <c r="CUX26" s="4"/>
      <c r="CUY26" s="4"/>
      <c r="CUZ26" s="5"/>
      <c r="CVA26" s="4"/>
      <c r="CVB26" s="28"/>
      <c r="CVC26" s="28"/>
      <c r="CVD26" s="4"/>
      <c r="CVE26" s="4"/>
      <c r="CVF26" s="4"/>
      <c r="CVG26" s="4"/>
      <c r="CVH26" s="4"/>
      <c r="CVI26" s="4"/>
      <c r="CVJ26" s="4"/>
      <c r="CVK26" s="4"/>
      <c r="CVL26" s="4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4"/>
      <c r="CVY26" s="4"/>
      <c r="CVZ26" s="4"/>
      <c r="CWA26" s="5"/>
      <c r="CWB26" s="4"/>
      <c r="CWC26" s="28"/>
      <c r="CWD26" s="28"/>
      <c r="CWE26" s="4"/>
      <c r="CWF26" s="4"/>
      <c r="CWG26" s="4"/>
      <c r="CWH26" s="4"/>
      <c r="CWI26" s="4"/>
      <c r="CWJ26" s="4"/>
      <c r="CWK26" s="4"/>
      <c r="CWL26" s="4"/>
      <c r="CWM26" s="4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4"/>
      <c r="CWZ26" s="4"/>
      <c r="CXA26" s="4"/>
      <c r="CXB26" s="5"/>
      <c r="CXC26" s="4"/>
      <c r="CXD26" s="28"/>
      <c r="CXE26" s="28"/>
      <c r="CXF26" s="4"/>
      <c r="CXG26" s="4"/>
      <c r="CXH26" s="4"/>
      <c r="CXI26" s="4"/>
      <c r="CXJ26" s="4"/>
      <c r="CXK26" s="4"/>
      <c r="CXL26" s="4"/>
      <c r="CXM26" s="4"/>
      <c r="CXN26" s="4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4"/>
      <c r="CYA26" s="4"/>
      <c r="CYB26" s="4"/>
      <c r="CYC26" s="5"/>
      <c r="CYD26" s="4"/>
      <c r="CYE26" s="28"/>
      <c r="CYF26" s="28"/>
      <c r="CYG26" s="4"/>
      <c r="CYH26" s="4"/>
      <c r="CYI26" s="4"/>
      <c r="CYJ26" s="4"/>
      <c r="CYK26" s="4"/>
      <c r="CYL26" s="4"/>
      <c r="CYM26" s="4"/>
      <c r="CYN26" s="4"/>
      <c r="CYO26" s="4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4"/>
      <c r="CZB26" s="4"/>
      <c r="CZC26" s="4"/>
      <c r="CZD26" s="5"/>
      <c r="CZE26" s="4"/>
      <c r="CZF26" s="28"/>
      <c r="CZG26" s="28"/>
      <c r="CZH26" s="4"/>
      <c r="CZI26" s="4"/>
      <c r="CZJ26" s="4"/>
      <c r="CZK26" s="4"/>
      <c r="CZL26" s="4"/>
      <c r="CZM26" s="4"/>
      <c r="CZN26" s="4"/>
      <c r="CZO26" s="4"/>
      <c r="CZP26" s="4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4"/>
      <c r="DAC26" s="4"/>
      <c r="DAD26" s="4"/>
      <c r="DAE26" s="5"/>
      <c r="DAF26" s="4"/>
      <c r="DAG26" s="28"/>
      <c r="DAH26" s="28"/>
      <c r="DAI26" s="4"/>
      <c r="DAJ26" s="4"/>
      <c r="DAK26" s="4"/>
      <c r="DAL26" s="4"/>
      <c r="DAM26" s="4"/>
      <c r="DAN26" s="4"/>
      <c r="DAO26" s="4"/>
      <c r="DAP26" s="4"/>
      <c r="DAQ26" s="4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4"/>
      <c r="DBD26" s="4"/>
      <c r="DBE26" s="4"/>
      <c r="DBF26" s="5"/>
      <c r="DBG26" s="4"/>
      <c r="DBH26" s="28"/>
      <c r="DBI26" s="28"/>
      <c r="DBJ26" s="4"/>
      <c r="DBK26" s="4"/>
      <c r="DBL26" s="4"/>
      <c r="DBM26" s="4"/>
      <c r="DBN26" s="4"/>
      <c r="DBO26" s="4"/>
      <c r="DBP26" s="4"/>
      <c r="DBQ26" s="4"/>
      <c r="DBR26" s="4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4"/>
      <c r="DCE26" s="4"/>
      <c r="DCF26" s="4"/>
      <c r="DCG26" s="5"/>
      <c r="DCH26" s="4"/>
      <c r="DCI26" s="28"/>
      <c r="DCJ26" s="28"/>
      <c r="DCK26" s="4"/>
      <c r="DCL26" s="4"/>
      <c r="DCM26" s="4"/>
      <c r="DCN26" s="4"/>
      <c r="DCO26" s="4"/>
      <c r="DCP26" s="4"/>
      <c r="DCQ26" s="4"/>
      <c r="DCR26" s="4"/>
      <c r="DCS26" s="4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4"/>
      <c r="DDF26" s="4"/>
      <c r="DDG26" s="4"/>
      <c r="DDH26" s="5"/>
      <c r="DDI26" s="4"/>
      <c r="DDJ26" s="28"/>
      <c r="DDK26" s="28"/>
      <c r="DDL26" s="4"/>
      <c r="DDM26" s="4"/>
      <c r="DDN26" s="4"/>
      <c r="DDO26" s="4"/>
      <c r="DDP26" s="4"/>
      <c r="DDQ26" s="4"/>
      <c r="DDR26" s="4"/>
      <c r="DDS26" s="4"/>
      <c r="DDT26" s="4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4"/>
      <c r="DEG26" s="4"/>
      <c r="DEH26" s="4"/>
      <c r="DEI26" s="5"/>
      <c r="DEJ26" s="4"/>
      <c r="DEK26" s="28"/>
      <c r="DEL26" s="28"/>
      <c r="DEM26" s="4"/>
      <c r="DEN26" s="4"/>
      <c r="DEO26" s="4"/>
      <c r="DEP26" s="4"/>
      <c r="DEQ26" s="4"/>
      <c r="DER26" s="4"/>
      <c r="DES26" s="4"/>
      <c r="DET26" s="4"/>
      <c r="DEU26" s="4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4"/>
      <c r="DFH26" s="4"/>
      <c r="DFI26" s="4"/>
      <c r="DFJ26" s="5"/>
      <c r="DFK26" s="4"/>
      <c r="DFL26" s="28"/>
      <c r="DFM26" s="28"/>
      <c r="DFN26" s="4"/>
      <c r="DFO26" s="4"/>
      <c r="DFP26" s="4"/>
      <c r="DFQ26" s="4"/>
      <c r="DFR26" s="4"/>
      <c r="DFS26" s="4"/>
      <c r="DFT26" s="4"/>
      <c r="DFU26" s="4"/>
      <c r="DFV26" s="4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4"/>
      <c r="DGI26" s="4"/>
      <c r="DGJ26" s="4"/>
      <c r="DGK26" s="5"/>
      <c r="DGL26" s="4"/>
      <c r="DGM26" s="28"/>
      <c r="DGN26" s="28"/>
      <c r="DGO26" s="4"/>
      <c r="DGP26" s="4"/>
      <c r="DGQ26" s="4"/>
      <c r="DGR26" s="4"/>
      <c r="DGS26" s="4"/>
      <c r="DGT26" s="4"/>
      <c r="DGU26" s="4"/>
      <c r="DGV26" s="4"/>
      <c r="DGW26" s="4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4"/>
      <c r="DHJ26" s="4"/>
      <c r="DHK26" s="4"/>
      <c r="DHL26" s="5"/>
      <c r="DHM26" s="4"/>
      <c r="DHN26" s="28"/>
      <c r="DHO26" s="28"/>
      <c r="DHP26" s="4"/>
      <c r="DHQ26" s="4"/>
      <c r="DHR26" s="4"/>
      <c r="DHS26" s="4"/>
      <c r="DHT26" s="4"/>
      <c r="DHU26" s="4"/>
      <c r="DHV26" s="4"/>
      <c r="DHW26" s="4"/>
      <c r="DHX26" s="4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4"/>
      <c r="DIK26" s="4"/>
      <c r="DIL26" s="4"/>
      <c r="DIM26" s="5"/>
      <c r="DIN26" s="4"/>
      <c r="DIO26" s="28"/>
      <c r="DIP26" s="28"/>
      <c r="DIQ26" s="4"/>
      <c r="DIR26" s="4"/>
      <c r="DIS26" s="4"/>
      <c r="DIT26" s="4"/>
      <c r="DIU26" s="4"/>
      <c r="DIV26" s="4"/>
      <c r="DIW26" s="4"/>
      <c r="DIX26" s="4"/>
      <c r="DIY26" s="4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4"/>
      <c r="DJL26" s="4"/>
      <c r="DJM26" s="4"/>
      <c r="DJN26" s="5"/>
      <c r="DJO26" s="4"/>
      <c r="DJP26" s="28"/>
      <c r="DJQ26" s="28"/>
      <c r="DJR26" s="4"/>
      <c r="DJS26" s="4"/>
      <c r="DJT26" s="4"/>
      <c r="DJU26" s="4"/>
      <c r="DJV26" s="4"/>
      <c r="DJW26" s="4"/>
      <c r="DJX26" s="4"/>
      <c r="DJY26" s="4"/>
      <c r="DJZ26" s="4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4"/>
      <c r="DKM26" s="4"/>
      <c r="DKN26" s="4"/>
      <c r="DKO26" s="5"/>
      <c r="DKP26" s="4"/>
      <c r="DKQ26" s="28"/>
      <c r="DKR26" s="28"/>
      <c r="DKS26" s="4"/>
      <c r="DKT26" s="4"/>
      <c r="DKU26" s="4"/>
      <c r="DKV26" s="4"/>
      <c r="DKW26" s="4"/>
      <c r="DKX26" s="4"/>
      <c r="DKY26" s="4"/>
      <c r="DKZ26" s="4"/>
      <c r="DLA26" s="4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4"/>
      <c r="DLN26" s="4"/>
      <c r="DLO26" s="4"/>
      <c r="DLP26" s="5"/>
      <c r="DLQ26" s="4"/>
      <c r="DLR26" s="28"/>
      <c r="DLS26" s="28"/>
      <c r="DLT26" s="4"/>
      <c r="DLU26" s="4"/>
      <c r="DLV26" s="4"/>
      <c r="DLW26" s="4"/>
      <c r="DLX26" s="4"/>
      <c r="DLY26" s="4"/>
      <c r="DLZ26" s="4"/>
      <c r="DMA26" s="4"/>
      <c r="DMB26" s="4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4"/>
      <c r="DMO26" s="4"/>
      <c r="DMP26" s="4"/>
      <c r="DMQ26" s="5"/>
      <c r="DMR26" s="4"/>
      <c r="DMS26" s="28"/>
      <c r="DMT26" s="28"/>
      <c r="DMU26" s="4"/>
      <c r="DMV26" s="4"/>
      <c r="DMW26" s="4"/>
      <c r="DMX26" s="4"/>
      <c r="DMY26" s="4"/>
      <c r="DMZ26" s="4"/>
      <c r="DNA26" s="4"/>
      <c r="DNB26" s="4"/>
      <c r="DNC26" s="4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4"/>
      <c r="DNP26" s="4"/>
      <c r="DNQ26" s="4"/>
      <c r="DNR26" s="5"/>
      <c r="DNS26" s="4"/>
      <c r="DNT26" s="28"/>
      <c r="DNU26" s="28"/>
      <c r="DNV26" s="4"/>
      <c r="DNW26" s="4"/>
      <c r="DNX26" s="4"/>
      <c r="DNY26" s="4"/>
      <c r="DNZ26" s="4"/>
      <c r="DOA26" s="4"/>
      <c r="DOB26" s="4"/>
      <c r="DOC26" s="4"/>
      <c r="DOD26" s="4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4"/>
      <c r="DOQ26" s="4"/>
      <c r="DOR26" s="4"/>
      <c r="DOS26" s="5"/>
      <c r="DOT26" s="4"/>
      <c r="DOU26" s="28"/>
      <c r="DOV26" s="28"/>
      <c r="DOW26" s="4"/>
      <c r="DOX26" s="4"/>
      <c r="DOY26" s="4"/>
      <c r="DOZ26" s="4"/>
      <c r="DPA26" s="4"/>
      <c r="DPB26" s="4"/>
      <c r="DPC26" s="4"/>
      <c r="DPD26" s="4"/>
      <c r="DPE26" s="4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4"/>
      <c r="DPR26" s="4"/>
      <c r="DPS26" s="4"/>
      <c r="DPT26" s="5"/>
      <c r="DPU26" s="4"/>
      <c r="DPV26" s="28"/>
      <c r="DPW26" s="28"/>
      <c r="DPX26" s="4"/>
      <c r="DPY26" s="4"/>
      <c r="DPZ26" s="4"/>
      <c r="DQA26" s="4"/>
      <c r="DQB26" s="4"/>
      <c r="DQC26" s="4"/>
      <c r="DQD26" s="4"/>
      <c r="DQE26" s="4"/>
      <c r="DQF26" s="4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4"/>
      <c r="DQS26" s="4"/>
      <c r="DQT26" s="4"/>
      <c r="DQU26" s="5"/>
      <c r="DQV26" s="4"/>
      <c r="DQW26" s="28"/>
      <c r="DQX26" s="28"/>
      <c r="DQY26" s="4"/>
      <c r="DQZ26" s="4"/>
      <c r="DRA26" s="4"/>
      <c r="DRB26" s="4"/>
      <c r="DRC26" s="4"/>
      <c r="DRD26" s="4"/>
      <c r="DRE26" s="4"/>
      <c r="DRF26" s="4"/>
      <c r="DRG26" s="4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4"/>
      <c r="DRT26" s="4"/>
      <c r="DRU26" s="4"/>
      <c r="DRV26" s="5"/>
      <c r="DRW26" s="4"/>
      <c r="DRX26" s="28"/>
      <c r="DRY26" s="28"/>
      <c r="DRZ26" s="4"/>
      <c r="DSA26" s="4"/>
      <c r="DSB26" s="4"/>
      <c r="DSC26" s="4"/>
      <c r="DSD26" s="4"/>
      <c r="DSE26" s="4"/>
      <c r="DSF26" s="4"/>
      <c r="DSG26" s="4"/>
      <c r="DSH26" s="4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4"/>
      <c r="DSU26" s="4"/>
      <c r="DSV26" s="4"/>
      <c r="DSW26" s="5"/>
      <c r="DSX26" s="4"/>
      <c r="DSY26" s="28"/>
      <c r="DSZ26" s="28"/>
      <c r="DTA26" s="4"/>
      <c r="DTB26" s="4"/>
      <c r="DTC26" s="4"/>
      <c r="DTD26" s="4"/>
      <c r="DTE26" s="4"/>
      <c r="DTF26" s="4"/>
      <c r="DTG26" s="4"/>
      <c r="DTH26" s="4"/>
      <c r="DTI26" s="4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4"/>
      <c r="DTV26" s="4"/>
      <c r="DTW26" s="4"/>
      <c r="DTX26" s="5"/>
      <c r="DTY26" s="4"/>
      <c r="DTZ26" s="28"/>
      <c r="DUA26" s="28"/>
      <c r="DUB26" s="4"/>
      <c r="DUC26" s="4"/>
      <c r="DUD26" s="4"/>
      <c r="DUE26" s="4"/>
      <c r="DUF26" s="4"/>
      <c r="DUG26" s="4"/>
      <c r="DUH26" s="4"/>
      <c r="DUI26" s="4"/>
      <c r="DUJ26" s="4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4"/>
      <c r="DUW26" s="4"/>
      <c r="DUX26" s="4"/>
      <c r="DUY26" s="5"/>
      <c r="DUZ26" s="4"/>
      <c r="DVA26" s="28"/>
      <c r="DVB26" s="28"/>
      <c r="DVC26" s="4"/>
      <c r="DVD26" s="4"/>
      <c r="DVE26" s="4"/>
      <c r="DVF26" s="4"/>
      <c r="DVG26" s="4"/>
      <c r="DVH26" s="4"/>
      <c r="DVI26" s="4"/>
      <c r="DVJ26" s="4"/>
      <c r="DVK26" s="4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4"/>
      <c r="DVX26" s="4"/>
      <c r="DVY26" s="4"/>
      <c r="DVZ26" s="5"/>
      <c r="DWA26" s="4"/>
      <c r="DWB26" s="28"/>
      <c r="DWC26" s="28"/>
      <c r="DWD26" s="4"/>
      <c r="DWE26" s="4"/>
      <c r="DWF26" s="4"/>
      <c r="DWG26" s="4"/>
      <c r="DWH26" s="4"/>
      <c r="DWI26" s="4"/>
      <c r="DWJ26" s="4"/>
      <c r="DWK26" s="4"/>
      <c r="DWL26" s="4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4"/>
      <c r="DWY26" s="4"/>
      <c r="DWZ26" s="4"/>
      <c r="DXA26" s="5"/>
      <c r="DXB26" s="4"/>
      <c r="DXC26" s="28"/>
      <c r="DXD26" s="28"/>
      <c r="DXE26" s="4"/>
      <c r="DXF26" s="4"/>
      <c r="DXG26" s="4"/>
      <c r="DXH26" s="4"/>
      <c r="DXI26" s="4"/>
      <c r="DXJ26" s="4"/>
      <c r="DXK26" s="4"/>
      <c r="DXL26" s="4"/>
      <c r="DXM26" s="4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4"/>
      <c r="DXZ26" s="4"/>
      <c r="DYA26" s="4"/>
      <c r="DYB26" s="5"/>
      <c r="DYC26" s="4"/>
      <c r="DYD26" s="28"/>
      <c r="DYE26" s="28"/>
      <c r="DYF26" s="4"/>
      <c r="DYG26" s="4"/>
      <c r="DYH26" s="4"/>
      <c r="DYI26" s="4"/>
      <c r="DYJ26" s="4"/>
      <c r="DYK26" s="4"/>
      <c r="DYL26" s="4"/>
      <c r="DYM26" s="4"/>
      <c r="DYN26" s="4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4"/>
      <c r="DZA26" s="4"/>
      <c r="DZB26" s="4"/>
      <c r="DZC26" s="5"/>
      <c r="DZD26" s="4"/>
      <c r="DZE26" s="28"/>
      <c r="DZF26" s="28"/>
      <c r="DZG26" s="4"/>
      <c r="DZH26" s="4"/>
      <c r="DZI26" s="4"/>
      <c r="DZJ26" s="4"/>
      <c r="DZK26" s="4"/>
      <c r="DZL26" s="4"/>
      <c r="DZM26" s="4"/>
      <c r="DZN26" s="4"/>
      <c r="DZO26" s="4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4"/>
      <c r="EAB26" s="4"/>
      <c r="EAC26" s="4"/>
      <c r="EAD26" s="5"/>
      <c r="EAE26" s="4"/>
      <c r="EAF26" s="28"/>
      <c r="EAG26" s="28"/>
      <c r="EAH26" s="4"/>
      <c r="EAI26" s="4"/>
      <c r="EAJ26" s="4"/>
      <c r="EAK26" s="4"/>
      <c r="EAL26" s="4"/>
      <c r="EAM26" s="4"/>
      <c r="EAN26" s="4"/>
      <c r="EAO26" s="4"/>
      <c r="EAP26" s="4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4"/>
      <c r="EBC26" s="4"/>
      <c r="EBD26" s="4"/>
      <c r="EBE26" s="5"/>
      <c r="EBF26" s="4"/>
      <c r="EBG26" s="28"/>
      <c r="EBH26" s="28"/>
      <c r="EBI26" s="4"/>
      <c r="EBJ26" s="4"/>
      <c r="EBK26" s="4"/>
      <c r="EBL26" s="4"/>
      <c r="EBM26" s="4"/>
      <c r="EBN26" s="4"/>
      <c r="EBO26" s="4"/>
      <c r="EBP26" s="4"/>
      <c r="EBQ26" s="4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4"/>
      <c r="ECD26" s="4"/>
      <c r="ECE26" s="4"/>
      <c r="ECF26" s="5"/>
      <c r="ECG26" s="4"/>
      <c r="ECH26" s="28"/>
      <c r="ECI26" s="28"/>
      <c r="ECJ26" s="4"/>
      <c r="ECK26" s="4"/>
      <c r="ECL26" s="4"/>
      <c r="ECM26" s="4"/>
      <c r="ECN26" s="4"/>
      <c r="ECO26" s="4"/>
      <c r="ECP26" s="4"/>
      <c r="ECQ26" s="4"/>
      <c r="ECR26" s="4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4"/>
      <c r="EDE26" s="4"/>
      <c r="EDF26" s="4"/>
      <c r="EDG26" s="5"/>
      <c r="EDH26" s="4"/>
      <c r="EDI26" s="28"/>
      <c r="EDJ26" s="28"/>
      <c r="EDK26" s="4"/>
      <c r="EDL26" s="4"/>
      <c r="EDM26" s="4"/>
      <c r="EDN26" s="4"/>
      <c r="EDO26" s="4"/>
      <c r="EDP26" s="4"/>
      <c r="EDQ26" s="4"/>
      <c r="EDR26" s="4"/>
      <c r="EDS26" s="4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4"/>
      <c r="EEF26" s="4"/>
      <c r="EEG26" s="4"/>
      <c r="EEH26" s="5"/>
      <c r="EEI26" s="4"/>
      <c r="EEJ26" s="28"/>
      <c r="EEK26" s="28"/>
      <c r="EEL26" s="4"/>
      <c r="EEM26" s="4"/>
      <c r="EEN26" s="4"/>
      <c r="EEO26" s="4"/>
      <c r="EEP26" s="4"/>
      <c r="EEQ26" s="4"/>
      <c r="EER26" s="4"/>
      <c r="EES26" s="4"/>
      <c r="EET26" s="4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4"/>
      <c r="EFG26" s="4"/>
      <c r="EFH26" s="4"/>
      <c r="EFI26" s="5"/>
      <c r="EFJ26" s="4"/>
      <c r="EFK26" s="28"/>
      <c r="EFL26" s="28"/>
      <c r="EFM26" s="4"/>
      <c r="EFN26" s="4"/>
      <c r="EFO26" s="4"/>
      <c r="EFP26" s="4"/>
      <c r="EFQ26" s="4"/>
      <c r="EFR26" s="4"/>
      <c r="EFS26" s="4"/>
      <c r="EFT26" s="4"/>
      <c r="EFU26" s="4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4"/>
      <c r="EGH26" s="4"/>
      <c r="EGI26" s="4"/>
      <c r="EGJ26" s="5"/>
      <c r="EGK26" s="4"/>
      <c r="EGL26" s="28"/>
      <c r="EGM26" s="28"/>
      <c r="EGN26" s="4"/>
      <c r="EGO26" s="4"/>
      <c r="EGP26" s="4"/>
      <c r="EGQ26" s="4"/>
      <c r="EGR26" s="4"/>
      <c r="EGS26" s="4"/>
      <c r="EGT26" s="4"/>
      <c r="EGU26" s="4"/>
      <c r="EGV26" s="4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4"/>
      <c r="EHI26" s="4"/>
      <c r="EHJ26" s="4"/>
      <c r="EHK26" s="5"/>
      <c r="EHL26" s="4"/>
      <c r="EHM26" s="28"/>
      <c r="EHN26" s="28"/>
      <c r="EHO26" s="4"/>
      <c r="EHP26" s="4"/>
      <c r="EHQ26" s="4"/>
      <c r="EHR26" s="4"/>
      <c r="EHS26" s="4"/>
      <c r="EHT26" s="4"/>
      <c r="EHU26" s="4"/>
      <c r="EHV26" s="4"/>
      <c r="EHW26" s="4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4"/>
      <c r="EIJ26" s="4"/>
      <c r="EIK26" s="4"/>
      <c r="EIL26" s="5"/>
      <c r="EIM26" s="4"/>
      <c r="EIN26" s="28"/>
      <c r="EIO26" s="28"/>
      <c r="EIP26" s="4"/>
      <c r="EIQ26" s="4"/>
      <c r="EIR26" s="4"/>
      <c r="EIS26" s="4"/>
      <c r="EIT26" s="4"/>
      <c r="EIU26" s="4"/>
      <c r="EIV26" s="4"/>
      <c r="EIW26" s="4"/>
      <c r="EIX26" s="4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4"/>
      <c r="EJK26" s="4"/>
      <c r="EJL26" s="4"/>
      <c r="EJM26" s="5"/>
      <c r="EJN26" s="4"/>
      <c r="EJO26" s="28"/>
      <c r="EJP26" s="28"/>
      <c r="EJQ26" s="4"/>
      <c r="EJR26" s="4"/>
      <c r="EJS26" s="4"/>
      <c r="EJT26" s="4"/>
      <c r="EJU26" s="4"/>
      <c r="EJV26" s="4"/>
      <c r="EJW26" s="4"/>
      <c r="EJX26" s="4"/>
      <c r="EJY26" s="4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4"/>
      <c r="EKL26" s="4"/>
      <c r="EKM26" s="4"/>
      <c r="EKN26" s="5"/>
      <c r="EKO26" s="4"/>
      <c r="EKP26" s="28"/>
      <c r="EKQ26" s="28"/>
      <c r="EKR26" s="4"/>
      <c r="EKS26" s="4"/>
      <c r="EKT26" s="4"/>
      <c r="EKU26" s="4"/>
      <c r="EKV26" s="4"/>
      <c r="EKW26" s="4"/>
      <c r="EKX26" s="4"/>
      <c r="EKY26" s="4"/>
      <c r="EKZ26" s="4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4"/>
      <c r="ELM26" s="4"/>
      <c r="ELN26" s="4"/>
      <c r="ELO26" s="5"/>
      <c r="ELP26" s="4"/>
      <c r="ELQ26" s="28"/>
      <c r="ELR26" s="28"/>
      <c r="ELS26" s="4"/>
      <c r="ELT26" s="4"/>
      <c r="ELU26" s="4"/>
      <c r="ELV26" s="4"/>
      <c r="ELW26" s="4"/>
      <c r="ELX26" s="4"/>
      <c r="ELY26" s="4"/>
      <c r="ELZ26" s="4"/>
      <c r="EMA26" s="4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4"/>
      <c r="EMN26" s="4"/>
      <c r="EMO26" s="4"/>
      <c r="EMP26" s="5"/>
      <c r="EMQ26" s="4"/>
      <c r="EMR26" s="28"/>
      <c r="EMS26" s="28"/>
      <c r="EMT26" s="4"/>
      <c r="EMU26" s="4"/>
      <c r="EMV26" s="4"/>
      <c r="EMW26" s="4"/>
      <c r="EMX26" s="4"/>
      <c r="EMY26" s="4"/>
      <c r="EMZ26" s="4"/>
      <c r="ENA26" s="4"/>
      <c r="ENB26" s="4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4"/>
      <c r="ENO26" s="4"/>
      <c r="ENP26" s="4"/>
      <c r="ENQ26" s="5"/>
      <c r="ENR26" s="4"/>
      <c r="ENS26" s="28"/>
      <c r="ENT26" s="28"/>
      <c r="ENU26" s="4"/>
      <c r="ENV26" s="4"/>
      <c r="ENW26" s="4"/>
      <c r="ENX26" s="4"/>
      <c r="ENY26" s="4"/>
      <c r="ENZ26" s="4"/>
      <c r="EOA26" s="4"/>
      <c r="EOB26" s="4"/>
      <c r="EOC26" s="4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4"/>
      <c r="EOP26" s="4"/>
      <c r="EOQ26" s="4"/>
      <c r="EOR26" s="5"/>
      <c r="EOS26" s="4"/>
      <c r="EOT26" s="28"/>
      <c r="EOU26" s="28"/>
      <c r="EOV26" s="4"/>
      <c r="EOW26" s="4"/>
      <c r="EOX26" s="4"/>
      <c r="EOY26" s="4"/>
      <c r="EOZ26" s="4"/>
      <c r="EPA26" s="4"/>
      <c r="EPB26" s="4"/>
      <c r="EPC26" s="4"/>
      <c r="EPD26" s="4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4"/>
      <c r="EPQ26" s="4"/>
      <c r="EPR26" s="4"/>
      <c r="EPS26" s="5"/>
      <c r="EPT26" s="4"/>
      <c r="EPU26" s="28"/>
      <c r="EPV26" s="28"/>
      <c r="EPW26" s="4"/>
      <c r="EPX26" s="4"/>
      <c r="EPY26" s="4"/>
      <c r="EPZ26" s="4"/>
      <c r="EQA26" s="4"/>
      <c r="EQB26" s="4"/>
      <c r="EQC26" s="4"/>
      <c r="EQD26" s="4"/>
      <c r="EQE26" s="4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4"/>
      <c r="EQR26" s="4"/>
      <c r="EQS26" s="4"/>
      <c r="EQT26" s="5"/>
      <c r="EQU26" s="4"/>
      <c r="EQV26" s="28"/>
      <c r="EQW26" s="28"/>
      <c r="EQX26" s="4"/>
      <c r="EQY26" s="4"/>
      <c r="EQZ26" s="4"/>
      <c r="ERA26" s="4"/>
      <c r="ERB26" s="4"/>
      <c r="ERC26" s="4"/>
      <c r="ERD26" s="4"/>
      <c r="ERE26" s="4"/>
      <c r="ERF26" s="4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4"/>
      <c r="ERS26" s="4"/>
      <c r="ERT26" s="4"/>
      <c r="ERU26" s="5"/>
      <c r="ERV26" s="4"/>
      <c r="ERW26" s="28"/>
      <c r="ERX26" s="28"/>
      <c r="ERY26" s="4"/>
      <c r="ERZ26" s="4"/>
      <c r="ESA26" s="4"/>
      <c r="ESB26" s="4"/>
      <c r="ESC26" s="4"/>
      <c r="ESD26" s="4"/>
      <c r="ESE26" s="4"/>
      <c r="ESF26" s="4"/>
      <c r="ESG26" s="4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4"/>
      <c r="EST26" s="4"/>
      <c r="ESU26" s="4"/>
      <c r="ESV26" s="5"/>
      <c r="ESW26" s="4"/>
      <c r="ESX26" s="28"/>
      <c r="ESY26" s="28"/>
      <c r="ESZ26" s="4"/>
      <c r="ETA26" s="4"/>
      <c r="ETB26" s="4"/>
      <c r="ETC26" s="4"/>
      <c r="ETD26" s="4"/>
      <c r="ETE26" s="4"/>
      <c r="ETF26" s="4"/>
      <c r="ETG26" s="4"/>
      <c r="ETH26" s="4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4"/>
      <c r="ETU26" s="4"/>
      <c r="ETV26" s="4"/>
      <c r="ETW26" s="5"/>
      <c r="ETX26" s="4"/>
      <c r="ETY26" s="28"/>
      <c r="ETZ26" s="28"/>
      <c r="EUA26" s="4"/>
      <c r="EUB26" s="4"/>
      <c r="EUC26" s="4"/>
      <c r="EUD26" s="4"/>
      <c r="EUE26" s="4"/>
      <c r="EUF26" s="4"/>
      <c r="EUG26" s="4"/>
      <c r="EUH26" s="4"/>
      <c r="EUI26" s="4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4"/>
      <c r="EUV26" s="4"/>
      <c r="EUW26" s="4"/>
      <c r="EUX26" s="5"/>
      <c r="EUY26" s="4"/>
      <c r="EUZ26" s="28"/>
      <c r="EVA26" s="28"/>
      <c r="EVB26" s="4"/>
      <c r="EVC26" s="4"/>
      <c r="EVD26" s="4"/>
      <c r="EVE26" s="4"/>
      <c r="EVF26" s="4"/>
      <c r="EVG26" s="4"/>
      <c r="EVH26" s="4"/>
      <c r="EVI26" s="4"/>
      <c r="EVJ26" s="4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4"/>
      <c r="EVW26" s="4"/>
      <c r="EVX26" s="4"/>
      <c r="EVY26" s="5"/>
      <c r="EVZ26" s="4"/>
      <c r="EWA26" s="28"/>
      <c r="EWB26" s="28"/>
      <c r="EWC26" s="4"/>
      <c r="EWD26" s="4"/>
      <c r="EWE26" s="4"/>
      <c r="EWF26" s="4"/>
      <c r="EWG26" s="4"/>
      <c r="EWH26" s="4"/>
      <c r="EWI26" s="4"/>
      <c r="EWJ26" s="4"/>
      <c r="EWK26" s="4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4"/>
      <c r="EWX26" s="4"/>
      <c r="EWY26" s="4"/>
      <c r="EWZ26" s="5"/>
      <c r="EXA26" s="4"/>
      <c r="EXB26" s="28"/>
      <c r="EXC26" s="28"/>
      <c r="EXD26" s="4"/>
      <c r="EXE26" s="4"/>
      <c r="EXF26" s="4"/>
      <c r="EXG26" s="4"/>
      <c r="EXH26" s="4"/>
      <c r="EXI26" s="4"/>
      <c r="EXJ26" s="4"/>
      <c r="EXK26" s="4"/>
      <c r="EXL26" s="4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4"/>
      <c r="EXY26" s="4"/>
      <c r="EXZ26" s="4"/>
      <c r="EYA26" s="5"/>
      <c r="EYB26" s="4"/>
      <c r="EYC26" s="28"/>
      <c r="EYD26" s="28"/>
      <c r="EYE26" s="4"/>
      <c r="EYF26" s="4"/>
      <c r="EYG26" s="4"/>
      <c r="EYH26" s="4"/>
      <c r="EYI26" s="4"/>
      <c r="EYJ26" s="4"/>
      <c r="EYK26" s="4"/>
      <c r="EYL26" s="4"/>
      <c r="EYM26" s="4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4"/>
      <c r="EYZ26" s="4"/>
      <c r="EZA26" s="4"/>
      <c r="EZB26" s="5"/>
      <c r="EZC26" s="4"/>
      <c r="EZD26" s="28"/>
      <c r="EZE26" s="28"/>
      <c r="EZF26" s="4"/>
      <c r="EZG26" s="4"/>
      <c r="EZH26" s="4"/>
      <c r="EZI26" s="4"/>
      <c r="EZJ26" s="4"/>
      <c r="EZK26" s="4"/>
      <c r="EZL26" s="4"/>
      <c r="EZM26" s="4"/>
      <c r="EZN26" s="4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4"/>
      <c r="FAA26" s="4"/>
      <c r="FAB26" s="4"/>
      <c r="FAC26" s="5"/>
      <c r="FAD26" s="4"/>
      <c r="FAE26" s="28"/>
      <c r="FAF26" s="28"/>
      <c r="FAG26" s="4"/>
      <c r="FAH26" s="4"/>
      <c r="FAI26" s="4"/>
      <c r="FAJ26" s="4"/>
      <c r="FAK26" s="4"/>
      <c r="FAL26" s="4"/>
      <c r="FAM26" s="4"/>
      <c r="FAN26" s="4"/>
      <c r="FAO26" s="4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4"/>
      <c r="FBB26" s="4"/>
      <c r="FBC26" s="4"/>
      <c r="FBD26" s="5"/>
      <c r="FBE26" s="4"/>
      <c r="FBF26" s="28"/>
      <c r="FBG26" s="28"/>
      <c r="FBH26" s="4"/>
      <c r="FBI26" s="4"/>
      <c r="FBJ26" s="4"/>
      <c r="FBK26" s="4"/>
      <c r="FBL26" s="4"/>
      <c r="FBM26" s="4"/>
      <c r="FBN26" s="4"/>
      <c r="FBO26" s="4"/>
      <c r="FBP26" s="4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4"/>
      <c r="FCC26" s="4"/>
      <c r="FCD26" s="4"/>
      <c r="FCE26" s="5"/>
      <c r="FCF26" s="4"/>
      <c r="FCG26" s="28"/>
      <c r="FCH26" s="28"/>
      <c r="FCI26" s="4"/>
      <c r="FCJ26" s="4"/>
      <c r="FCK26" s="4"/>
      <c r="FCL26" s="4"/>
      <c r="FCM26" s="4"/>
      <c r="FCN26" s="4"/>
      <c r="FCO26" s="4"/>
      <c r="FCP26" s="4"/>
      <c r="FCQ26" s="4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4"/>
      <c r="FDD26" s="4"/>
      <c r="FDE26" s="4"/>
      <c r="FDF26" s="5"/>
      <c r="FDG26" s="4"/>
      <c r="FDH26" s="28"/>
      <c r="FDI26" s="28"/>
      <c r="FDJ26" s="4"/>
      <c r="FDK26" s="4"/>
      <c r="FDL26" s="4"/>
      <c r="FDM26" s="4"/>
      <c r="FDN26" s="4"/>
      <c r="FDO26" s="4"/>
      <c r="FDP26" s="4"/>
      <c r="FDQ26" s="4"/>
      <c r="FDR26" s="4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4"/>
      <c r="FEE26" s="4"/>
      <c r="FEF26" s="4"/>
      <c r="FEG26" s="5"/>
      <c r="FEH26" s="4"/>
      <c r="FEI26" s="28"/>
      <c r="FEJ26" s="28"/>
      <c r="FEK26" s="4"/>
      <c r="FEL26" s="4"/>
      <c r="FEM26" s="4"/>
      <c r="FEN26" s="4"/>
      <c r="FEO26" s="4"/>
      <c r="FEP26" s="4"/>
      <c r="FEQ26" s="4"/>
      <c r="FER26" s="4"/>
      <c r="FES26" s="4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4"/>
      <c r="FFF26" s="4"/>
      <c r="FFG26" s="4"/>
      <c r="FFH26" s="5"/>
      <c r="FFI26" s="4"/>
      <c r="FFJ26" s="28"/>
      <c r="FFK26" s="28"/>
      <c r="FFL26" s="4"/>
      <c r="FFM26" s="4"/>
      <c r="FFN26" s="4"/>
      <c r="FFO26" s="4"/>
      <c r="FFP26" s="4"/>
      <c r="FFQ26" s="4"/>
      <c r="FFR26" s="4"/>
      <c r="FFS26" s="4"/>
      <c r="FFT26" s="4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4"/>
      <c r="FGG26" s="4"/>
      <c r="FGH26" s="4"/>
      <c r="FGI26" s="5"/>
      <c r="FGJ26" s="4"/>
      <c r="FGK26" s="28"/>
      <c r="FGL26" s="28"/>
      <c r="FGM26" s="4"/>
      <c r="FGN26" s="4"/>
      <c r="FGO26" s="4"/>
      <c r="FGP26" s="4"/>
      <c r="FGQ26" s="4"/>
      <c r="FGR26" s="4"/>
      <c r="FGS26" s="4"/>
      <c r="FGT26" s="4"/>
      <c r="FGU26" s="4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4"/>
      <c r="FHH26" s="4"/>
      <c r="FHI26" s="4"/>
      <c r="FHJ26" s="5"/>
      <c r="FHK26" s="4"/>
      <c r="FHL26" s="28"/>
      <c r="FHM26" s="28"/>
      <c r="FHN26" s="4"/>
      <c r="FHO26" s="4"/>
      <c r="FHP26" s="4"/>
      <c r="FHQ26" s="4"/>
      <c r="FHR26" s="4"/>
      <c r="FHS26" s="4"/>
      <c r="FHT26" s="4"/>
      <c r="FHU26" s="4"/>
      <c r="FHV26" s="4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4"/>
      <c r="FII26" s="4"/>
      <c r="FIJ26" s="4"/>
      <c r="FIK26" s="5"/>
      <c r="FIL26" s="4"/>
      <c r="FIM26" s="28"/>
      <c r="FIN26" s="28"/>
      <c r="FIO26" s="4"/>
      <c r="FIP26" s="4"/>
      <c r="FIQ26" s="4"/>
      <c r="FIR26" s="4"/>
      <c r="FIS26" s="4"/>
      <c r="FIT26" s="4"/>
      <c r="FIU26" s="4"/>
      <c r="FIV26" s="4"/>
      <c r="FIW26" s="4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4"/>
      <c r="FJJ26" s="4"/>
      <c r="FJK26" s="4"/>
      <c r="FJL26" s="5"/>
      <c r="FJM26" s="4"/>
      <c r="FJN26" s="28"/>
      <c r="FJO26" s="28"/>
      <c r="FJP26" s="4"/>
      <c r="FJQ26" s="4"/>
      <c r="FJR26" s="4"/>
      <c r="FJS26" s="4"/>
      <c r="FJT26" s="4"/>
      <c r="FJU26" s="4"/>
      <c r="FJV26" s="4"/>
      <c r="FJW26" s="4"/>
      <c r="FJX26" s="4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4"/>
      <c r="FKK26" s="4"/>
      <c r="FKL26" s="4"/>
      <c r="FKM26" s="5"/>
      <c r="FKN26" s="4"/>
      <c r="FKO26" s="28"/>
      <c r="FKP26" s="28"/>
      <c r="FKQ26" s="4"/>
      <c r="FKR26" s="4"/>
      <c r="FKS26" s="4"/>
      <c r="FKT26" s="4"/>
      <c r="FKU26" s="4"/>
      <c r="FKV26" s="4"/>
      <c r="FKW26" s="4"/>
      <c r="FKX26" s="4"/>
      <c r="FKY26" s="4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4"/>
      <c r="FLL26" s="4"/>
      <c r="FLM26" s="4"/>
      <c r="FLN26" s="5"/>
      <c r="FLO26" s="4"/>
      <c r="FLP26" s="28"/>
      <c r="FLQ26" s="28"/>
      <c r="FLR26" s="4"/>
      <c r="FLS26" s="4"/>
      <c r="FLT26" s="4"/>
      <c r="FLU26" s="4"/>
      <c r="FLV26" s="4"/>
      <c r="FLW26" s="4"/>
      <c r="FLX26" s="4"/>
      <c r="FLY26" s="4"/>
      <c r="FLZ26" s="4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4"/>
      <c r="FMM26" s="4"/>
      <c r="FMN26" s="4"/>
      <c r="FMO26" s="5"/>
      <c r="FMP26" s="4"/>
      <c r="FMQ26" s="28"/>
      <c r="FMR26" s="28"/>
      <c r="FMS26" s="4"/>
      <c r="FMT26" s="4"/>
      <c r="FMU26" s="4"/>
      <c r="FMV26" s="4"/>
      <c r="FMW26" s="4"/>
      <c r="FMX26" s="4"/>
      <c r="FMY26" s="4"/>
      <c r="FMZ26" s="4"/>
      <c r="FNA26" s="4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4"/>
      <c r="FNN26" s="4"/>
      <c r="FNO26" s="4"/>
      <c r="FNP26" s="5"/>
      <c r="FNQ26" s="4"/>
      <c r="FNR26" s="28"/>
      <c r="FNS26" s="28"/>
      <c r="FNT26" s="4"/>
      <c r="FNU26" s="4"/>
      <c r="FNV26" s="4"/>
      <c r="FNW26" s="4"/>
      <c r="FNX26" s="4"/>
      <c r="FNY26" s="4"/>
      <c r="FNZ26" s="4"/>
      <c r="FOA26" s="4"/>
      <c r="FOB26" s="4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4"/>
      <c r="FOO26" s="4"/>
      <c r="FOP26" s="4"/>
      <c r="FOQ26" s="5"/>
      <c r="FOR26" s="4"/>
      <c r="FOS26" s="28"/>
      <c r="FOT26" s="28"/>
      <c r="FOU26" s="4"/>
      <c r="FOV26" s="4"/>
      <c r="FOW26" s="4"/>
      <c r="FOX26" s="4"/>
      <c r="FOY26" s="4"/>
      <c r="FOZ26" s="4"/>
      <c r="FPA26" s="4"/>
      <c r="FPB26" s="4"/>
      <c r="FPC26" s="4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4"/>
      <c r="FPP26" s="4"/>
      <c r="FPQ26" s="4"/>
      <c r="FPR26" s="5"/>
      <c r="FPS26" s="4"/>
      <c r="FPT26" s="28"/>
      <c r="FPU26" s="28"/>
      <c r="FPV26" s="4"/>
      <c r="FPW26" s="4"/>
      <c r="FPX26" s="4"/>
      <c r="FPY26" s="4"/>
      <c r="FPZ26" s="4"/>
      <c r="FQA26" s="4"/>
      <c r="FQB26" s="4"/>
      <c r="FQC26" s="4"/>
      <c r="FQD26" s="4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4"/>
      <c r="FQQ26" s="4"/>
      <c r="FQR26" s="4"/>
      <c r="FQS26" s="5"/>
      <c r="FQT26" s="4"/>
      <c r="FQU26" s="28"/>
      <c r="FQV26" s="28"/>
      <c r="FQW26" s="4"/>
      <c r="FQX26" s="4"/>
      <c r="FQY26" s="4"/>
      <c r="FQZ26" s="4"/>
      <c r="FRA26" s="4"/>
      <c r="FRB26" s="4"/>
      <c r="FRC26" s="4"/>
      <c r="FRD26" s="4"/>
      <c r="FRE26" s="4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4"/>
      <c r="FRR26" s="4"/>
      <c r="FRS26" s="4"/>
      <c r="FRT26" s="5"/>
      <c r="FRU26" s="4"/>
      <c r="FRV26" s="28"/>
      <c r="FRW26" s="28"/>
      <c r="FRX26" s="4"/>
      <c r="FRY26" s="4"/>
      <c r="FRZ26" s="4"/>
      <c r="FSA26" s="4"/>
      <c r="FSB26" s="4"/>
      <c r="FSC26" s="4"/>
      <c r="FSD26" s="4"/>
      <c r="FSE26" s="4"/>
      <c r="FSF26" s="4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4"/>
      <c r="FSS26" s="4"/>
      <c r="FST26" s="4"/>
      <c r="FSU26" s="5"/>
      <c r="FSV26" s="4"/>
      <c r="FSW26" s="28"/>
      <c r="FSX26" s="28"/>
      <c r="FSY26" s="4"/>
      <c r="FSZ26" s="4"/>
      <c r="FTA26" s="4"/>
      <c r="FTB26" s="4"/>
      <c r="FTC26" s="4"/>
      <c r="FTD26" s="4"/>
      <c r="FTE26" s="4"/>
      <c r="FTF26" s="4"/>
      <c r="FTG26" s="4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4"/>
      <c r="FTT26" s="4"/>
      <c r="FTU26" s="4"/>
      <c r="FTV26" s="5"/>
      <c r="FTW26" s="4"/>
      <c r="FTX26" s="28"/>
      <c r="FTY26" s="28"/>
      <c r="FTZ26" s="4"/>
      <c r="FUA26" s="4"/>
      <c r="FUB26" s="4"/>
      <c r="FUC26" s="4"/>
      <c r="FUD26" s="4"/>
      <c r="FUE26" s="4"/>
      <c r="FUF26" s="4"/>
      <c r="FUG26" s="4"/>
      <c r="FUH26" s="4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4"/>
      <c r="FUU26" s="4"/>
      <c r="FUV26" s="4"/>
      <c r="FUW26" s="5"/>
      <c r="FUX26" s="4"/>
      <c r="FUY26" s="28"/>
      <c r="FUZ26" s="28"/>
      <c r="FVA26" s="4"/>
      <c r="FVB26" s="4"/>
      <c r="FVC26" s="4"/>
      <c r="FVD26" s="4"/>
      <c r="FVE26" s="4"/>
      <c r="FVF26" s="4"/>
      <c r="FVG26" s="4"/>
      <c r="FVH26" s="4"/>
      <c r="FVI26" s="4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4"/>
      <c r="FVV26" s="4"/>
      <c r="FVW26" s="4"/>
      <c r="FVX26" s="5"/>
      <c r="FVY26" s="4"/>
      <c r="FVZ26" s="28"/>
      <c r="FWA26" s="28"/>
      <c r="FWB26" s="4"/>
      <c r="FWC26" s="4"/>
      <c r="FWD26" s="4"/>
      <c r="FWE26" s="4"/>
      <c r="FWF26" s="4"/>
      <c r="FWG26" s="4"/>
      <c r="FWH26" s="4"/>
      <c r="FWI26" s="4"/>
      <c r="FWJ26" s="4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4"/>
      <c r="FWW26" s="4"/>
      <c r="FWX26" s="4"/>
      <c r="FWY26" s="5"/>
      <c r="FWZ26" s="4"/>
      <c r="FXA26" s="28"/>
      <c r="FXB26" s="28"/>
      <c r="FXC26" s="4"/>
      <c r="FXD26" s="4"/>
      <c r="FXE26" s="4"/>
      <c r="FXF26" s="4"/>
      <c r="FXG26" s="4"/>
      <c r="FXH26" s="4"/>
      <c r="FXI26" s="4"/>
      <c r="FXJ26" s="4"/>
      <c r="FXK26" s="4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4"/>
      <c r="FXX26" s="4"/>
      <c r="FXY26" s="4"/>
      <c r="FXZ26" s="5"/>
      <c r="FYA26" s="4"/>
      <c r="FYB26" s="28"/>
      <c r="FYC26" s="28"/>
      <c r="FYD26" s="4"/>
      <c r="FYE26" s="4"/>
      <c r="FYF26" s="4"/>
      <c r="FYG26" s="4"/>
      <c r="FYH26" s="4"/>
      <c r="FYI26" s="4"/>
      <c r="FYJ26" s="4"/>
      <c r="FYK26" s="4"/>
      <c r="FYL26" s="4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4"/>
      <c r="FYY26" s="4"/>
      <c r="FYZ26" s="4"/>
      <c r="FZA26" s="5"/>
      <c r="FZB26" s="4"/>
      <c r="FZC26" s="28"/>
      <c r="FZD26" s="28"/>
      <c r="FZE26" s="4"/>
      <c r="FZF26" s="4"/>
      <c r="FZG26" s="4"/>
      <c r="FZH26" s="4"/>
      <c r="FZI26" s="4"/>
      <c r="FZJ26" s="4"/>
      <c r="FZK26" s="4"/>
      <c r="FZL26" s="4"/>
      <c r="FZM26" s="4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4"/>
      <c r="FZZ26" s="4"/>
      <c r="GAA26" s="4"/>
      <c r="GAB26" s="5"/>
      <c r="GAC26" s="4"/>
      <c r="GAD26" s="28"/>
      <c r="GAE26" s="28"/>
      <c r="GAF26" s="4"/>
      <c r="GAG26" s="4"/>
      <c r="GAH26" s="4"/>
      <c r="GAI26" s="4"/>
      <c r="GAJ26" s="4"/>
      <c r="GAK26" s="4"/>
      <c r="GAL26" s="4"/>
      <c r="GAM26" s="4"/>
      <c r="GAN26" s="4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4"/>
      <c r="GBA26" s="4"/>
      <c r="GBB26" s="4"/>
      <c r="GBC26" s="5"/>
      <c r="GBD26" s="4"/>
      <c r="GBE26" s="28"/>
      <c r="GBF26" s="28"/>
      <c r="GBG26" s="4"/>
      <c r="GBH26" s="4"/>
      <c r="GBI26" s="4"/>
      <c r="GBJ26" s="4"/>
      <c r="GBK26" s="4"/>
      <c r="GBL26" s="4"/>
      <c r="GBM26" s="4"/>
      <c r="GBN26" s="4"/>
      <c r="GBO26" s="4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4"/>
      <c r="GCB26" s="4"/>
      <c r="GCC26" s="4"/>
      <c r="GCD26" s="5"/>
      <c r="GCE26" s="4"/>
      <c r="GCF26" s="28"/>
      <c r="GCG26" s="28"/>
      <c r="GCH26" s="4"/>
      <c r="GCI26" s="4"/>
      <c r="GCJ26" s="4"/>
      <c r="GCK26" s="4"/>
      <c r="GCL26" s="4"/>
      <c r="GCM26" s="4"/>
      <c r="GCN26" s="4"/>
      <c r="GCO26" s="4"/>
      <c r="GCP26" s="4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4"/>
      <c r="GDC26" s="4"/>
      <c r="GDD26" s="4"/>
      <c r="GDE26" s="5"/>
      <c r="GDF26" s="4"/>
      <c r="GDG26" s="28"/>
      <c r="GDH26" s="28"/>
      <c r="GDI26" s="4"/>
      <c r="GDJ26" s="4"/>
      <c r="GDK26" s="4"/>
      <c r="GDL26" s="4"/>
      <c r="GDM26" s="4"/>
      <c r="GDN26" s="4"/>
      <c r="GDO26" s="4"/>
      <c r="GDP26" s="4"/>
      <c r="GDQ26" s="4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4"/>
      <c r="GED26" s="4"/>
      <c r="GEE26" s="4"/>
      <c r="GEF26" s="5"/>
      <c r="GEG26" s="4"/>
      <c r="GEH26" s="28"/>
      <c r="GEI26" s="28"/>
      <c r="GEJ26" s="4"/>
      <c r="GEK26" s="4"/>
      <c r="GEL26" s="4"/>
      <c r="GEM26" s="4"/>
      <c r="GEN26" s="4"/>
      <c r="GEO26" s="4"/>
      <c r="GEP26" s="4"/>
      <c r="GEQ26" s="4"/>
      <c r="GER26" s="4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4"/>
      <c r="GFE26" s="4"/>
      <c r="GFF26" s="4"/>
      <c r="GFG26" s="5"/>
      <c r="GFH26" s="4"/>
      <c r="GFI26" s="28"/>
      <c r="GFJ26" s="28"/>
      <c r="GFK26" s="4"/>
      <c r="GFL26" s="4"/>
      <c r="GFM26" s="4"/>
      <c r="GFN26" s="4"/>
      <c r="GFO26" s="4"/>
      <c r="GFP26" s="4"/>
      <c r="GFQ26" s="4"/>
      <c r="GFR26" s="4"/>
      <c r="GFS26" s="4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4"/>
      <c r="GGF26" s="4"/>
      <c r="GGG26" s="4"/>
      <c r="GGH26" s="5"/>
      <c r="GGI26" s="4"/>
      <c r="GGJ26" s="28"/>
      <c r="GGK26" s="28"/>
      <c r="GGL26" s="4"/>
      <c r="GGM26" s="4"/>
      <c r="GGN26" s="4"/>
      <c r="GGO26" s="4"/>
      <c r="GGP26" s="4"/>
      <c r="GGQ26" s="4"/>
      <c r="GGR26" s="4"/>
      <c r="GGS26" s="4"/>
      <c r="GGT26" s="4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4"/>
      <c r="GHG26" s="4"/>
      <c r="GHH26" s="4"/>
      <c r="GHI26" s="5"/>
      <c r="GHJ26" s="4"/>
      <c r="GHK26" s="28"/>
      <c r="GHL26" s="28"/>
      <c r="GHM26" s="4"/>
      <c r="GHN26" s="4"/>
      <c r="GHO26" s="4"/>
      <c r="GHP26" s="4"/>
      <c r="GHQ26" s="4"/>
      <c r="GHR26" s="4"/>
      <c r="GHS26" s="4"/>
      <c r="GHT26" s="4"/>
      <c r="GHU26" s="4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4"/>
      <c r="GIH26" s="4"/>
      <c r="GII26" s="4"/>
      <c r="GIJ26" s="5"/>
      <c r="GIK26" s="4"/>
      <c r="GIL26" s="28"/>
      <c r="GIM26" s="28"/>
      <c r="GIN26" s="4"/>
      <c r="GIO26" s="4"/>
      <c r="GIP26" s="4"/>
      <c r="GIQ26" s="4"/>
      <c r="GIR26" s="4"/>
      <c r="GIS26" s="4"/>
      <c r="GIT26" s="4"/>
      <c r="GIU26" s="4"/>
      <c r="GIV26" s="4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4"/>
      <c r="GJI26" s="4"/>
      <c r="GJJ26" s="4"/>
      <c r="GJK26" s="5"/>
      <c r="GJL26" s="4"/>
      <c r="GJM26" s="28"/>
      <c r="GJN26" s="28"/>
      <c r="GJO26" s="4"/>
      <c r="GJP26" s="4"/>
      <c r="GJQ26" s="4"/>
      <c r="GJR26" s="4"/>
      <c r="GJS26" s="4"/>
      <c r="GJT26" s="4"/>
      <c r="GJU26" s="4"/>
      <c r="GJV26" s="4"/>
      <c r="GJW26" s="4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4"/>
      <c r="GKJ26" s="4"/>
      <c r="GKK26" s="4"/>
      <c r="GKL26" s="5"/>
      <c r="GKM26" s="4"/>
      <c r="GKN26" s="28"/>
      <c r="GKO26" s="28"/>
      <c r="GKP26" s="4"/>
      <c r="GKQ26" s="4"/>
      <c r="GKR26" s="4"/>
      <c r="GKS26" s="4"/>
      <c r="GKT26" s="4"/>
      <c r="GKU26" s="4"/>
      <c r="GKV26" s="4"/>
      <c r="GKW26" s="4"/>
      <c r="GKX26" s="4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4"/>
      <c r="GLK26" s="4"/>
      <c r="GLL26" s="4"/>
      <c r="GLM26" s="5"/>
      <c r="GLN26" s="4"/>
      <c r="GLO26" s="28"/>
      <c r="GLP26" s="28"/>
      <c r="GLQ26" s="4"/>
      <c r="GLR26" s="4"/>
      <c r="GLS26" s="4"/>
      <c r="GLT26" s="4"/>
      <c r="GLU26" s="4"/>
      <c r="GLV26" s="4"/>
      <c r="GLW26" s="4"/>
      <c r="GLX26" s="4"/>
      <c r="GLY26" s="4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4"/>
      <c r="GML26" s="4"/>
      <c r="GMM26" s="4"/>
      <c r="GMN26" s="5"/>
      <c r="GMO26" s="4"/>
      <c r="GMP26" s="28"/>
      <c r="GMQ26" s="28"/>
      <c r="GMR26" s="4"/>
      <c r="GMS26" s="4"/>
      <c r="GMT26" s="4"/>
      <c r="GMU26" s="4"/>
      <c r="GMV26" s="4"/>
      <c r="GMW26" s="4"/>
      <c r="GMX26" s="4"/>
      <c r="GMY26" s="4"/>
      <c r="GMZ26" s="4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4"/>
      <c r="GNM26" s="4"/>
      <c r="GNN26" s="4"/>
      <c r="GNO26" s="5"/>
      <c r="GNP26" s="4"/>
      <c r="GNQ26" s="28"/>
      <c r="GNR26" s="28"/>
      <c r="GNS26" s="4"/>
      <c r="GNT26" s="4"/>
      <c r="GNU26" s="4"/>
      <c r="GNV26" s="4"/>
      <c r="GNW26" s="4"/>
      <c r="GNX26" s="4"/>
      <c r="GNY26" s="4"/>
      <c r="GNZ26" s="4"/>
      <c r="GOA26" s="4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4"/>
      <c r="GON26" s="4"/>
      <c r="GOO26" s="4"/>
      <c r="GOP26" s="5"/>
      <c r="GOQ26" s="4"/>
      <c r="GOR26" s="28"/>
      <c r="GOS26" s="28"/>
      <c r="GOT26" s="4"/>
      <c r="GOU26" s="4"/>
      <c r="GOV26" s="4"/>
      <c r="GOW26" s="4"/>
      <c r="GOX26" s="4"/>
      <c r="GOY26" s="4"/>
      <c r="GOZ26" s="4"/>
      <c r="GPA26" s="4"/>
      <c r="GPB26" s="4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4"/>
      <c r="GPO26" s="4"/>
      <c r="GPP26" s="4"/>
      <c r="GPQ26" s="5"/>
      <c r="GPR26" s="4"/>
      <c r="GPS26" s="28"/>
      <c r="GPT26" s="28"/>
      <c r="GPU26" s="4"/>
      <c r="GPV26" s="4"/>
      <c r="GPW26" s="4"/>
      <c r="GPX26" s="4"/>
      <c r="GPY26" s="4"/>
      <c r="GPZ26" s="4"/>
      <c r="GQA26" s="4"/>
      <c r="GQB26" s="4"/>
      <c r="GQC26" s="4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4"/>
      <c r="GQP26" s="4"/>
      <c r="GQQ26" s="4"/>
      <c r="GQR26" s="5"/>
      <c r="GQS26" s="4"/>
      <c r="GQT26" s="28"/>
      <c r="GQU26" s="28"/>
      <c r="GQV26" s="4"/>
      <c r="GQW26" s="4"/>
      <c r="GQX26" s="4"/>
      <c r="GQY26" s="4"/>
      <c r="GQZ26" s="4"/>
      <c r="GRA26" s="4"/>
      <c r="GRB26" s="4"/>
      <c r="GRC26" s="4"/>
      <c r="GRD26" s="4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4"/>
      <c r="GRQ26" s="4"/>
      <c r="GRR26" s="4"/>
      <c r="GRS26" s="5"/>
      <c r="GRT26" s="4"/>
      <c r="GRU26" s="28"/>
      <c r="GRV26" s="28"/>
      <c r="GRW26" s="4"/>
      <c r="GRX26" s="4"/>
      <c r="GRY26" s="4"/>
      <c r="GRZ26" s="4"/>
      <c r="GSA26" s="4"/>
      <c r="GSB26" s="4"/>
      <c r="GSC26" s="4"/>
      <c r="GSD26" s="4"/>
      <c r="GSE26" s="4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4"/>
      <c r="GSR26" s="4"/>
      <c r="GSS26" s="4"/>
      <c r="GST26" s="5"/>
      <c r="GSU26" s="4"/>
      <c r="GSV26" s="28"/>
      <c r="GSW26" s="28"/>
      <c r="GSX26" s="4"/>
      <c r="GSY26" s="4"/>
      <c r="GSZ26" s="4"/>
      <c r="GTA26" s="4"/>
      <c r="GTB26" s="4"/>
      <c r="GTC26" s="4"/>
      <c r="GTD26" s="4"/>
      <c r="GTE26" s="4"/>
      <c r="GTF26" s="4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4"/>
      <c r="GTS26" s="4"/>
      <c r="GTT26" s="4"/>
      <c r="GTU26" s="5"/>
      <c r="GTV26" s="4"/>
      <c r="GTW26" s="28"/>
      <c r="GTX26" s="28"/>
      <c r="GTY26" s="4"/>
      <c r="GTZ26" s="4"/>
      <c r="GUA26" s="4"/>
      <c r="GUB26" s="4"/>
      <c r="GUC26" s="4"/>
      <c r="GUD26" s="4"/>
      <c r="GUE26" s="4"/>
      <c r="GUF26" s="4"/>
      <c r="GUG26" s="4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4"/>
      <c r="GUT26" s="4"/>
      <c r="GUU26" s="4"/>
      <c r="GUV26" s="5"/>
      <c r="GUW26" s="4"/>
      <c r="GUX26" s="28"/>
      <c r="GUY26" s="28"/>
      <c r="GUZ26" s="4"/>
      <c r="GVA26" s="4"/>
      <c r="GVB26" s="4"/>
      <c r="GVC26" s="4"/>
      <c r="GVD26" s="4"/>
      <c r="GVE26" s="4"/>
      <c r="GVF26" s="4"/>
      <c r="GVG26" s="4"/>
      <c r="GVH26" s="4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4"/>
      <c r="GVU26" s="4"/>
      <c r="GVV26" s="4"/>
      <c r="GVW26" s="5"/>
      <c r="GVX26" s="4"/>
      <c r="GVY26" s="28"/>
      <c r="GVZ26" s="28"/>
      <c r="GWA26" s="4"/>
      <c r="GWB26" s="4"/>
      <c r="GWC26" s="4"/>
      <c r="GWD26" s="4"/>
      <c r="GWE26" s="4"/>
      <c r="GWF26" s="4"/>
      <c r="GWG26" s="4"/>
      <c r="GWH26" s="4"/>
      <c r="GWI26" s="4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4"/>
      <c r="GWV26" s="4"/>
      <c r="GWW26" s="4"/>
      <c r="GWX26" s="5"/>
      <c r="GWY26" s="4"/>
      <c r="GWZ26" s="28"/>
      <c r="GXA26" s="28"/>
      <c r="GXB26" s="4"/>
      <c r="GXC26" s="4"/>
      <c r="GXD26" s="4"/>
      <c r="GXE26" s="4"/>
      <c r="GXF26" s="4"/>
      <c r="GXG26" s="4"/>
      <c r="GXH26" s="4"/>
      <c r="GXI26" s="4"/>
      <c r="GXJ26" s="4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4"/>
      <c r="GXW26" s="4"/>
      <c r="GXX26" s="4"/>
      <c r="GXY26" s="5"/>
      <c r="GXZ26" s="4"/>
      <c r="GYA26" s="28"/>
      <c r="GYB26" s="28"/>
      <c r="GYC26" s="4"/>
      <c r="GYD26" s="4"/>
      <c r="GYE26" s="4"/>
      <c r="GYF26" s="4"/>
      <c r="GYG26" s="4"/>
      <c r="GYH26" s="4"/>
      <c r="GYI26" s="4"/>
      <c r="GYJ26" s="4"/>
      <c r="GYK26" s="4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4"/>
      <c r="GYX26" s="4"/>
      <c r="GYY26" s="4"/>
      <c r="GYZ26" s="5"/>
      <c r="GZA26" s="4"/>
      <c r="GZB26" s="28"/>
      <c r="GZC26" s="28"/>
      <c r="GZD26" s="4"/>
      <c r="GZE26" s="4"/>
      <c r="GZF26" s="4"/>
      <c r="GZG26" s="4"/>
      <c r="GZH26" s="4"/>
      <c r="GZI26" s="4"/>
      <c r="GZJ26" s="4"/>
      <c r="GZK26" s="4"/>
      <c r="GZL26" s="4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4"/>
      <c r="GZY26" s="4"/>
      <c r="GZZ26" s="4"/>
      <c r="HAA26" s="5"/>
      <c r="HAB26" s="4"/>
      <c r="HAC26" s="28"/>
      <c r="HAD26" s="28"/>
      <c r="HAE26" s="4"/>
      <c r="HAF26" s="4"/>
      <c r="HAG26" s="4"/>
      <c r="HAH26" s="4"/>
      <c r="HAI26" s="4"/>
      <c r="HAJ26" s="4"/>
      <c r="HAK26" s="4"/>
      <c r="HAL26" s="4"/>
      <c r="HAM26" s="4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4"/>
      <c r="HAZ26" s="4"/>
      <c r="HBA26" s="4"/>
      <c r="HBB26" s="5"/>
      <c r="HBC26" s="4"/>
      <c r="HBD26" s="28"/>
      <c r="HBE26" s="28"/>
      <c r="HBF26" s="4"/>
      <c r="HBG26" s="4"/>
      <c r="HBH26" s="4"/>
      <c r="HBI26" s="4"/>
      <c r="HBJ26" s="4"/>
      <c r="HBK26" s="4"/>
      <c r="HBL26" s="4"/>
      <c r="HBM26" s="4"/>
      <c r="HBN26" s="4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4"/>
      <c r="HCA26" s="4"/>
      <c r="HCB26" s="4"/>
      <c r="HCC26" s="5"/>
      <c r="HCD26" s="4"/>
      <c r="HCE26" s="28"/>
      <c r="HCF26" s="28"/>
      <c r="HCG26" s="4"/>
      <c r="HCH26" s="4"/>
      <c r="HCI26" s="4"/>
      <c r="HCJ26" s="4"/>
      <c r="HCK26" s="4"/>
      <c r="HCL26" s="4"/>
      <c r="HCM26" s="4"/>
      <c r="HCN26" s="4"/>
      <c r="HCO26" s="4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4"/>
      <c r="HDB26" s="4"/>
      <c r="HDC26" s="4"/>
      <c r="HDD26" s="5"/>
      <c r="HDE26" s="4"/>
      <c r="HDF26" s="28"/>
      <c r="HDG26" s="28"/>
      <c r="HDH26" s="4"/>
      <c r="HDI26" s="4"/>
      <c r="HDJ26" s="4"/>
      <c r="HDK26" s="4"/>
      <c r="HDL26" s="4"/>
      <c r="HDM26" s="4"/>
      <c r="HDN26" s="4"/>
      <c r="HDO26" s="4"/>
      <c r="HDP26" s="4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4"/>
      <c r="HEC26" s="4"/>
      <c r="HED26" s="4"/>
      <c r="HEE26" s="5"/>
      <c r="HEF26" s="4"/>
      <c r="HEG26" s="28"/>
      <c r="HEH26" s="28"/>
      <c r="HEI26" s="4"/>
      <c r="HEJ26" s="4"/>
      <c r="HEK26" s="4"/>
      <c r="HEL26" s="4"/>
      <c r="HEM26" s="4"/>
      <c r="HEN26" s="4"/>
      <c r="HEO26" s="4"/>
      <c r="HEP26" s="4"/>
      <c r="HEQ26" s="4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4"/>
      <c r="HFD26" s="4"/>
      <c r="HFE26" s="4"/>
      <c r="HFF26" s="5"/>
      <c r="HFG26" s="4"/>
      <c r="HFH26" s="28"/>
      <c r="HFI26" s="28"/>
      <c r="HFJ26" s="4"/>
      <c r="HFK26" s="4"/>
      <c r="HFL26" s="4"/>
      <c r="HFM26" s="4"/>
      <c r="HFN26" s="4"/>
      <c r="HFO26" s="4"/>
      <c r="HFP26" s="4"/>
      <c r="HFQ26" s="4"/>
      <c r="HFR26" s="4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4"/>
      <c r="HGE26" s="4"/>
      <c r="HGF26" s="4"/>
      <c r="HGG26" s="5"/>
      <c r="HGH26" s="4"/>
      <c r="HGI26" s="28"/>
      <c r="HGJ26" s="28"/>
      <c r="HGK26" s="4"/>
      <c r="HGL26" s="4"/>
      <c r="HGM26" s="4"/>
      <c r="HGN26" s="4"/>
      <c r="HGO26" s="4"/>
      <c r="HGP26" s="4"/>
      <c r="HGQ26" s="4"/>
      <c r="HGR26" s="4"/>
      <c r="HGS26" s="4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4"/>
      <c r="HHF26" s="4"/>
      <c r="HHG26" s="4"/>
      <c r="HHH26" s="5"/>
      <c r="HHI26" s="4"/>
      <c r="HHJ26" s="28"/>
      <c r="HHK26" s="28"/>
      <c r="HHL26" s="4"/>
      <c r="HHM26" s="4"/>
      <c r="HHN26" s="4"/>
      <c r="HHO26" s="4"/>
      <c r="HHP26" s="4"/>
      <c r="HHQ26" s="4"/>
      <c r="HHR26" s="4"/>
      <c r="HHS26" s="4"/>
      <c r="HHT26" s="4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4"/>
      <c r="HIG26" s="4"/>
      <c r="HIH26" s="4"/>
      <c r="HII26" s="5"/>
      <c r="HIJ26" s="4"/>
      <c r="HIK26" s="28"/>
      <c r="HIL26" s="28"/>
      <c r="HIM26" s="4"/>
      <c r="HIN26" s="4"/>
      <c r="HIO26" s="4"/>
      <c r="HIP26" s="4"/>
      <c r="HIQ26" s="4"/>
      <c r="HIR26" s="4"/>
      <c r="HIS26" s="4"/>
      <c r="HIT26" s="4"/>
      <c r="HIU26" s="4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4"/>
      <c r="HJH26" s="4"/>
      <c r="HJI26" s="4"/>
      <c r="HJJ26" s="5"/>
      <c r="HJK26" s="4"/>
      <c r="HJL26" s="28"/>
      <c r="HJM26" s="28"/>
      <c r="HJN26" s="4"/>
      <c r="HJO26" s="4"/>
      <c r="HJP26" s="4"/>
      <c r="HJQ26" s="4"/>
      <c r="HJR26" s="4"/>
      <c r="HJS26" s="4"/>
      <c r="HJT26" s="4"/>
      <c r="HJU26" s="4"/>
      <c r="HJV26" s="4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4"/>
      <c r="HKI26" s="4"/>
      <c r="HKJ26" s="4"/>
      <c r="HKK26" s="5"/>
      <c r="HKL26" s="4"/>
      <c r="HKM26" s="28"/>
      <c r="HKN26" s="28"/>
      <c r="HKO26" s="4"/>
      <c r="HKP26" s="4"/>
      <c r="HKQ26" s="4"/>
      <c r="HKR26" s="4"/>
      <c r="HKS26" s="4"/>
      <c r="HKT26" s="4"/>
      <c r="HKU26" s="4"/>
      <c r="HKV26" s="4"/>
      <c r="HKW26" s="4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4"/>
      <c r="HLJ26" s="4"/>
      <c r="HLK26" s="4"/>
      <c r="HLL26" s="5"/>
      <c r="HLM26" s="4"/>
      <c r="HLN26" s="28"/>
      <c r="HLO26" s="28"/>
      <c r="HLP26" s="4"/>
      <c r="HLQ26" s="4"/>
      <c r="HLR26" s="4"/>
      <c r="HLS26" s="4"/>
      <c r="HLT26" s="4"/>
      <c r="HLU26" s="4"/>
      <c r="HLV26" s="4"/>
      <c r="HLW26" s="4"/>
      <c r="HLX26" s="4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4"/>
      <c r="HMK26" s="4"/>
      <c r="HML26" s="4"/>
      <c r="HMM26" s="5"/>
      <c r="HMN26" s="4"/>
      <c r="HMO26" s="28"/>
      <c r="HMP26" s="28"/>
      <c r="HMQ26" s="4"/>
      <c r="HMR26" s="4"/>
      <c r="HMS26" s="4"/>
      <c r="HMT26" s="4"/>
      <c r="HMU26" s="4"/>
      <c r="HMV26" s="4"/>
      <c r="HMW26" s="4"/>
      <c r="HMX26" s="4"/>
      <c r="HMY26" s="4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4"/>
      <c r="HNL26" s="4"/>
      <c r="HNM26" s="4"/>
      <c r="HNN26" s="5"/>
      <c r="HNO26" s="4"/>
      <c r="HNP26" s="28"/>
      <c r="HNQ26" s="28"/>
      <c r="HNR26" s="4"/>
      <c r="HNS26" s="4"/>
      <c r="HNT26" s="4"/>
      <c r="HNU26" s="4"/>
      <c r="HNV26" s="4"/>
      <c r="HNW26" s="4"/>
      <c r="HNX26" s="4"/>
      <c r="HNY26" s="4"/>
      <c r="HNZ26" s="4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4"/>
      <c r="HOM26" s="4"/>
      <c r="HON26" s="4"/>
      <c r="HOO26" s="5"/>
      <c r="HOP26" s="4"/>
      <c r="HOQ26" s="28"/>
      <c r="HOR26" s="28"/>
      <c r="HOS26" s="4"/>
      <c r="HOT26" s="4"/>
      <c r="HOU26" s="4"/>
      <c r="HOV26" s="4"/>
      <c r="HOW26" s="4"/>
      <c r="HOX26" s="4"/>
      <c r="HOY26" s="4"/>
      <c r="HOZ26" s="4"/>
      <c r="HPA26" s="4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4"/>
      <c r="HPN26" s="4"/>
      <c r="HPO26" s="4"/>
      <c r="HPP26" s="5"/>
      <c r="HPQ26" s="4"/>
      <c r="HPR26" s="28"/>
      <c r="HPS26" s="28"/>
      <c r="HPT26" s="4"/>
      <c r="HPU26" s="4"/>
      <c r="HPV26" s="4"/>
      <c r="HPW26" s="4"/>
      <c r="HPX26" s="4"/>
      <c r="HPY26" s="4"/>
      <c r="HPZ26" s="4"/>
      <c r="HQA26" s="4"/>
      <c r="HQB26" s="4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4"/>
      <c r="HQO26" s="4"/>
      <c r="HQP26" s="4"/>
      <c r="HQQ26" s="5"/>
      <c r="HQR26" s="4"/>
      <c r="HQS26" s="28"/>
      <c r="HQT26" s="28"/>
      <c r="HQU26" s="4"/>
      <c r="HQV26" s="4"/>
      <c r="HQW26" s="4"/>
      <c r="HQX26" s="4"/>
      <c r="HQY26" s="4"/>
      <c r="HQZ26" s="4"/>
      <c r="HRA26" s="4"/>
      <c r="HRB26" s="4"/>
      <c r="HRC26" s="4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4"/>
      <c r="HRP26" s="4"/>
      <c r="HRQ26" s="4"/>
      <c r="HRR26" s="5"/>
      <c r="HRS26" s="4"/>
      <c r="HRT26" s="28"/>
      <c r="HRU26" s="28"/>
      <c r="HRV26" s="4"/>
      <c r="HRW26" s="4"/>
      <c r="HRX26" s="4"/>
      <c r="HRY26" s="4"/>
      <c r="HRZ26" s="4"/>
      <c r="HSA26" s="4"/>
      <c r="HSB26" s="4"/>
      <c r="HSC26" s="4"/>
      <c r="HSD26" s="4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4"/>
      <c r="HSQ26" s="4"/>
      <c r="HSR26" s="4"/>
      <c r="HSS26" s="5"/>
      <c r="HST26" s="4"/>
      <c r="HSU26" s="28"/>
      <c r="HSV26" s="28"/>
      <c r="HSW26" s="4"/>
      <c r="HSX26" s="4"/>
      <c r="HSY26" s="4"/>
      <c r="HSZ26" s="4"/>
      <c r="HTA26" s="4"/>
      <c r="HTB26" s="4"/>
      <c r="HTC26" s="4"/>
      <c r="HTD26" s="4"/>
      <c r="HTE26" s="4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4"/>
      <c r="HTR26" s="4"/>
      <c r="HTS26" s="4"/>
      <c r="HTT26" s="5"/>
      <c r="HTU26" s="4"/>
      <c r="HTV26" s="28"/>
      <c r="HTW26" s="28"/>
      <c r="HTX26" s="4"/>
      <c r="HTY26" s="4"/>
      <c r="HTZ26" s="4"/>
      <c r="HUA26" s="4"/>
      <c r="HUB26" s="4"/>
      <c r="HUC26" s="4"/>
      <c r="HUD26" s="4"/>
      <c r="HUE26" s="4"/>
      <c r="HUF26" s="4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4"/>
      <c r="HUS26" s="4"/>
      <c r="HUT26" s="4"/>
      <c r="HUU26" s="5"/>
      <c r="HUV26" s="4"/>
      <c r="HUW26" s="28"/>
      <c r="HUX26" s="28"/>
      <c r="HUY26" s="4"/>
      <c r="HUZ26" s="4"/>
      <c r="HVA26" s="4"/>
      <c r="HVB26" s="4"/>
      <c r="HVC26" s="4"/>
      <c r="HVD26" s="4"/>
      <c r="HVE26" s="4"/>
      <c r="HVF26" s="4"/>
      <c r="HVG26" s="4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4"/>
      <c r="HVT26" s="4"/>
      <c r="HVU26" s="4"/>
      <c r="HVV26" s="5"/>
      <c r="HVW26" s="4"/>
      <c r="HVX26" s="28"/>
      <c r="HVY26" s="28"/>
      <c r="HVZ26" s="4"/>
      <c r="HWA26" s="4"/>
      <c r="HWB26" s="4"/>
      <c r="HWC26" s="4"/>
      <c r="HWD26" s="4"/>
      <c r="HWE26" s="4"/>
      <c r="HWF26" s="4"/>
      <c r="HWG26" s="4"/>
      <c r="HWH26" s="4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4"/>
      <c r="HWU26" s="4"/>
      <c r="HWV26" s="4"/>
      <c r="HWW26" s="5"/>
      <c r="HWX26" s="4"/>
      <c r="HWY26" s="28"/>
      <c r="HWZ26" s="28"/>
      <c r="HXA26" s="4"/>
      <c r="HXB26" s="4"/>
      <c r="HXC26" s="4"/>
      <c r="HXD26" s="4"/>
      <c r="HXE26" s="4"/>
      <c r="HXF26" s="4"/>
      <c r="HXG26" s="4"/>
      <c r="HXH26" s="4"/>
      <c r="HXI26" s="4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4"/>
      <c r="HXV26" s="4"/>
      <c r="HXW26" s="4"/>
      <c r="HXX26" s="5"/>
      <c r="HXY26" s="4"/>
      <c r="HXZ26" s="28"/>
      <c r="HYA26" s="28"/>
      <c r="HYB26" s="4"/>
      <c r="HYC26" s="4"/>
      <c r="HYD26" s="4"/>
      <c r="HYE26" s="4"/>
      <c r="HYF26" s="4"/>
      <c r="HYG26" s="4"/>
      <c r="HYH26" s="4"/>
      <c r="HYI26" s="4"/>
      <c r="HYJ26" s="4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4"/>
      <c r="HYW26" s="4"/>
      <c r="HYX26" s="4"/>
      <c r="HYY26" s="5"/>
      <c r="HYZ26" s="4"/>
      <c r="HZA26" s="28"/>
      <c r="HZB26" s="28"/>
      <c r="HZC26" s="4"/>
      <c r="HZD26" s="4"/>
      <c r="HZE26" s="4"/>
      <c r="HZF26" s="4"/>
      <c r="HZG26" s="4"/>
      <c r="HZH26" s="4"/>
      <c r="HZI26" s="4"/>
      <c r="HZJ26" s="4"/>
      <c r="HZK26" s="4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4"/>
      <c r="HZX26" s="4"/>
      <c r="HZY26" s="4"/>
      <c r="HZZ26" s="5"/>
      <c r="IAA26" s="4"/>
      <c r="IAB26" s="28"/>
      <c r="IAC26" s="28"/>
      <c r="IAD26" s="4"/>
      <c r="IAE26" s="4"/>
      <c r="IAF26" s="4"/>
      <c r="IAG26" s="4"/>
      <c r="IAH26" s="4"/>
      <c r="IAI26" s="4"/>
      <c r="IAJ26" s="4"/>
      <c r="IAK26" s="4"/>
      <c r="IAL26" s="4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4"/>
      <c r="IAY26" s="4"/>
      <c r="IAZ26" s="4"/>
      <c r="IBA26" s="5"/>
      <c r="IBB26" s="4"/>
      <c r="IBC26" s="28"/>
      <c r="IBD26" s="28"/>
      <c r="IBE26" s="4"/>
      <c r="IBF26" s="4"/>
      <c r="IBG26" s="4"/>
      <c r="IBH26" s="4"/>
      <c r="IBI26" s="4"/>
      <c r="IBJ26" s="4"/>
      <c r="IBK26" s="4"/>
      <c r="IBL26" s="4"/>
      <c r="IBM26" s="4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4"/>
      <c r="IBZ26" s="4"/>
      <c r="ICA26" s="4"/>
      <c r="ICB26" s="5"/>
      <c r="ICC26" s="4"/>
      <c r="ICD26" s="28"/>
      <c r="ICE26" s="28"/>
      <c r="ICF26" s="4"/>
      <c r="ICG26" s="4"/>
      <c r="ICH26" s="4"/>
      <c r="ICI26" s="4"/>
      <c r="ICJ26" s="4"/>
      <c r="ICK26" s="4"/>
      <c r="ICL26" s="4"/>
      <c r="ICM26" s="4"/>
      <c r="ICN26" s="4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4"/>
      <c r="IDA26" s="4"/>
      <c r="IDB26" s="4"/>
      <c r="IDC26" s="5"/>
      <c r="IDD26" s="4"/>
      <c r="IDE26" s="28"/>
      <c r="IDF26" s="28"/>
      <c r="IDG26" s="4"/>
      <c r="IDH26" s="4"/>
      <c r="IDI26" s="4"/>
      <c r="IDJ26" s="4"/>
      <c r="IDK26" s="4"/>
      <c r="IDL26" s="4"/>
      <c r="IDM26" s="4"/>
      <c r="IDN26" s="4"/>
      <c r="IDO26" s="4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4"/>
      <c r="IEB26" s="4"/>
      <c r="IEC26" s="4"/>
      <c r="IED26" s="5"/>
      <c r="IEE26" s="4"/>
      <c r="IEF26" s="28"/>
      <c r="IEG26" s="28"/>
      <c r="IEH26" s="4"/>
      <c r="IEI26" s="4"/>
      <c r="IEJ26" s="4"/>
      <c r="IEK26" s="4"/>
      <c r="IEL26" s="4"/>
      <c r="IEM26" s="4"/>
      <c r="IEN26" s="4"/>
      <c r="IEO26" s="4"/>
      <c r="IEP26" s="4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4"/>
      <c r="IFC26" s="4"/>
      <c r="IFD26" s="4"/>
      <c r="IFE26" s="5"/>
      <c r="IFF26" s="4"/>
      <c r="IFG26" s="28"/>
      <c r="IFH26" s="28"/>
      <c r="IFI26" s="4"/>
      <c r="IFJ26" s="4"/>
      <c r="IFK26" s="4"/>
      <c r="IFL26" s="4"/>
      <c r="IFM26" s="4"/>
      <c r="IFN26" s="4"/>
      <c r="IFO26" s="4"/>
      <c r="IFP26" s="4"/>
      <c r="IFQ26" s="4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4"/>
      <c r="IGD26" s="4"/>
      <c r="IGE26" s="4"/>
      <c r="IGF26" s="5"/>
      <c r="IGG26" s="4"/>
      <c r="IGH26" s="28"/>
      <c r="IGI26" s="28"/>
      <c r="IGJ26" s="4"/>
      <c r="IGK26" s="4"/>
      <c r="IGL26" s="4"/>
      <c r="IGM26" s="4"/>
      <c r="IGN26" s="4"/>
      <c r="IGO26" s="4"/>
      <c r="IGP26" s="4"/>
      <c r="IGQ26" s="4"/>
      <c r="IGR26" s="4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4"/>
      <c r="IHE26" s="4"/>
      <c r="IHF26" s="4"/>
      <c r="IHG26" s="5"/>
      <c r="IHH26" s="4"/>
      <c r="IHI26" s="28"/>
      <c r="IHJ26" s="28"/>
      <c r="IHK26" s="4"/>
      <c r="IHL26" s="4"/>
      <c r="IHM26" s="4"/>
      <c r="IHN26" s="4"/>
      <c r="IHO26" s="4"/>
      <c r="IHP26" s="4"/>
      <c r="IHQ26" s="4"/>
      <c r="IHR26" s="4"/>
      <c r="IHS26" s="4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4"/>
      <c r="IIF26" s="4"/>
      <c r="IIG26" s="4"/>
      <c r="IIH26" s="5"/>
      <c r="III26" s="4"/>
      <c r="IIJ26" s="28"/>
      <c r="IIK26" s="28"/>
      <c r="IIL26" s="4"/>
      <c r="IIM26" s="4"/>
      <c r="IIN26" s="4"/>
      <c r="IIO26" s="4"/>
      <c r="IIP26" s="4"/>
      <c r="IIQ26" s="4"/>
      <c r="IIR26" s="4"/>
      <c r="IIS26" s="4"/>
      <c r="IIT26" s="4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4"/>
      <c r="IJG26" s="4"/>
      <c r="IJH26" s="4"/>
      <c r="IJI26" s="5"/>
      <c r="IJJ26" s="4"/>
      <c r="IJK26" s="28"/>
      <c r="IJL26" s="28"/>
      <c r="IJM26" s="4"/>
      <c r="IJN26" s="4"/>
      <c r="IJO26" s="4"/>
      <c r="IJP26" s="4"/>
      <c r="IJQ26" s="4"/>
      <c r="IJR26" s="4"/>
      <c r="IJS26" s="4"/>
      <c r="IJT26" s="4"/>
      <c r="IJU26" s="4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4"/>
      <c r="IKH26" s="4"/>
      <c r="IKI26" s="4"/>
      <c r="IKJ26" s="5"/>
      <c r="IKK26" s="4"/>
      <c r="IKL26" s="28"/>
      <c r="IKM26" s="28"/>
      <c r="IKN26" s="4"/>
      <c r="IKO26" s="4"/>
      <c r="IKP26" s="4"/>
      <c r="IKQ26" s="4"/>
      <c r="IKR26" s="4"/>
      <c r="IKS26" s="4"/>
      <c r="IKT26" s="4"/>
      <c r="IKU26" s="4"/>
      <c r="IKV26" s="4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4"/>
      <c r="ILI26" s="4"/>
      <c r="ILJ26" s="4"/>
      <c r="ILK26" s="5"/>
      <c r="ILL26" s="4"/>
      <c r="ILM26" s="28"/>
      <c r="ILN26" s="28"/>
      <c r="ILO26" s="4"/>
      <c r="ILP26" s="4"/>
      <c r="ILQ26" s="4"/>
      <c r="ILR26" s="4"/>
      <c r="ILS26" s="4"/>
      <c r="ILT26" s="4"/>
      <c r="ILU26" s="4"/>
      <c r="ILV26" s="4"/>
      <c r="ILW26" s="4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4"/>
      <c r="IMJ26" s="4"/>
      <c r="IMK26" s="4"/>
      <c r="IML26" s="5"/>
      <c r="IMM26" s="4"/>
      <c r="IMN26" s="28"/>
      <c r="IMO26" s="28"/>
      <c r="IMP26" s="4"/>
      <c r="IMQ26" s="4"/>
      <c r="IMR26" s="4"/>
      <c r="IMS26" s="4"/>
      <c r="IMT26" s="4"/>
      <c r="IMU26" s="4"/>
      <c r="IMV26" s="4"/>
      <c r="IMW26" s="4"/>
      <c r="IMX26" s="4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4"/>
      <c r="INK26" s="4"/>
      <c r="INL26" s="4"/>
      <c r="INM26" s="5"/>
      <c r="INN26" s="4"/>
      <c r="INO26" s="28"/>
      <c r="INP26" s="28"/>
      <c r="INQ26" s="4"/>
      <c r="INR26" s="4"/>
      <c r="INS26" s="4"/>
      <c r="INT26" s="4"/>
      <c r="INU26" s="4"/>
      <c r="INV26" s="4"/>
      <c r="INW26" s="4"/>
      <c r="INX26" s="4"/>
      <c r="INY26" s="4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4"/>
      <c r="IOL26" s="4"/>
      <c r="IOM26" s="4"/>
      <c r="ION26" s="5"/>
      <c r="IOO26" s="4"/>
      <c r="IOP26" s="28"/>
      <c r="IOQ26" s="28"/>
      <c r="IOR26" s="4"/>
      <c r="IOS26" s="4"/>
      <c r="IOT26" s="4"/>
      <c r="IOU26" s="4"/>
      <c r="IOV26" s="4"/>
      <c r="IOW26" s="4"/>
      <c r="IOX26" s="4"/>
      <c r="IOY26" s="4"/>
      <c r="IOZ26" s="4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4"/>
      <c r="IPM26" s="4"/>
      <c r="IPN26" s="4"/>
      <c r="IPO26" s="5"/>
      <c r="IPP26" s="4"/>
      <c r="IPQ26" s="28"/>
      <c r="IPR26" s="28"/>
      <c r="IPS26" s="4"/>
      <c r="IPT26" s="4"/>
      <c r="IPU26" s="4"/>
      <c r="IPV26" s="4"/>
      <c r="IPW26" s="4"/>
      <c r="IPX26" s="4"/>
      <c r="IPY26" s="4"/>
      <c r="IPZ26" s="4"/>
      <c r="IQA26" s="4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4"/>
      <c r="IQN26" s="4"/>
      <c r="IQO26" s="4"/>
      <c r="IQP26" s="5"/>
      <c r="IQQ26" s="4"/>
      <c r="IQR26" s="28"/>
      <c r="IQS26" s="28"/>
      <c r="IQT26" s="4"/>
      <c r="IQU26" s="4"/>
      <c r="IQV26" s="4"/>
      <c r="IQW26" s="4"/>
      <c r="IQX26" s="4"/>
      <c r="IQY26" s="4"/>
      <c r="IQZ26" s="4"/>
      <c r="IRA26" s="4"/>
      <c r="IRB26" s="4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4"/>
      <c r="IRO26" s="4"/>
      <c r="IRP26" s="4"/>
      <c r="IRQ26" s="5"/>
      <c r="IRR26" s="4"/>
      <c r="IRS26" s="28"/>
      <c r="IRT26" s="28"/>
      <c r="IRU26" s="4"/>
      <c r="IRV26" s="4"/>
      <c r="IRW26" s="4"/>
      <c r="IRX26" s="4"/>
      <c r="IRY26" s="4"/>
      <c r="IRZ26" s="4"/>
      <c r="ISA26" s="4"/>
      <c r="ISB26" s="4"/>
      <c r="ISC26" s="4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4"/>
      <c r="ISP26" s="4"/>
      <c r="ISQ26" s="4"/>
      <c r="ISR26" s="5"/>
      <c r="ISS26" s="4"/>
      <c r="IST26" s="28"/>
      <c r="ISU26" s="28"/>
      <c r="ISV26" s="4"/>
      <c r="ISW26" s="4"/>
      <c r="ISX26" s="4"/>
      <c r="ISY26" s="4"/>
      <c r="ISZ26" s="4"/>
      <c r="ITA26" s="4"/>
      <c r="ITB26" s="4"/>
      <c r="ITC26" s="4"/>
      <c r="ITD26" s="4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4"/>
      <c r="ITQ26" s="4"/>
      <c r="ITR26" s="4"/>
      <c r="ITS26" s="5"/>
      <c r="ITT26" s="4"/>
      <c r="ITU26" s="28"/>
      <c r="ITV26" s="28"/>
      <c r="ITW26" s="4"/>
      <c r="ITX26" s="4"/>
      <c r="ITY26" s="4"/>
      <c r="ITZ26" s="4"/>
      <c r="IUA26" s="4"/>
      <c r="IUB26" s="4"/>
      <c r="IUC26" s="4"/>
      <c r="IUD26" s="4"/>
      <c r="IUE26" s="4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4"/>
      <c r="IUR26" s="4"/>
      <c r="IUS26" s="4"/>
      <c r="IUT26" s="5"/>
      <c r="IUU26" s="4"/>
      <c r="IUV26" s="28"/>
      <c r="IUW26" s="28"/>
      <c r="IUX26" s="4"/>
      <c r="IUY26" s="4"/>
      <c r="IUZ26" s="4"/>
      <c r="IVA26" s="4"/>
      <c r="IVB26" s="4"/>
      <c r="IVC26" s="4"/>
      <c r="IVD26" s="4"/>
      <c r="IVE26" s="4"/>
      <c r="IVF26" s="4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4"/>
      <c r="IVS26" s="4"/>
      <c r="IVT26" s="4"/>
      <c r="IVU26" s="5"/>
      <c r="IVV26" s="4"/>
      <c r="IVW26" s="28"/>
      <c r="IVX26" s="28"/>
      <c r="IVY26" s="4"/>
      <c r="IVZ26" s="4"/>
      <c r="IWA26" s="4"/>
      <c r="IWB26" s="4"/>
      <c r="IWC26" s="4"/>
      <c r="IWD26" s="4"/>
      <c r="IWE26" s="4"/>
      <c r="IWF26" s="4"/>
      <c r="IWG26" s="4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4"/>
      <c r="IWT26" s="4"/>
      <c r="IWU26" s="4"/>
      <c r="IWV26" s="5"/>
      <c r="IWW26" s="4"/>
      <c r="IWX26" s="28"/>
      <c r="IWY26" s="28"/>
      <c r="IWZ26" s="4"/>
      <c r="IXA26" s="4"/>
      <c r="IXB26" s="4"/>
      <c r="IXC26" s="4"/>
      <c r="IXD26" s="4"/>
      <c r="IXE26" s="4"/>
      <c r="IXF26" s="4"/>
      <c r="IXG26" s="4"/>
      <c r="IXH26" s="4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4"/>
      <c r="IXU26" s="4"/>
      <c r="IXV26" s="4"/>
      <c r="IXW26" s="5"/>
      <c r="IXX26" s="4"/>
      <c r="IXY26" s="28"/>
      <c r="IXZ26" s="28"/>
      <c r="IYA26" s="4"/>
      <c r="IYB26" s="4"/>
      <c r="IYC26" s="4"/>
      <c r="IYD26" s="4"/>
      <c r="IYE26" s="4"/>
      <c r="IYF26" s="4"/>
      <c r="IYG26" s="4"/>
      <c r="IYH26" s="4"/>
      <c r="IYI26" s="4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4"/>
      <c r="IYV26" s="4"/>
      <c r="IYW26" s="4"/>
      <c r="IYX26" s="5"/>
      <c r="IYY26" s="4"/>
      <c r="IYZ26" s="28"/>
      <c r="IZA26" s="28"/>
      <c r="IZB26" s="4"/>
      <c r="IZC26" s="4"/>
      <c r="IZD26" s="4"/>
      <c r="IZE26" s="4"/>
      <c r="IZF26" s="4"/>
      <c r="IZG26" s="4"/>
      <c r="IZH26" s="4"/>
      <c r="IZI26" s="4"/>
      <c r="IZJ26" s="4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4"/>
      <c r="IZW26" s="4"/>
      <c r="IZX26" s="4"/>
      <c r="IZY26" s="5"/>
      <c r="IZZ26" s="4"/>
      <c r="JAA26" s="28"/>
      <c r="JAB26" s="28"/>
      <c r="JAC26" s="4"/>
      <c r="JAD26" s="4"/>
      <c r="JAE26" s="4"/>
      <c r="JAF26" s="4"/>
      <c r="JAG26" s="4"/>
      <c r="JAH26" s="4"/>
      <c r="JAI26" s="4"/>
      <c r="JAJ26" s="4"/>
      <c r="JAK26" s="4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4"/>
      <c r="JAX26" s="4"/>
      <c r="JAY26" s="4"/>
      <c r="JAZ26" s="5"/>
      <c r="JBA26" s="4"/>
      <c r="JBB26" s="28"/>
      <c r="JBC26" s="28"/>
      <c r="JBD26" s="4"/>
      <c r="JBE26" s="4"/>
      <c r="JBF26" s="4"/>
      <c r="JBG26" s="4"/>
      <c r="JBH26" s="4"/>
      <c r="JBI26" s="4"/>
      <c r="JBJ26" s="4"/>
      <c r="JBK26" s="4"/>
      <c r="JBL26" s="4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4"/>
      <c r="JBY26" s="4"/>
      <c r="JBZ26" s="4"/>
      <c r="JCA26" s="5"/>
      <c r="JCB26" s="4"/>
      <c r="JCC26" s="28"/>
      <c r="JCD26" s="28"/>
      <c r="JCE26" s="4"/>
      <c r="JCF26" s="4"/>
      <c r="JCG26" s="4"/>
      <c r="JCH26" s="4"/>
      <c r="JCI26" s="4"/>
      <c r="JCJ26" s="4"/>
      <c r="JCK26" s="4"/>
      <c r="JCL26" s="4"/>
      <c r="JCM26" s="4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4"/>
      <c r="JCZ26" s="4"/>
      <c r="JDA26" s="4"/>
      <c r="JDB26" s="5"/>
      <c r="JDC26" s="4"/>
      <c r="JDD26" s="28"/>
      <c r="JDE26" s="28"/>
      <c r="JDF26" s="4"/>
      <c r="JDG26" s="4"/>
      <c r="JDH26" s="4"/>
      <c r="JDI26" s="4"/>
      <c r="JDJ26" s="4"/>
      <c r="JDK26" s="4"/>
      <c r="JDL26" s="4"/>
      <c r="JDM26" s="4"/>
      <c r="JDN26" s="4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4"/>
      <c r="JEA26" s="4"/>
      <c r="JEB26" s="4"/>
      <c r="JEC26" s="5"/>
      <c r="JED26" s="4"/>
      <c r="JEE26" s="28"/>
      <c r="JEF26" s="28"/>
      <c r="JEG26" s="4"/>
      <c r="JEH26" s="4"/>
      <c r="JEI26" s="4"/>
      <c r="JEJ26" s="4"/>
      <c r="JEK26" s="4"/>
      <c r="JEL26" s="4"/>
      <c r="JEM26" s="4"/>
      <c r="JEN26" s="4"/>
      <c r="JEO26" s="4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4"/>
      <c r="JFB26" s="4"/>
      <c r="JFC26" s="4"/>
      <c r="JFD26" s="5"/>
      <c r="JFE26" s="4"/>
      <c r="JFF26" s="28"/>
      <c r="JFG26" s="28"/>
      <c r="JFH26" s="4"/>
      <c r="JFI26" s="4"/>
      <c r="JFJ26" s="4"/>
      <c r="JFK26" s="4"/>
      <c r="JFL26" s="4"/>
      <c r="JFM26" s="4"/>
      <c r="JFN26" s="4"/>
      <c r="JFO26" s="4"/>
      <c r="JFP26" s="4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4"/>
      <c r="JGC26" s="4"/>
      <c r="JGD26" s="4"/>
      <c r="JGE26" s="5"/>
      <c r="JGF26" s="4"/>
      <c r="JGG26" s="28"/>
      <c r="JGH26" s="28"/>
      <c r="JGI26" s="4"/>
      <c r="JGJ26" s="4"/>
      <c r="JGK26" s="4"/>
      <c r="JGL26" s="4"/>
      <c r="JGM26" s="4"/>
      <c r="JGN26" s="4"/>
      <c r="JGO26" s="4"/>
      <c r="JGP26" s="4"/>
      <c r="JGQ26" s="4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4"/>
      <c r="JHD26" s="4"/>
      <c r="JHE26" s="4"/>
      <c r="JHF26" s="5"/>
      <c r="JHG26" s="4"/>
      <c r="JHH26" s="28"/>
      <c r="JHI26" s="28"/>
      <c r="JHJ26" s="4"/>
      <c r="JHK26" s="4"/>
      <c r="JHL26" s="4"/>
      <c r="JHM26" s="4"/>
      <c r="JHN26" s="4"/>
      <c r="JHO26" s="4"/>
      <c r="JHP26" s="4"/>
      <c r="JHQ26" s="4"/>
      <c r="JHR26" s="4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4"/>
      <c r="JIE26" s="4"/>
      <c r="JIF26" s="4"/>
      <c r="JIG26" s="5"/>
      <c r="JIH26" s="4"/>
      <c r="JII26" s="28"/>
      <c r="JIJ26" s="28"/>
      <c r="JIK26" s="4"/>
      <c r="JIL26" s="4"/>
      <c r="JIM26" s="4"/>
      <c r="JIN26" s="4"/>
      <c r="JIO26" s="4"/>
      <c r="JIP26" s="4"/>
      <c r="JIQ26" s="4"/>
      <c r="JIR26" s="4"/>
      <c r="JIS26" s="4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4"/>
      <c r="JJF26" s="4"/>
      <c r="JJG26" s="4"/>
      <c r="JJH26" s="5"/>
      <c r="JJI26" s="4"/>
      <c r="JJJ26" s="28"/>
      <c r="JJK26" s="28"/>
      <c r="JJL26" s="4"/>
      <c r="JJM26" s="4"/>
      <c r="JJN26" s="4"/>
      <c r="JJO26" s="4"/>
      <c r="JJP26" s="4"/>
      <c r="JJQ26" s="4"/>
      <c r="JJR26" s="4"/>
      <c r="JJS26" s="4"/>
      <c r="JJT26" s="4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4"/>
      <c r="JKG26" s="4"/>
      <c r="JKH26" s="4"/>
      <c r="JKI26" s="5"/>
      <c r="JKJ26" s="4"/>
      <c r="JKK26" s="28"/>
      <c r="JKL26" s="28"/>
      <c r="JKM26" s="4"/>
      <c r="JKN26" s="4"/>
      <c r="JKO26" s="4"/>
      <c r="JKP26" s="4"/>
      <c r="JKQ26" s="4"/>
      <c r="JKR26" s="4"/>
      <c r="JKS26" s="4"/>
      <c r="JKT26" s="4"/>
      <c r="JKU26" s="4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4"/>
      <c r="JLH26" s="4"/>
      <c r="JLI26" s="4"/>
      <c r="JLJ26" s="5"/>
      <c r="JLK26" s="4"/>
      <c r="JLL26" s="28"/>
      <c r="JLM26" s="28"/>
      <c r="JLN26" s="4"/>
      <c r="JLO26" s="4"/>
      <c r="JLP26" s="4"/>
      <c r="JLQ26" s="4"/>
      <c r="JLR26" s="4"/>
      <c r="JLS26" s="4"/>
      <c r="JLT26" s="4"/>
      <c r="JLU26" s="4"/>
      <c r="JLV26" s="4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4"/>
      <c r="JMI26" s="4"/>
      <c r="JMJ26" s="4"/>
      <c r="JMK26" s="5"/>
      <c r="JML26" s="4"/>
      <c r="JMM26" s="28"/>
      <c r="JMN26" s="28"/>
      <c r="JMO26" s="4"/>
      <c r="JMP26" s="4"/>
      <c r="JMQ26" s="4"/>
      <c r="JMR26" s="4"/>
      <c r="JMS26" s="4"/>
      <c r="JMT26" s="4"/>
      <c r="JMU26" s="4"/>
      <c r="JMV26" s="4"/>
      <c r="JMW26" s="4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4"/>
      <c r="JNJ26" s="4"/>
      <c r="JNK26" s="4"/>
      <c r="JNL26" s="5"/>
      <c r="JNM26" s="4"/>
      <c r="JNN26" s="28"/>
      <c r="JNO26" s="28"/>
      <c r="JNP26" s="4"/>
      <c r="JNQ26" s="4"/>
      <c r="JNR26" s="4"/>
      <c r="JNS26" s="4"/>
      <c r="JNT26" s="4"/>
      <c r="JNU26" s="4"/>
      <c r="JNV26" s="4"/>
      <c r="JNW26" s="4"/>
      <c r="JNX26" s="4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4"/>
      <c r="JOK26" s="4"/>
      <c r="JOL26" s="4"/>
      <c r="JOM26" s="5"/>
      <c r="JON26" s="4"/>
      <c r="JOO26" s="28"/>
      <c r="JOP26" s="28"/>
      <c r="JOQ26" s="4"/>
      <c r="JOR26" s="4"/>
      <c r="JOS26" s="4"/>
      <c r="JOT26" s="4"/>
      <c r="JOU26" s="4"/>
      <c r="JOV26" s="4"/>
      <c r="JOW26" s="4"/>
      <c r="JOX26" s="4"/>
      <c r="JOY26" s="4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4"/>
      <c r="JPL26" s="4"/>
      <c r="JPM26" s="4"/>
      <c r="JPN26" s="5"/>
      <c r="JPO26" s="4"/>
      <c r="JPP26" s="28"/>
      <c r="JPQ26" s="28"/>
      <c r="JPR26" s="4"/>
      <c r="JPS26" s="4"/>
      <c r="JPT26" s="4"/>
      <c r="JPU26" s="4"/>
      <c r="JPV26" s="4"/>
      <c r="JPW26" s="4"/>
      <c r="JPX26" s="4"/>
      <c r="JPY26" s="4"/>
      <c r="JPZ26" s="4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4"/>
      <c r="JQM26" s="4"/>
      <c r="JQN26" s="4"/>
      <c r="JQO26" s="5"/>
      <c r="JQP26" s="4"/>
      <c r="JQQ26" s="28"/>
      <c r="JQR26" s="28"/>
      <c r="JQS26" s="4"/>
      <c r="JQT26" s="4"/>
      <c r="JQU26" s="4"/>
      <c r="JQV26" s="4"/>
      <c r="JQW26" s="4"/>
      <c r="JQX26" s="4"/>
      <c r="JQY26" s="4"/>
      <c r="JQZ26" s="4"/>
      <c r="JRA26" s="4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4"/>
      <c r="JRN26" s="4"/>
      <c r="JRO26" s="4"/>
      <c r="JRP26" s="5"/>
      <c r="JRQ26" s="4"/>
      <c r="JRR26" s="28"/>
      <c r="JRS26" s="28"/>
      <c r="JRT26" s="4"/>
      <c r="JRU26" s="4"/>
      <c r="JRV26" s="4"/>
      <c r="JRW26" s="4"/>
      <c r="JRX26" s="4"/>
      <c r="JRY26" s="4"/>
      <c r="JRZ26" s="4"/>
      <c r="JSA26" s="4"/>
      <c r="JSB26" s="4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4"/>
      <c r="JSO26" s="4"/>
      <c r="JSP26" s="4"/>
      <c r="JSQ26" s="5"/>
      <c r="JSR26" s="4"/>
      <c r="JSS26" s="28"/>
      <c r="JST26" s="28"/>
      <c r="JSU26" s="4"/>
      <c r="JSV26" s="4"/>
      <c r="JSW26" s="4"/>
      <c r="JSX26" s="4"/>
      <c r="JSY26" s="4"/>
      <c r="JSZ26" s="4"/>
      <c r="JTA26" s="4"/>
      <c r="JTB26" s="4"/>
      <c r="JTC26" s="4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4"/>
      <c r="JTP26" s="4"/>
      <c r="JTQ26" s="4"/>
      <c r="JTR26" s="5"/>
      <c r="JTS26" s="4"/>
      <c r="JTT26" s="28"/>
      <c r="JTU26" s="28"/>
      <c r="JTV26" s="4"/>
      <c r="JTW26" s="4"/>
      <c r="JTX26" s="4"/>
      <c r="JTY26" s="4"/>
      <c r="JTZ26" s="4"/>
      <c r="JUA26" s="4"/>
      <c r="JUB26" s="4"/>
      <c r="JUC26" s="4"/>
      <c r="JUD26" s="4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4"/>
      <c r="JUQ26" s="4"/>
      <c r="JUR26" s="4"/>
      <c r="JUS26" s="5"/>
      <c r="JUT26" s="4"/>
      <c r="JUU26" s="28"/>
      <c r="JUV26" s="28"/>
      <c r="JUW26" s="4"/>
      <c r="JUX26" s="4"/>
      <c r="JUY26" s="4"/>
      <c r="JUZ26" s="4"/>
      <c r="JVA26" s="4"/>
      <c r="JVB26" s="4"/>
      <c r="JVC26" s="4"/>
      <c r="JVD26" s="4"/>
      <c r="JVE26" s="4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4"/>
      <c r="JVR26" s="4"/>
      <c r="JVS26" s="4"/>
      <c r="JVT26" s="5"/>
      <c r="JVU26" s="4"/>
      <c r="JVV26" s="28"/>
      <c r="JVW26" s="28"/>
      <c r="JVX26" s="4"/>
      <c r="JVY26" s="4"/>
      <c r="JVZ26" s="4"/>
      <c r="JWA26" s="4"/>
      <c r="JWB26" s="4"/>
      <c r="JWC26" s="4"/>
      <c r="JWD26" s="4"/>
      <c r="JWE26" s="4"/>
      <c r="JWF26" s="4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4"/>
      <c r="JWS26" s="4"/>
      <c r="JWT26" s="4"/>
      <c r="JWU26" s="5"/>
      <c r="JWV26" s="4"/>
      <c r="JWW26" s="28"/>
      <c r="JWX26" s="28"/>
      <c r="JWY26" s="4"/>
      <c r="JWZ26" s="4"/>
      <c r="JXA26" s="4"/>
      <c r="JXB26" s="4"/>
      <c r="JXC26" s="4"/>
      <c r="JXD26" s="4"/>
      <c r="JXE26" s="4"/>
      <c r="JXF26" s="4"/>
      <c r="JXG26" s="4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4"/>
      <c r="JXT26" s="4"/>
      <c r="JXU26" s="4"/>
      <c r="JXV26" s="5"/>
      <c r="JXW26" s="4"/>
      <c r="JXX26" s="28"/>
      <c r="JXY26" s="28"/>
      <c r="JXZ26" s="4"/>
      <c r="JYA26" s="4"/>
      <c r="JYB26" s="4"/>
      <c r="JYC26" s="4"/>
      <c r="JYD26" s="4"/>
      <c r="JYE26" s="4"/>
      <c r="JYF26" s="4"/>
      <c r="JYG26" s="4"/>
      <c r="JYH26" s="4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4"/>
      <c r="JYU26" s="4"/>
      <c r="JYV26" s="4"/>
      <c r="JYW26" s="5"/>
      <c r="JYX26" s="4"/>
      <c r="JYY26" s="28"/>
      <c r="JYZ26" s="28"/>
      <c r="JZA26" s="4"/>
      <c r="JZB26" s="4"/>
      <c r="JZC26" s="4"/>
      <c r="JZD26" s="4"/>
      <c r="JZE26" s="4"/>
      <c r="JZF26" s="4"/>
      <c r="JZG26" s="4"/>
      <c r="JZH26" s="4"/>
      <c r="JZI26" s="4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4"/>
      <c r="JZV26" s="4"/>
      <c r="JZW26" s="4"/>
      <c r="JZX26" s="5"/>
      <c r="JZY26" s="4"/>
      <c r="JZZ26" s="28"/>
      <c r="KAA26" s="28"/>
      <c r="KAB26" s="4"/>
      <c r="KAC26" s="4"/>
      <c r="KAD26" s="4"/>
      <c r="KAE26" s="4"/>
      <c r="KAF26" s="4"/>
      <c r="KAG26" s="4"/>
      <c r="KAH26" s="4"/>
      <c r="KAI26" s="4"/>
      <c r="KAJ26" s="4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4"/>
      <c r="KAW26" s="4"/>
      <c r="KAX26" s="4"/>
      <c r="KAY26" s="5"/>
      <c r="KAZ26" s="4"/>
      <c r="KBA26" s="28"/>
      <c r="KBB26" s="28"/>
      <c r="KBC26" s="4"/>
      <c r="KBD26" s="4"/>
      <c r="KBE26" s="4"/>
      <c r="KBF26" s="4"/>
      <c r="KBG26" s="4"/>
      <c r="KBH26" s="4"/>
      <c r="KBI26" s="4"/>
      <c r="KBJ26" s="4"/>
      <c r="KBK26" s="4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4"/>
      <c r="KBX26" s="4"/>
      <c r="KBY26" s="4"/>
      <c r="KBZ26" s="5"/>
      <c r="KCA26" s="4"/>
      <c r="KCB26" s="28"/>
      <c r="KCC26" s="28"/>
      <c r="KCD26" s="4"/>
      <c r="KCE26" s="4"/>
      <c r="KCF26" s="4"/>
      <c r="KCG26" s="4"/>
      <c r="KCH26" s="4"/>
      <c r="KCI26" s="4"/>
      <c r="KCJ26" s="4"/>
      <c r="KCK26" s="4"/>
      <c r="KCL26" s="4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4"/>
      <c r="KCY26" s="4"/>
      <c r="KCZ26" s="4"/>
      <c r="KDA26" s="5"/>
      <c r="KDB26" s="4"/>
      <c r="KDC26" s="28"/>
      <c r="KDD26" s="28"/>
      <c r="KDE26" s="4"/>
      <c r="KDF26" s="4"/>
      <c r="KDG26" s="4"/>
      <c r="KDH26" s="4"/>
      <c r="KDI26" s="4"/>
      <c r="KDJ26" s="4"/>
      <c r="KDK26" s="4"/>
      <c r="KDL26" s="4"/>
      <c r="KDM26" s="4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4"/>
      <c r="KDZ26" s="4"/>
      <c r="KEA26" s="4"/>
      <c r="KEB26" s="5"/>
      <c r="KEC26" s="4"/>
      <c r="KED26" s="28"/>
      <c r="KEE26" s="28"/>
      <c r="KEF26" s="4"/>
      <c r="KEG26" s="4"/>
      <c r="KEH26" s="4"/>
      <c r="KEI26" s="4"/>
      <c r="KEJ26" s="4"/>
      <c r="KEK26" s="4"/>
      <c r="KEL26" s="4"/>
      <c r="KEM26" s="4"/>
      <c r="KEN26" s="4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4"/>
      <c r="KFA26" s="4"/>
      <c r="KFB26" s="4"/>
      <c r="KFC26" s="5"/>
      <c r="KFD26" s="4"/>
      <c r="KFE26" s="28"/>
      <c r="KFF26" s="28"/>
      <c r="KFG26" s="4"/>
      <c r="KFH26" s="4"/>
      <c r="KFI26" s="4"/>
      <c r="KFJ26" s="4"/>
      <c r="KFK26" s="4"/>
      <c r="KFL26" s="4"/>
      <c r="KFM26" s="4"/>
      <c r="KFN26" s="4"/>
      <c r="KFO26" s="4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4"/>
      <c r="KGB26" s="4"/>
      <c r="KGC26" s="4"/>
      <c r="KGD26" s="5"/>
      <c r="KGE26" s="4"/>
      <c r="KGF26" s="28"/>
      <c r="KGG26" s="28"/>
      <c r="KGH26" s="4"/>
      <c r="KGI26" s="4"/>
      <c r="KGJ26" s="4"/>
      <c r="KGK26" s="4"/>
      <c r="KGL26" s="4"/>
      <c r="KGM26" s="4"/>
      <c r="KGN26" s="4"/>
      <c r="KGO26" s="4"/>
      <c r="KGP26" s="4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4"/>
      <c r="KHC26" s="4"/>
      <c r="KHD26" s="4"/>
      <c r="KHE26" s="5"/>
      <c r="KHF26" s="4"/>
      <c r="KHG26" s="28"/>
      <c r="KHH26" s="28"/>
      <c r="KHI26" s="4"/>
      <c r="KHJ26" s="4"/>
      <c r="KHK26" s="4"/>
      <c r="KHL26" s="4"/>
      <c r="KHM26" s="4"/>
      <c r="KHN26" s="4"/>
      <c r="KHO26" s="4"/>
      <c r="KHP26" s="4"/>
      <c r="KHQ26" s="4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4"/>
      <c r="KID26" s="4"/>
      <c r="KIE26" s="4"/>
      <c r="KIF26" s="5"/>
      <c r="KIG26" s="4"/>
      <c r="KIH26" s="28"/>
      <c r="KII26" s="28"/>
      <c r="KIJ26" s="4"/>
      <c r="KIK26" s="4"/>
      <c r="KIL26" s="4"/>
      <c r="KIM26" s="4"/>
      <c r="KIN26" s="4"/>
      <c r="KIO26" s="4"/>
      <c r="KIP26" s="4"/>
      <c r="KIQ26" s="4"/>
      <c r="KIR26" s="4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4"/>
      <c r="KJE26" s="4"/>
      <c r="KJF26" s="4"/>
      <c r="KJG26" s="5"/>
      <c r="KJH26" s="4"/>
      <c r="KJI26" s="28"/>
      <c r="KJJ26" s="28"/>
      <c r="KJK26" s="4"/>
      <c r="KJL26" s="4"/>
      <c r="KJM26" s="4"/>
      <c r="KJN26" s="4"/>
      <c r="KJO26" s="4"/>
      <c r="KJP26" s="4"/>
      <c r="KJQ26" s="4"/>
      <c r="KJR26" s="4"/>
      <c r="KJS26" s="4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4"/>
      <c r="KKF26" s="4"/>
      <c r="KKG26" s="4"/>
      <c r="KKH26" s="5"/>
      <c r="KKI26" s="4"/>
      <c r="KKJ26" s="28"/>
      <c r="KKK26" s="28"/>
      <c r="KKL26" s="4"/>
      <c r="KKM26" s="4"/>
      <c r="KKN26" s="4"/>
      <c r="KKO26" s="4"/>
      <c r="KKP26" s="4"/>
      <c r="KKQ26" s="4"/>
      <c r="KKR26" s="4"/>
      <c r="KKS26" s="4"/>
      <c r="KKT26" s="4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4"/>
      <c r="KLG26" s="4"/>
      <c r="KLH26" s="4"/>
      <c r="KLI26" s="5"/>
      <c r="KLJ26" s="4"/>
      <c r="KLK26" s="28"/>
      <c r="KLL26" s="28"/>
      <c r="KLM26" s="4"/>
      <c r="KLN26" s="4"/>
      <c r="KLO26" s="4"/>
      <c r="KLP26" s="4"/>
      <c r="KLQ26" s="4"/>
      <c r="KLR26" s="4"/>
      <c r="KLS26" s="4"/>
      <c r="KLT26" s="4"/>
      <c r="KLU26" s="4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4"/>
      <c r="KMH26" s="4"/>
      <c r="KMI26" s="4"/>
      <c r="KMJ26" s="5"/>
      <c r="KMK26" s="4"/>
      <c r="KML26" s="28"/>
      <c r="KMM26" s="28"/>
      <c r="KMN26" s="4"/>
      <c r="KMO26" s="4"/>
      <c r="KMP26" s="4"/>
      <c r="KMQ26" s="4"/>
      <c r="KMR26" s="4"/>
      <c r="KMS26" s="4"/>
      <c r="KMT26" s="4"/>
      <c r="KMU26" s="4"/>
      <c r="KMV26" s="4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4"/>
      <c r="KNI26" s="4"/>
      <c r="KNJ26" s="4"/>
      <c r="KNK26" s="5"/>
      <c r="KNL26" s="4"/>
      <c r="KNM26" s="28"/>
      <c r="KNN26" s="28"/>
      <c r="KNO26" s="4"/>
      <c r="KNP26" s="4"/>
      <c r="KNQ26" s="4"/>
      <c r="KNR26" s="4"/>
      <c r="KNS26" s="4"/>
      <c r="KNT26" s="4"/>
      <c r="KNU26" s="4"/>
      <c r="KNV26" s="4"/>
      <c r="KNW26" s="4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4"/>
      <c r="KOJ26" s="4"/>
      <c r="KOK26" s="4"/>
      <c r="KOL26" s="5"/>
      <c r="KOM26" s="4"/>
      <c r="KON26" s="28"/>
      <c r="KOO26" s="28"/>
      <c r="KOP26" s="4"/>
      <c r="KOQ26" s="4"/>
      <c r="KOR26" s="4"/>
      <c r="KOS26" s="4"/>
      <c r="KOT26" s="4"/>
      <c r="KOU26" s="4"/>
      <c r="KOV26" s="4"/>
      <c r="KOW26" s="4"/>
      <c r="KOX26" s="4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4"/>
      <c r="KPK26" s="4"/>
      <c r="KPL26" s="4"/>
      <c r="KPM26" s="5"/>
      <c r="KPN26" s="4"/>
      <c r="KPO26" s="28"/>
      <c r="KPP26" s="28"/>
      <c r="KPQ26" s="4"/>
      <c r="KPR26" s="4"/>
      <c r="KPS26" s="4"/>
      <c r="KPT26" s="4"/>
      <c r="KPU26" s="4"/>
      <c r="KPV26" s="4"/>
      <c r="KPW26" s="4"/>
      <c r="KPX26" s="4"/>
      <c r="KPY26" s="4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4"/>
      <c r="KQL26" s="4"/>
      <c r="KQM26" s="4"/>
      <c r="KQN26" s="5"/>
      <c r="KQO26" s="4"/>
      <c r="KQP26" s="28"/>
      <c r="KQQ26" s="28"/>
      <c r="KQR26" s="4"/>
      <c r="KQS26" s="4"/>
      <c r="KQT26" s="4"/>
      <c r="KQU26" s="4"/>
      <c r="KQV26" s="4"/>
      <c r="KQW26" s="4"/>
      <c r="KQX26" s="4"/>
      <c r="KQY26" s="4"/>
      <c r="KQZ26" s="4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4"/>
      <c r="KRM26" s="4"/>
      <c r="KRN26" s="4"/>
      <c r="KRO26" s="5"/>
      <c r="KRP26" s="4"/>
      <c r="KRQ26" s="28"/>
      <c r="KRR26" s="28"/>
      <c r="KRS26" s="4"/>
      <c r="KRT26" s="4"/>
      <c r="KRU26" s="4"/>
      <c r="KRV26" s="4"/>
      <c r="KRW26" s="4"/>
      <c r="KRX26" s="4"/>
      <c r="KRY26" s="4"/>
      <c r="KRZ26" s="4"/>
      <c r="KSA26" s="4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4"/>
      <c r="KSN26" s="4"/>
      <c r="KSO26" s="4"/>
      <c r="KSP26" s="5"/>
      <c r="KSQ26" s="4"/>
      <c r="KSR26" s="28"/>
      <c r="KSS26" s="28"/>
      <c r="KST26" s="4"/>
      <c r="KSU26" s="4"/>
      <c r="KSV26" s="4"/>
      <c r="KSW26" s="4"/>
      <c r="KSX26" s="4"/>
      <c r="KSY26" s="4"/>
      <c r="KSZ26" s="4"/>
      <c r="KTA26" s="4"/>
      <c r="KTB26" s="4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4"/>
      <c r="KTO26" s="4"/>
      <c r="KTP26" s="4"/>
      <c r="KTQ26" s="5"/>
      <c r="KTR26" s="4"/>
      <c r="KTS26" s="28"/>
      <c r="KTT26" s="28"/>
      <c r="KTU26" s="4"/>
      <c r="KTV26" s="4"/>
      <c r="KTW26" s="4"/>
      <c r="KTX26" s="4"/>
      <c r="KTY26" s="4"/>
      <c r="KTZ26" s="4"/>
      <c r="KUA26" s="4"/>
      <c r="KUB26" s="4"/>
      <c r="KUC26" s="4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4"/>
      <c r="KUP26" s="4"/>
      <c r="KUQ26" s="4"/>
      <c r="KUR26" s="5"/>
      <c r="KUS26" s="4"/>
      <c r="KUT26" s="28"/>
      <c r="KUU26" s="28"/>
      <c r="KUV26" s="4"/>
      <c r="KUW26" s="4"/>
      <c r="KUX26" s="4"/>
      <c r="KUY26" s="4"/>
      <c r="KUZ26" s="4"/>
      <c r="KVA26" s="4"/>
      <c r="KVB26" s="4"/>
      <c r="KVC26" s="4"/>
      <c r="KVD26" s="4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4"/>
      <c r="KVQ26" s="4"/>
      <c r="KVR26" s="4"/>
      <c r="KVS26" s="5"/>
      <c r="KVT26" s="4"/>
      <c r="KVU26" s="28"/>
      <c r="KVV26" s="28"/>
      <c r="KVW26" s="4"/>
      <c r="KVX26" s="4"/>
      <c r="KVY26" s="4"/>
      <c r="KVZ26" s="4"/>
      <c r="KWA26" s="4"/>
      <c r="KWB26" s="4"/>
      <c r="KWC26" s="4"/>
      <c r="KWD26" s="4"/>
      <c r="KWE26" s="4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4"/>
      <c r="KWR26" s="4"/>
      <c r="KWS26" s="4"/>
      <c r="KWT26" s="5"/>
      <c r="KWU26" s="4"/>
      <c r="KWV26" s="28"/>
      <c r="KWW26" s="28"/>
      <c r="KWX26" s="4"/>
      <c r="KWY26" s="4"/>
      <c r="KWZ26" s="4"/>
      <c r="KXA26" s="4"/>
      <c r="KXB26" s="4"/>
      <c r="KXC26" s="4"/>
      <c r="KXD26" s="4"/>
      <c r="KXE26" s="4"/>
      <c r="KXF26" s="4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4"/>
      <c r="KXS26" s="4"/>
      <c r="KXT26" s="4"/>
      <c r="KXU26" s="5"/>
      <c r="KXV26" s="4"/>
      <c r="KXW26" s="28"/>
      <c r="KXX26" s="28"/>
      <c r="KXY26" s="4"/>
      <c r="KXZ26" s="4"/>
      <c r="KYA26" s="4"/>
      <c r="KYB26" s="4"/>
      <c r="KYC26" s="4"/>
      <c r="KYD26" s="4"/>
      <c r="KYE26" s="4"/>
      <c r="KYF26" s="4"/>
      <c r="KYG26" s="4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4"/>
      <c r="KYT26" s="4"/>
      <c r="KYU26" s="4"/>
      <c r="KYV26" s="5"/>
      <c r="KYW26" s="4"/>
      <c r="KYX26" s="28"/>
      <c r="KYY26" s="28"/>
      <c r="KYZ26" s="4"/>
      <c r="KZA26" s="4"/>
      <c r="KZB26" s="4"/>
      <c r="KZC26" s="4"/>
      <c r="KZD26" s="4"/>
      <c r="KZE26" s="4"/>
      <c r="KZF26" s="4"/>
      <c r="KZG26" s="4"/>
      <c r="KZH26" s="4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4"/>
      <c r="KZU26" s="4"/>
      <c r="KZV26" s="4"/>
      <c r="KZW26" s="5"/>
      <c r="KZX26" s="4"/>
      <c r="KZY26" s="28"/>
      <c r="KZZ26" s="28"/>
      <c r="LAA26" s="4"/>
      <c r="LAB26" s="4"/>
      <c r="LAC26" s="4"/>
      <c r="LAD26" s="4"/>
      <c r="LAE26" s="4"/>
      <c r="LAF26" s="4"/>
      <c r="LAG26" s="4"/>
      <c r="LAH26" s="4"/>
      <c r="LAI26" s="4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4"/>
      <c r="LAV26" s="4"/>
      <c r="LAW26" s="4"/>
      <c r="LAX26" s="5"/>
      <c r="LAY26" s="4"/>
      <c r="LAZ26" s="28"/>
      <c r="LBA26" s="28"/>
      <c r="LBB26" s="4"/>
      <c r="LBC26" s="4"/>
      <c r="LBD26" s="4"/>
      <c r="LBE26" s="4"/>
      <c r="LBF26" s="4"/>
      <c r="LBG26" s="4"/>
      <c r="LBH26" s="4"/>
      <c r="LBI26" s="4"/>
      <c r="LBJ26" s="4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4"/>
      <c r="LBW26" s="4"/>
      <c r="LBX26" s="4"/>
      <c r="LBY26" s="5"/>
      <c r="LBZ26" s="4"/>
      <c r="LCA26" s="28"/>
      <c r="LCB26" s="28"/>
      <c r="LCC26" s="4"/>
      <c r="LCD26" s="4"/>
      <c r="LCE26" s="4"/>
      <c r="LCF26" s="4"/>
      <c r="LCG26" s="4"/>
      <c r="LCH26" s="4"/>
      <c r="LCI26" s="4"/>
      <c r="LCJ26" s="4"/>
      <c r="LCK26" s="4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4"/>
      <c r="LCX26" s="4"/>
      <c r="LCY26" s="4"/>
      <c r="LCZ26" s="5"/>
      <c r="LDA26" s="4"/>
      <c r="LDB26" s="28"/>
      <c r="LDC26" s="28"/>
      <c r="LDD26" s="4"/>
      <c r="LDE26" s="4"/>
      <c r="LDF26" s="4"/>
      <c r="LDG26" s="4"/>
      <c r="LDH26" s="4"/>
      <c r="LDI26" s="4"/>
      <c r="LDJ26" s="4"/>
      <c r="LDK26" s="4"/>
      <c r="LDL26" s="4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4"/>
      <c r="LDY26" s="4"/>
      <c r="LDZ26" s="4"/>
      <c r="LEA26" s="5"/>
      <c r="LEB26" s="4"/>
      <c r="LEC26" s="28"/>
      <c r="LED26" s="28"/>
      <c r="LEE26" s="4"/>
      <c r="LEF26" s="4"/>
      <c r="LEG26" s="4"/>
      <c r="LEH26" s="4"/>
      <c r="LEI26" s="4"/>
      <c r="LEJ26" s="4"/>
      <c r="LEK26" s="4"/>
      <c r="LEL26" s="4"/>
      <c r="LEM26" s="4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4"/>
      <c r="LEZ26" s="4"/>
      <c r="LFA26" s="4"/>
      <c r="LFB26" s="5"/>
      <c r="LFC26" s="4"/>
      <c r="LFD26" s="28"/>
      <c r="LFE26" s="28"/>
      <c r="LFF26" s="4"/>
      <c r="LFG26" s="4"/>
      <c r="LFH26" s="4"/>
      <c r="LFI26" s="4"/>
      <c r="LFJ26" s="4"/>
      <c r="LFK26" s="4"/>
      <c r="LFL26" s="4"/>
      <c r="LFM26" s="4"/>
      <c r="LFN26" s="4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4"/>
      <c r="LGA26" s="4"/>
      <c r="LGB26" s="4"/>
      <c r="LGC26" s="5"/>
      <c r="LGD26" s="4"/>
      <c r="LGE26" s="28"/>
      <c r="LGF26" s="28"/>
      <c r="LGG26" s="4"/>
      <c r="LGH26" s="4"/>
      <c r="LGI26" s="4"/>
      <c r="LGJ26" s="4"/>
      <c r="LGK26" s="4"/>
      <c r="LGL26" s="4"/>
      <c r="LGM26" s="4"/>
      <c r="LGN26" s="4"/>
      <c r="LGO26" s="4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4"/>
      <c r="LHB26" s="4"/>
      <c r="LHC26" s="4"/>
      <c r="LHD26" s="5"/>
      <c r="LHE26" s="4"/>
      <c r="LHF26" s="28"/>
      <c r="LHG26" s="28"/>
      <c r="LHH26" s="4"/>
      <c r="LHI26" s="4"/>
      <c r="LHJ26" s="4"/>
      <c r="LHK26" s="4"/>
      <c r="LHL26" s="4"/>
      <c r="LHM26" s="4"/>
      <c r="LHN26" s="4"/>
      <c r="LHO26" s="4"/>
      <c r="LHP26" s="4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4"/>
      <c r="LIC26" s="4"/>
      <c r="LID26" s="4"/>
      <c r="LIE26" s="5"/>
      <c r="LIF26" s="4"/>
      <c r="LIG26" s="28"/>
      <c r="LIH26" s="28"/>
      <c r="LII26" s="4"/>
      <c r="LIJ26" s="4"/>
      <c r="LIK26" s="4"/>
      <c r="LIL26" s="4"/>
      <c r="LIM26" s="4"/>
      <c r="LIN26" s="4"/>
      <c r="LIO26" s="4"/>
      <c r="LIP26" s="4"/>
      <c r="LIQ26" s="4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4"/>
      <c r="LJD26" s="4"/>
      <c r="LJE26" s="4"/>
      <c r="LJF26" s="5"/>
      <c r="LJG26" s="4"/>
      <c r="LJH26" s="28"/>
      <c r="LJI26" s="28"/>
      <c r="LJJ26" s="4"/>
      <c r="LJK26" s="4"/>
      <c r="LJL26" s="4"/>
      <c r="LJM26" s="4"/>
      <c r="LJN26" s="4"/>
      <c r="LJO26" s="4"/>
      <c r="LJP26" s="4"/>
      <c r="LJQ26" s="4"/>
      <c r="LJR26" s="4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4"/>
      <c r="LKE26" s="4"/>
      <c r="LKF26" s="4"/>
      <c r="LKG26" s="5"/>
      <c r="LKH26" s="4"/>
      <c r="LKI26" s="28"/>
      <c r="LKJ26" s="28"/>
      <c r="LKK26" s="4"/>
      <c r="LKL26" s="4"/>
      <c r="LKM26" s="4"/>
      <c r="LKN26" s="4"/>
      <c r="LKO26" s="4"/>
      <c r="LKP26" s="4"/>
      <c r="LKQ26" s="4"/>
      <c r="LKR26" s="4"/>
      <c r="LKS26" s="4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4"/>
      <c r="LLF26" s="4"/>
      <c r="LLG26" s="4"/>
      <c r="LLH26" s="5"/>
      <c r="LLI26" s="4"/>
      <c r="LLJ26" s="28"/>
      <c r="LLK26" s="28"/>
      <c r="LLL26" s="4"/>
      <c r="LLM26" s="4"/>
      <c r="LLN26" s="4"/>
      <c r="LLO26" s="4"/>
      <c r="LLP26" s="4"/>
      <c r="LLQ26" s="4"/>
      <c r="LLR26" s="4"/>
      <c r="LLS26" s="4"/>
      <c r="LLT26" s="4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4"/>
      <c r="LMG26" s="4"/>
      <c r="LMH26" s="4"/>
      <c r="LMI26" s="5"/>
      <c r="LMJ26" s="4"/>
      <c r="LMK26" s="28"/>
      <c r="LML26" s="28"/>
      <c r="LMM26" s="4"/>
      <c r="LMN26" s="4"/>
      <c r="LMO26" s="4"/>
      <c r="LMP26" s="4"/>
      <c r="LMQ26" s="4"/>
      <c r="LMR26" s="4"/>
      <c r="LMS26" s="4"/>
      <c r="LMT26" s="4"/>
      <c r="LMU26" s="4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4"/>
      <c r="LNH26" s="4"/>
      <c r="LNI26" s="4"/>
      <c r="LNJ26" s="5"/>
      <c r="LNK26" s="4"/>
      <c r="LNL26" s="28"/>
      <c r="LNM26" s="28"/>
      <c r="LNN26" s="4"/>
      <c r="LNO26" s="4"/>
      <c r="LNP26" s="4"/>
      <c r="LNQ26" s="4"/>
      <c r="LNR26" s="4"/>
      <c r="LNS26" s="4"/>
      <c r="LNT26" s="4"/>
      <c r="LNU26" s="4"/>
      <c r="LNV26" s="4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4"/>
      <c r="LOI26" s="4"/>
      <c r="LOJ26" s="4"/>
      <c r="LOK26" s="5"/>
      <c r="LOL26" s="4"/>
      <c r="LOM26" s="28"/>
      <c r="LON26" s="28"/>
      <c r="LOO26" s="4"/>
      <c r="LOP26" s="4"/>
      <c r="LOQ26" s="4"/>
      <c r="LOR26" s="4"/>
      <c r="LOS26" s="4"/>
      <c r="LOT26" s="4"/>
      <c r="LOU26" s="4"/>
      <c r="LOV26" s="4"/>
      <c r="LOW26" s="4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4"/>
      <c r="LPJ26" s="4"/>
      <c r="LPK26" s="4"/>
      <c r="LPL26" s="5"/>
      <c r="LPM26" s="4"/>
      <c r="LPN26" s="28"/>
      <c r="LPO26" s="28"/>
      <c r="LPP26" s="4"/>
      <c r="LPQ26" s="4"/>
      <c r="LPR26" s="4"/>
      <c r="LPS26" s="4"/>
      <c r="LPT26" s="4"/>
      <c r="LPU26" s="4"/>
      <c r="LPV26" s="4"/>
      <c r="LPW26" s="4"/>
      <c r="LPX26" s="4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4"/>
      <c r="LQK26" s="4"/>
      <c r="LQL26" s="4"/>
      <c r="LQM26" s="5"/>
      <c r="LQN26" s="4"/>
      <c r="LQO26" s="28"/>
      <c r="LQP26" s="28"/>
      <c r="LQQ26" s="4"/>
      <c r="LQR26" s="4"/>
      <c r="LQS26" s="4"/>
      <c r="LQT26" s="4"/>
      <c r="LQU26" s="4"/>
      <c r="LQV26" s="4"/>
      <c r="LQW26" s="4"/>
      <c r="LQX26" s="4"/>
      <c r="LQY26" s="4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4"/>
      <c r="LRL26" s="4"/>
      <c r="LRM26" s="4"/>
      <c r="LRN26" s="5"/>
      <c r="LRO26" s="4"/>
      <c r="LRP26" s="28"/>
      <c r="LRQ26" s="28"/>
      <c r="LRR26" s="4"/>
      <c r="LRS26" s="4"/>
      <c r="LRT26" s="4"/>
      <c r="LRU26" s="4"/>
      <c r="LRV26" s="4"/>
      <c r="LRW26" s="4"/>
      <c r="LRX26" s="4"/>
      <c r="LRY26" s="4"/>
      <c r="LRZ26" s="4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4"/>
      <c r="LSM26" s="4"/>
      <c r="LSN26" s="4"/>
      <c r="LSO26" s="5"/>
      <c r="LSP26" s="4"/>
      <c r="LSQ26" s="28"/>
      <c r="LSR26" s="28"/>
      <c r="LSS26" s="4"/>
      <c r="LST26" s="4"/>
      <c r="LSU26" s="4"/>
      <c r="LSV26" s="4"/>
      <c r="LSW26" s="4"/>
      <c r="LSX26" s="4"/>
      <c r="LSY26" s="4"/>
      <c r="LSZ26" s="4"/>
      <c r="LTA26" s="4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4"/>
      <c r="LTN26" s="4"/>
      <c r="LTO26" s="4"/>
      <c r="LTP26" s="5"/>
      <c r="LTQ26" s="4"/>
      <c r="LTR26" s="28"/>
      <c r="LTS26" s="28"/>
      <c r="LTT26" s="4"/>
      <c r="LTU26" s="4"/>
      <c r="LTV26" s="4"/>
      <c r="LTW26" s="4"/>
      <c r="LTX26" s="4"/>
      <c r="LTY26" s="4"/>
      <c r="LTZ26" s="4"/>
      <c r="LUA26" s="4"/>
      <c r="LUB26" s="4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4"/>
      <c r="LUO26" s="4"/>
      <c r="LUP26" s="4"/>
      <c r="LUQ26" s="5"/>
      <c r="LUR26" s="4"/>
      <c r="LUS26" s="28"/>
      <c r="LUT26" s="28"/>
      <c r="LUU26" s="4"/>
      <c r="LUV26" s="4"/>
      <c r="LUW26" s="4"/>
      <c r="LUX26" s="4"/>
      <c r="LUY26" s="4"/>
      <c r="LUZ26" s="4"/>
      <c r="LVA26" s="4"/>
      <c r="LVB26" s="4"/>
      <c r="LVC26" s="4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4"/>
      <c r="LVP26" s="4"/>
      <c r="LVQ26" s="4"/>
      <c r="LVR26" s="5"/>
      <c r="LVS26" s="4"/>
      <c r="LVT26" s="28"/>
      <c r="LVU26" s="28"/>
      <c r="LVV26" s="4"/>
      <c r="LVW26" s="4"/>
      <c r="LVX26" s="4"/>
      <c r="LVY26" s="4"/>
      <c r="LVZ26" s="4"/>
      <c r="LWA26" s="4"/>
      <c r="LWB26" s="4"/>
      <c r="LWC26" s="4"/>
      <c r="LWD26" s="4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4"/>
      <c r="LWQ26" s="4"/>
      <c r="LWR26" s="4"/>
      <c r="LWS26" s="5"/>
      <c r="LWT26" s="4"/>
      <c r="LWU26" s="28"/>
      <c r="LWV26" s="28"/>
      <c r="LWW26" s="4"/>
      <c r="LWX26" s="4"/>
      <c r="LWY26" s="4"/>
      <c r="LWZ26" s="4"/>
      <c r="LXA26" s="4"/>
      <c r="LXB26" s="4"/>
      <c r="LXC26" s="4"/>
      <c r="LXD26" s="4"/>
      <c r="LXE26" s="4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4"/>
      <c r="LXR26" s="4"/>
      <c r="LXS26" s="4"/>
      <c r="LXT26" s="5"/>
      <c r="LXU26" s="4"/>
      <c r="LXV26" s="28"/>
      <c r="LXW26" s="28"/>
      <c r="LXX26" s="4"/>
      <c r="LXY26" s="4"/>
      <c r="LXZ26" s="4"/>
      <c r="LYA26" s="4"/>
      <c r="LYB26" s="4"/>
      <c r="LYC26" s="4"/>
      <c r="LYD26" s="4"/>
      <c r="LYE26" s="4"/>
      <c r="LYF26" s="4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4"/>
      <c r="LYS26" s="4"/>
      <c r="LYT26" s="4"/>
      <c r="LYU26" s="5"/>
      <c r="LYV26" s="4"/>
      <c r="LYW26" s="28"/>
      <c r="LYX26" s="28"/>
      <c r="LYY26" s="4"/>
      <c r="LYZ26" s="4"/>
      <c r="LZA26" s="4"/>
      <c r="LZB26" s="4"/>
      <c r="LZC26" s="4"/>
      <c r="LZD26" s="4"/>
      <c r="LZE26" s="4"/>
      <c r="LZF26" s="4"/>
      <c r="LZG26" s="4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4"/>
      <c r="LZT26" s="4"/>
      <c r="LZU26" s="4"/>
      <c r="LZV26" s="5"/>
      <c r="LZW26" s="4"/>
      <c r="LZX26" s="28"/>
      <c r="LZY26" s="28"/>
      <c r="LZZ26" s="4"/>
      <c r="MAA26" s="4"/>
      <c r="MAB26" s="4"/>
      <c r="MAC26" s="4"/>
      <c r="MAD26" s="4"/>
      <c r="MAE26" s="4"/>
      <c r="MAF26" s="4"/>
      <c r="MAG26" s="4"/>
      <c r="MAH26" s="4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4"/>
      <c r="MAU26" s="4"/>
      <c r="MAV26" s="4"/>
      <c r="MAW26" s="5"/>
      <c r="MAX26" s="4"/>
      <c r="MAY26" s="28"/>
      <c r="MAZ26" s="28"/>
      <c r="MBA26" s="4"/>
      <c r="MBB26" s="4"/>
      <c r="MBC26" s="4"/>
      <c r="MBD26" s="4"/>
      <c r="MBE26" s="4"/>
      <c r="MBF26" s="4"/>
      <c r="MBG26" s="4"/>
      <c r="MBH26" s="4"/>
      <c r="MBI26" s="4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4"/>
      <c r="MBV26" s="4"/>
      <c r="MBW26" s="4"/>
      <c r="MBX26" s="5"/>
      <c r="MBY26" s="4"/>
      <c r="MBZ26" s="28"/>
      <c r="MCA26" s="28"/>
      <c r="MCB26" s="4"/>
      <c r="MCC26" s="4"/>
      <c r="MCD26" s="4"/>
      <c r="MCE26" s="4"/>
      <c r="MCF26" s="4"/>
      <c r="MCG26" s="4"/>
      <c r="MCH26" s="4"/>
      <c r="MCI26" s="4"/>
      <c r="MCJ26" s="4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4"/>
      <c r="MCW26" s="4"/>
      <c r="MCX26" s="4"/>
      <c r="MCY26" s="5"/>
      <c r="MCZ26" s="4"/>
      <c r="MDA26" s="28"/>
      <c r="MDB26" s="28"/>
      <c r="MDC26" s="4"/>
      <c r="MDD26" s="4"/>
      <c r="MDE26" s="4"/>
      <c r="MDF26" s="4"/>
      <c r="MDG26" s="4"/>
      <c r="MDH26" s="4"/>
      <c r="MDI26" s="4"/>
      <c r="MDJ26" s="4"/>
      <c r="MDK26" s="4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4"/>
      <c r="MDX26" s="4"/>
      <c r="MDY26" s="4"/>
      <c r="MDZ26" s="5"/>
      <c r="MEA26" s="4"/>
      <c r="MEB26" s="28"/>
      <c r="MEC26" s="28"/>
      <c r="MED26" s="4"/>
      <c r="MEE26" s="4"/>
      <c r="MEF26" s="4"/>
      <c r="MEG26" s="4"/>
      <c r="MEH26" s="4"/>
      <c r="MEI26" s="4"/>
      <c r="MEJ26" s="4"/>
      <c r="MEK26" s="4"/>
      <c r="MEL26" s="4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4"/>
      <c r="MEY26" s="4"/>
      <c r="MEZ26" s="4"/>
      <c r="MFA26" s="5"/>
      <c r="MFB26" s="4"/>
      <c r="MFC26" s="28"/>
      <c r="MFD26" s="28"/>
      <c r="MFE26" s="4"/>
      <c r="MFF26" s="4"/>
      <c r="MFG26" s="4"/>
      <c r="MFH26" s="4"/>
      <c r="MFI26" s="4"/>
      <c r="MFJ26" s="4"/>
      <c r="MFK26" s="4"/>
      <c r="MFL26" s="4"/>
      <c r="MFM26" s="4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4"/>
      <c r="MFZ26" s="4"/>
      <c r="MGA26" s="4"/>
      <c r="MGB26" s="5"/>
      <c r="MGC26" s="4"/>
      <c r="MGD26" s="28"/>
      <c r="MGE26" s="28"/>
      <c r="MGF26" s="4"/>
      <c r="MGG26" s="4"/>
      <c r="MGH26" s="4"/>
      <c r="MGI26" s="4"/>
      <c r="MGJ26" s="4"/>
      <c r="MGK26" s="4"/>
      <c r="MGL26" s="4"/>
      <c r="MGM26" s="4"/>
      <c r="MGN26" s="4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4"/>
      <c r="MHA26" s="4"/>
      <c r="MHB26" s="4"/>
      <c r="MHC26" s="5"/>
      <c r="MHD26" s="4"/>
      <c r="MHE26" s="28"/>
      <c r="MHF26" s="28"/>
      <c r="MHG26" s="4"/>
      <c r="MHH26" s="4"/>
      <c r="MHI26" s="4"/>
      <c r="MHJ26" s="4"/>
      <c r="MHK26" s="4"/>
      <c r="MHL26" s="4"/>
      <c r="MHM26" s="4"/>
      <c r="MHN26" s="4"/>
      <c r="MHO26" s="4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4"/>
      <c r="MIB26" s="4"/>
      <c r="MIC26" s="4"/>
      <c r="MID26" s="5"/>
      <c r="MIE26" s="4"/>
      <c r="MIF26" s="28"/>
      <c r="MIG26" s="28"/>
      <c r="MIH26" s="4"/>
      <c r="MII26" s="4"/>
      <c r="MIJ26" s="4"/>
      <c r="MIK26" s="4"/>
      <c r="MIL26" s="4"/>
      <c r="MIM26" s="4"/>
      <c r="MIN26" s="4"/>
      <c r="MIO26" s="4"/>
      <c r="MIP26" s="4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4"/>
      <c r="MJC26" s="4"/>
      <c r="MJD26" s="4"/>
      <c r="MJE26" s="5"/>
      <c r="MJF26" s="4"/>
      <c r="MJG26" s="28"/>
      <c r="MJH26" s="28"/>
      <c r="MJI26" s="4"/>
      <c r="MJJ26" s="4"/>
      <c r="MJK26" s="4"/>
      <c r="MJL26" s="4"/>
      <c r="MJM26" s="4"/>
      <c r="MJN26" s="4"/>
      <c r="MJO26" s="4"/>
      <c r="MJP26" s="4"/>
      <c r="MJQ26" s="4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4"/>
      <c r="MKD26" s="4"/>
      <c r="MKE26" s="4"/>
      <c r="MKF26" s="5"/>
      <c r="MKG26" s="4"/>
      <c r="MKH26" s="28"/>
      <c r="MKI26" s="28"/>
      <c r="MKJ26" s="4"/>
      <c r="MKK26" s="4"/>
      <c r="MKL26" s="4"/>
      <c r="MKM26" s="4"/>
      <c r="MKN26" s="4"/>
      <c r="MKO26" s="4"/>
      <c r="MKP26" s="4"/>
      <c r="MKQ26" s="4"/>
      <c r="MKR26" s="4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4"/>
      <c r="MLE26" s="4"/>
      <c r="MLF26" s="4"/>
      <c r="MLG26" s="5"/>
      <c r="MLH26" s="4"/>
      <c r="MLI26" s="28"/>
      <c r="MLJ26" s="28"/>
      <c r="MLK26" s="4"/>
      <c r="MLL26" s="4"/>
      <c r="MLM26" s="4"/>
      <c r="MLN26" s="4"/>
      <c r="MLO26" s="4"/>
      <c r="MLP26" s="4"/>
      <c r="MLQ26" s="4"/>
      <c r="MLR26" s="4"/>
      <c r="MLS26" s="4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4"/>
      <c r="MMF26" s="4"/>
      <c r="MMG26" s="4"/>
      <c r="MMH26" s="5"/>
      <c r="MMI26" s="4"/>
      <c r="MMJ26" s="28"/>
      <c r="MMK26" s="28"/>
      <c r="MML26" s="4"/>
      <c r="MMM26" s="4"/>
      <c r="MMN26" s="4"/>
      <c r="MMO26" s="4"/>
      <c r="MMP26" s="4"/>
      <c r="MMQ26" s="4"/>
      <c r="MMR26" s="4"/>
      <c r="MMS26" s="4"/>
      <c r="MMT26" s="4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4"/>
      <c r="MNG26" s="4"/>
      <c r="MNH26" s="4"/>
      <c r="MNI26" s="5"/>
      <c r="MNJ26" s="4"/>
      <c r="MNK26" s="28"/>
      <c r="MNL26" s="28"/>
      <c r="MNM26" s="4"/>
      <c r="MNN26" s="4"/>
      <c r="MNO26" s="4"/>
      <c r="MNP26" s="4"/>
      <c r="MNQ26" s="4"/>
      <c r="MNR26" s="4"/>
      <c r="MNS26" s="4"/>
      <c r="MNT26" s="4"/>
      <c r="MNU26" s="4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4"/>
      <c r="MOH26" s="4"/>
      <c r="MOI26" s="4"/>
      <c r="MOJ26" s="5"/>
      <c r="MOK26" s="4"/>
      <c r="MOL26" s="28"/>
      <c r="MOM26" s="28"/>
      <c r="MON26" s="4"/>
      <c r="MOO26" s="4"/>
      <c r="MOP26" s="4"/>
      <c r="MOQ26" s="4"/>
      <c r="MOR26" s="4"/>
      <c r="MOS26" s="4"/>
      <c r="MOT26" s="4"/>
      <c r="MOU26" s="4"/>
      <c r="MOV26" s="4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4"/>
      <c r="MPI26" s="4"/>
      <c r="MPJ26" s="4"/>
      <c r="MPK26" s="5"/>
      <c r="MPL26" s="4"/>
      <c r="MPM26" s="28"/>
      <c r="MPN26" s="28"/>
      <c r="MPO26" s="4"/>
      <c r="MPP26" s="4"/>
      <c r="MPQ26" s="4"/>
      <c r="MPR26" s="4"/>
      <c r="MPS26" s="4"/>
      <c r="MPT26" s="4"/>
      <c r="MPU26" s="4"/>
      <c r="MPV26" s="4"/>
      <c r="MPW26" s="4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4"/>
      <c r="MQJ26" s="4"/>
      <c r="MQK26" s="4"/>
      <c r="MQL26" s="5"/>
      <c r="MQM26" s="4"/>
      <c r="MQN26" s="28"/>
      <c r="MQO26" s="28"/>
      <c r="MQP26" s="4"/>
      <c r="MQQ26" s="4"/>
      <c r="MQR26" s="4"/>
      <c r="MQS26" s="4"/>
      <c r="MQT26" s="4"/>
      <c r="MQU26" s="4"/>
      <c r="MQV26" s="4"/>
      <c r="MQW26" s="4"/>
      <c r="MQX26" s="4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4"/>
      <c r="MRK26" s="4"/>
      <c r="MRL26" s="4"/>
      <c r="MRM26" s="5"/>
      <c r="MRN26" s="4"/>
      <c r="MRO26" s="28"/>
      <c r="MRP26" s="28"/>
      <c r="MRQ26" s="4"/>
      <c r="MRR26" s="4"/>
      <c r="MRS26" s="4"/>
      <c r="MRT26" s="4"/>
      <c r="MRU26" s="4"/>
      <c r="MRV26" s="4"/>
      <c r="MRW26" s="4"/>
      <c r="MRX26" s="4"/>
      <c r="MRY26" s="4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4"/>
      <c r="MSL26" s="4"/>
      <c r="MSM26" s="4"/>
      <c r="MSN26" s="5"/>
      <c r="MSO26" s="4"/>
      <c r="MSP26" s="28"/>
      <c r="MSQ26" s="28"/>
      <c r="MSR26" s="4"/>
      <c r="MSS26" s="4"/>
      <c r="MST26" s="4"/>
      <c r="MSU26" s="4"/>
      <c r="MSV26" s="4"/>
      <c r="MSW26" s="4"/>
      <c r="MSX26" s="4"/>
      <c r="MSY26" s="4"/>
      <c r="MSZ26" s="4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4"/>
      <c r="MTM26" s="4"/>
      <c r="MTN26" s="4"/>
      <c r="MTO26" s="5"/>
      <c r="MTP26" s="4"/>
      <c r="MTQ26" s="28"/>
      <c r="MTR26" s="28"/>
      <c r="MTS26" s="4"/>
      <c r="MTT26" s="4"/>
      <c r="MTU26" s="4"/>
      <c r="MTV26" s="4"/>
      <c r="MTW26" s="4"/>
      <c r="MTX26" s="4"/>
      <c r="MTY26" s="4"/>
      <c r="MTZ26" s="4"/>
      <c r="MUA26" s="4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4"/>
      <c r="MUN26" s="4"/>
      <c r="MUO26" s="4"/>
      <c r="MUP26" s="5"/>
      <c r="MUQ26" s="4"/>
      <c r="MUR26" s="28"/>
      <c r="MUS26" s="28"/>
      <c r="MUT26" s="4"/>
      <c r="MUU26" s="4"/>
      <c r="MUV26" s="4"/>
      <c r="MUW26" s="4"/>
      <c r="MUX26" s="4"/>
      <c r="MUY26" s="4"/>
      <c r="MUZ26" s="4"/>
      <c r="MVA26" s="4"/>
      <c r="MVB26" s="4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4"/>
      <c r="MVO26" s="4"/>
      <c r="MVP26" s="4"/>
      <c r="MVQ26" s="5"/>
      <c r="MVR26" s="4"/>
      <c r="MVS26" s="28"/>
      <c r="MVT26" s="28"/>
      <c r="MVU26" s="4"/>
      <c r="MVV26" s="4"/>
      <c r="MVW26" s="4"/>
      <c r="MVX26" s="4"/>
      <c r="MVY26" s="4"/>
      <c r="MVZ26" s="4"/>
      <c r="MWA26" s="4"/>
      <c r="MWB26" s="4"/>
      <c r="MWC26" s="4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4"/>
      <c r="MWP26" s="4"/>
      <c r="MWQ26" s="4"/>
      <c r="MWR26" s="5"/>
      <c r="MWS26" s="4"/>
      <c r="MWT26" s="28"/>
      <c r="MWU26" s="28"/>
      <c r="MWV26" s="4"/>
      <c r="MWW26" s="4"/>
      <c r="MWX26" s="4"/>
      <c r="MWY26" s="4"/>
      <c r="MWZ26" s="4"/>
      <c r="MXA26" s="4"/>
      <c r="MXB26" s="4"/>
      <c r="MXC26" s="4"/>
      <c r="MXD26" s="4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4"/>
      <c r="MXQ26" s="4"/>
      <c r="MXR26" s="4"/>
      <c r="MXS26" s="5"/>
      <c r="MXT26" s="4"/>
      <c r="MXU26" s="28"/>
      <c r="MXV26" s="28"/>
      <c r="MXW26" s="4"/>
      <c r="MXX26" s="4"/>
      <c r="MXY26" s="4"/>
      <c r="MXZ26" s="4"/>
      <c r="MYA26" s="4"/>
      <c r="MYB26" s="4"/>
      <c r="MYC26" s="4"/>
      <c r="MYD26" s="4"/>
      <c r="MYE26" s="4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4"/>
      <c r="MYR26" s="4"/>
      <c r="MYS26" s="4"/>
      <c r="MYT26" s="5"/>
      <c r="MYU26" s="4"/>
      <c r="MYV26" s="28"/>
      <c r="MYW26" s="28"/>
      <c r="MYX26" s="4"/>
      <c r="MYY26" s="4"/>
      <c r="MYZ26" s="4"/>
      <c r="MZA26" s="4"/>
      <c r="MZB26" s="4"/>
      <c r="MZC26" s="4"/>
      <c r="MZD26" s="4"/>
      <c r="MZE26" s="4"/>
      <c r="MZF26" s="4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4"/>
      <c r="MZS26" s="4"/>
      <c r="MZT26" s="4"/>
      <c r="MZU26" s="5"/>
      <c r="MZV26" s="4"/>
      <c r="MZW26" s="28"/>
      <c r="MZX26" s="28"/>
      <c r="MZY26" s="4"/>
      <c r="MZZ26" s="4"/>
      <c r="NAA26" s="4"/>
      <c r="NAB26" s="4"/>
      <c r="NAC26" s="4"/>
      <c r="NAD26" s="4"/>
      <c r="NAE26" s="4"/>
      <c r="NAF26" s="4"/>
      <c r="NAG26" s="4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4"/>
      <c r="NAT26" s="4"/>
      <c r="NAU26" s="4"/>
      <c r="NAV26" s="5"/>
      <c r="NAW26" s="4"/>
      <c r="NAX26" s="28"/>
      <c r="NAY26" s="28"/>
      <c r="NAZ26" s="4"/>
      <c r="NBA26" s="4"/>
      <c r="NBB26" s="4"/>
      <c r="NBC26" s="4"/>
      <c r="NBD26" s="4"/>
      <c r="NBE26" s="4"/>
      <c r="NBF26" s="4"/>
      <c r="NBG26" s="4"/>
      <c r="NBH26" s="4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4"/>
      <c r="NBU26" s="4"/>
      <c r="NBV26" s="4"/>
      <c r="NBW26" s="5"/>
      <c r="NBX26" s="4"/>
      <c r="NBY26" s="28"/>
      <c r="NBZ26" s="28"/>
      <c r="NCA26" s="4"/>
      <c r="NCB26" s="4"/>
      <c r="NCC26" s="4"/>
      <c r="NCD26" s="4"/>
      <c r="NCE26" s="4"/>
      <c r="NCF26" s="4"/>
      <c r="NCG26" s="4"/>
      <c r="NCH26" s="4"/>
      <c r="NCI26" s="4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4"/>
      <c r="NCV26" s="4"/>
      <c r="NCW26" s="4"/>
      <c r="NCX26" s="5"/>
      <c r="NCY26" s="4"/>
      <c r="NCZ26" s="28"/>
      <c r="NDA26" s="28"/>
      <c r="NDB26" s="4"/>
      <c r="NDC26" s="4"/>
      <c r="NDD26" s="4"/>
      <c r="NDE26" s="4"/>
      <c r="NDF26" s="4"/>
      <c r="NDG26" s="4"/>
      <c r="NDH26" s="4"/>
      <c r="NDI26" s="4"/>
      <c r="NDJ26" s="4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4"/>
      <c r="NDW26" s="4"/>
      <c r="NDX26" s="4"/>
      <c r="NDY26" s="5"/>
      <c r="NDZ26" s="4"/>
      <c r="NEA26" s="28"/>
      <c r="NEB26" s="28"/>
      <c r="NEC26" s="4"/>
      <c r="NED26" s="4"/>
      <c r="NEE26" s="4"/>
      <c r="NEF26" s="4"/>
      <c r="NEG26" s="4"/>
      <c r="NEH26" s="4"/>
      <c r="NEI26" s="4"/>
      <c r="NEJ26" s="4"/>
      <c r="NEK26" s="4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4"/>
      <c r="NEX26" s="4"/>
      <c r="NEY26" s="4"/>
      <c r="NEZ26" s="5"/>
      <c r="NFA26" s="4"/>
      <c r="NFB26" s="28"/>
      <c r="NFC26" s="28"/>
      <c r="NFD26" s="4"/>
      <c r="NFE26" s="4"/>
      <c r="NFF26" s="4"/>
      <c r="NFG26" s="4"/>
      <c r="NFH26" s="4"/>
      <c r="NFI26" s="4"/>
      <c r="NFJ26" s="4"/>
      <c r="NFK26" s="4"/>
      <c r="NFL26" s="4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4"/>
      <c r="NFY26" s="4"/>
      <c r="NFZ26" s="4"/>
      <c r="NGA26" s="5"/>
      <c r="NGB26" s="4"/>
      <c r="NGC26" s="28"/>
      <c r="NGD26" s="28"/>
      <c r="NGE26" s="4"/>
      <c r="NGF26" s="4"/>
      <c r="NGG26" s="4"/>
      <c r="NGH26" s="4"/>
      <c r="NGI26" s="4"/>
      <c r="NGJ26" s="4"/>
      <c r="NGK26" s="4"/>
      <c r="NGL26" s="4"/>
      <c r="NGM26" s="4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4"/>
      <c r="NGZ26" s="4"/>
      <c r="NHA26" s="4"/>
      <c r="NHB26" s="5"/>
      <c r="NHC26" s="4"/>
      <c r="NHD26" s="28"/>
      <c r="NHE26" s="28"/>
      <c r="NHF26" s="4"/>
      <c r="NHG26" s="4"/>
      <c r="NHH26" s="4"/>
      <c r="NHI26" s="4"/>
      <c r="NHJ26" s="4"/>
      <c r="NHK26" s="4"/>
      <c r="NHL26" s="4"/>
      <c r="NHM26" s="4"/>
      <c r="NHN26" s="4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4"/>
      <c r="NIA26" s="4"/>
      <c r="NIB26" s="4"/>
      <c r="NIC26" s="5"/>
      <c r="NID26" s="4"/>
      <c r="NIE26" s="28"/>
      <c r="NIF26" s="28"/>
      <c r="NIG26" s="4"/>
      <c r="NIH26" s="4"/>
      <c r="NII26" s="4"/>
      <c r="NIJ26" s="4"/>
      <c r="NIK26" s="4"/>
      <c r="NIL26" s="4"/>
      <c r="NIM26" s="4"/>
      <c r="NIN26" s="4"/>
      <c r="NIO26" s="4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4"/>
      <c r="NJB26" s="4"/>
      <c r="NJC26" s="4"/>
      <c r="NJD26" s="5"/>
      <c r="NJE26" s="4"/>
      <c r="NJF26" s="28"/>
      <c r="NJG26" s="28"/>
      <c r="NJH26" s="4"/>
      <c r="NJI26" s="4"/>
      <c r="NJJ26" s="4"/>
      <c r="NJK26" s="4"/>
      <c r="NJL26" s="4"/>
      <c r="NJM26" s="4"/>
      <c r="NJN26" s="4"/>
      <c r="NJO26" s="4"/>
      <c r="NJP26" s="4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4"/>
      <c r="NKC26" s="4"/>
      <c r="NKD26" s="4"/>
      <c r="NKE26" s="5"/>
      <c r="NKF26" s="4"/>
      <c r="NKG26" s="28"/>
      <c r="NKH26" s="28"/>
      <c r="NKI26" s="4"/>
      <c r="NKJ26" s="4"/>
      <c r="NKK26" s="4"/>
      <c r="NKL26" s="4"/>
      <c r="NKM26" s="4"/>
      <c r="NKN26" s="4"/>
      <c r="NKO26" s="4"/>
      <c r="NKP26" s="4"/>
      <c r="NKQ26" s="4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4"/>
      <c r="NLD26" s="4"/>
      <c r="NLE26" s="4"/>
      <c r="NLF26" s="5"/>
      <c r="NLG26" s="4"/>
      <c r="NLH26" s="28"/>
      <c r="NLI26" s="28"/>
      <c r="NLJ26" s="4"/>
      <c r="NLK26" s="4"/>
      <c r="NLL26" s="4"/>
      <c r="NLM26" s="4"/>
      <c r="NLN26" s="4"/>
      <c r="NLO26" s="4"/>
      <c r="NLP26" s="4"/>
      <c r="NLQ26" s="4"/>
      <c r="NLR26" s="4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4"/>
      <c r="NME26" s="4"/>
      <c r="NMF26" s="4"/>
      <c r="NMG26" s="5"/>
      <c r="NMH26" s="4"/>
      <c r="NMI26" s="28"/>
      <c r="NMJ26" s="28"/>
      <c r="NMK26" s="4"/>
      <c r="NML26" s="4"/>
      <c r="NMM26" s="4"/>
      <c r="NMN26" s="4"/>
      <c r="NMO26" s="4"/>
      <c r="NMP26" s="4"/>
      <c r="NMQ26" s="4"/>
      <c r="NMR26" s="4"/>
      <c r="NMS26" s="4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4"/>
      <c r="NNF26" s="4"/>
      <c r="NNG26" s="4"/>
      <c r="NNH26" s="5"/>
      <c r="NNI26" s="4"/>
      <c r="NNJ26" s="28"/>
      <c r="NNK26" s="28"/>
      <c r="NNL26" s="4"/>
      <c r="NNM26" s="4"/>
      <c r="NNN26" s="4"/>
      <c r="NNO26" s="4"/>
      <c r="NNP26" s="4"/>
      <c r="NNQ26" s="4"/>
      <c r="NNR26" s="4"/>
      <c r="NNS26" s="4"/>
      <c r="NNT26" s="4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4"/>
      <c r="NOG26" s="4"/>
      <c r="NOH26" s="4"/>
      <c r="NOI26" s="5"/>
      <c r="NOJ26" s="4"/>
      <c r="NOK26" s="28"/>
      <c r="NOL26" s="28"/>
      <c r="NOM26" s="4"/>
      <c r="NON26" s="4"/>
      <c r="NOO26" s="4"/>
      <c r="NOP26" s="4"/>
      <c r="NOQ26" s="4"/>
      <c r="NOR26" s="4"/>
      <c r="NOS26" s="4"/>
      <c r="NOT26" s="4"/>
      <c r="NOU26" s="4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4"/>
      <c r="NPH26" s="4"/>
      <c r="NPI26" s="4"/>
      <c r="NPJ26" s="5"/>
      <c r="NPK26" s="4"/>
      <c r="NPL26" s="28"/>
      <c r="NPM26" s="28"/>
      <c r="NPN26" s="4"/>
      <c r="NPO26" s="4"/>
      <c r="NPP26" s="4"/>
      <c r="NPQ26" s="4"/>
      <c r="NPR26" s="4"/>
      <c r="NPS26" s="4"/>
      <c r="NPT26" s="4"/>
      <c r="NPU26" s="4"/>
      <c r="NPV26" s="4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4"/>
      <c r="NQI26" s="4"/>
      <c r="NQJ26" s="4"/>
      <c r="NQK26" s="5"/>
      <c r="NQL26" s="4"/>
      <c r="NQM26" s="28"/>
      <c r="NQN26" s="28"/>
      <c r="NQO26" s="4"/>
      <c r="NQP26" s="4"/>
      <c r="NQQ26" s="4"/>
      <c r="NQR26" s="4"/>
      <c r="NQS26" s="4"/>
      <c r="NQT26" s="4"/>
      <c r="NQU26" s="4"/>
      <c r="NQV26" s="4"/>
      <c r="NQW26" s="4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4"/>
      <c r="NRJ26" s="4"/>
      <c r="NRK26" s="4"/>
      <c r="NRL26" s="5"/>
      <c r="NRM26" s="4"/>
      <c r="NRN26" s="28"/>
      <c r="NRO26" s="28"/>
      <c r="NRP26" s="4"/>
      <c r="NRQ26" s="4"/>
      <c r="NRR26" s="4"/>
      <c r="NRS26" s="4"/>
      <c r="NRT26" s="4"/>
      <c r="NRU26" s="4"/>
      <c r="NRV26" s="4"/>
      <c r="NRW26" s="4"/>
      <c r="NRX26" s="4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4"/>
      <c r="NSK26" s="4"/>
      <c r="NSL26" s="4"/>
      <c r="NSM26" s="5"/>
      <c r="NSN26" s="4"/>
      <c r="NSO26" s="28"/>
      <c r="NSP26" s="28"/>
      <c r="NSQ26" s="4"/>
      <c r="NSR26" s="4"/>
      <c r="NSS26" s="4"/>
      <c r="NST26" s="4"/>
      <c r="NSU26" s="4"/>
      <c r="NSV26" s="4"/>
      <c r="NSW26" s="4"/>
      <c r="NSX26" s="4"/>
      <c r="NSY26" s="4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4"/>
      <c r="NTL26" s="4"/>
      <c r="NTM26" s="4"/>
      <c r="NTN26" s="5"/>
      <c r="NTO26" s="4"/>
      <c r="NTP26" s="28"/>
      <c r="NTQ26" s="28"/>
      <c r="NTR26" s="4"/>
      <c r="NTS26" s="4"/>
      <c r="NTT26" s="4"/>
      <c r="NTU26" s="4"/>
      <c r="NTV26" s="4"/>
      <c r="NTW26" s="4"/>
      <c r="NTX26" s="4"/>
      <c r="NTY26" s="4"/>
      <c r="NTZ26" s="4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4"/>
      <c r="NUM26" s="4"/>
      <c r="NUN26" s="4"/>
      <c r="NUO26" s="5"/>
      <c r="NUP26" s="4"/>
      <c r="NUQ26" s="28"/>
      <c r="NUR26" s="28"/>
      <c r="NUS26" s="4"/>
      <c r="NUT26" s="4"/>
      <c r="NUU26" s="4"/>
      <c r="NUV26" s="4"/>
      <c r="NUW26" s="4"/>
      <c r="NUX26" s="4"/>
      <c r="NUY26" s="4"/>
      <c r="NUZ26" s="4"/>
      <c r="NVA26" s="4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4"/>
      <c r="NVN26" s="4"/>
      <c r="NVO26" s="4"/>
      <c r="NVP26" s="5"/>
      <c r="NVQ26" s="4"/>
      <c r="NVR26" s="28"/>
      <c r="NVS26" s="28"/>
      <c r="NVT26" s="4"/>
      <c r="NVU26" s="4"/>
      <c r="NVV26" s="4"/>
      <c r="NVW26" s="4"/>
      <c r="NVX26" s="4"/>
      <c r="NVY26" s="4"/>
      <c r="NVZ26" s="4"/>
      <c r="NWA26" s="4"/>
      <c r="NWB26" s="4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4"/>
      <c r="NWO26" s="4"/>
      <c r="NWP26" s="4"/>
      <c r="NWQ26" s="5"/>
      <c r="NWR26" s="4"/>
      <c r="NWS26" s="28"/>
      <c r="NWT26" s="28"/>
      <c r="NWU26" s="4"/>
      <c r="NWV26" s="4"/>
      <c r="NWW26" s="4"/>
      <c r="NWX26" s="4"/>
      <c r="NWY26" s="4"/>
      <c r="NWZ26" s="4"/>
      <c r="NXA26" s="4"/>
      <c r="NXB26" s="4"/>
      <c r="NXC26" s="4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4"/>
      <c r="NXP26" s="4"/>
      <c r="NXQ26" s="4"/>
      <c r="NXR26" s="5"/>
      <c r="NXS26" s="4"/>
      <c r="NXT26" s="28"/>
      <c r="NXU26" s="28"/>
      <c r="NXV26" s="4"/>
      <c r="NXW26" s="4"/>
      <c r="NXX26" s="4"/>
      <c r="NXY26" s="4"/>
      <c r="NXZ26" s="4"/>
      <c r="NYA26" s="4"/>
      <c r="NYB26" s="4"/>
      <c r="NYC26" s="4"/>
      <c r="NYD26" s="4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4"/>
      <c r="NYQ26" s="4"/>
      <c r="NYR26" s="4"/>
      <c r="NYS26" s="5"/>
      <c r="NYT26" s="4"/>
      <c r="NYU26" s="28"/>
      <c r="NYV26" s="28"/>
      <c r="NYW26" s="4"/>
      <c r="NYX26" s="4"/>
      <c r="NYY26" s="4"/>
      <c r="NYZ26" s="4"/>
      <c r="NZA26" s="4"/>
      <c r="NZB26" s="4"/>
      <c r="NZC26" s="4"/>
      <c r="NZD26" s="4"/>
      <c r="NZE26" s="4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4"/>
      <c r="NZR26" s="4"/>
      <c r="NZS26" s="4"/>
      <c r="NZT26" s="5"/>
      <c r="NZU26" s="4"/>
      <c r="NZV26" s="28"/>
      <c r="NZW26" s="28"/>
      <c r="NZX26" s="4"/>
      <c r="NZY26" s="4"/>
      <c r="NZZ26" s="4"/>
      <c r="OAA26" s="4"/>
      <c r="OAB26" s="4"/>
      <c r="OAC26" s="4"/>
      <c r="OAD26" s="4"/>
      <c r="OAE26" s="4"/>
      <c r="OAF26" s="4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4"/>
      <c r="OAS26" s="4"/>
      <c r="OAT26" s="4"/>
      <c r="OAU26" s="5"/>
      <c r="OAV26" s="4"/>
      <c r="OAW26" s="28"/>
      <c r="OAX26" s="28"/>
      <c r="OAY26" s="4"/>
      <c r="OAZ26" s="4"/>
      <c r="OBA26" s="4"/>
      <c r="OBB26" s="4"/>
      <c r="OBC26" s="4"/>
      <c r="OBD26" s="4"/>
      <c r="OBE26" s="4"/>
      <c r="OBF26" s="4"/>
      <c r="OBG26" s="4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4"/>
      <c r="OBT26" s="4"/>
      <c r="OBU26" s="4"/>
      <c r="OBV26" s="5"/>
      <c r="OBW26" s="4"/>
      <c r="OBX26" s="28"/>
      <c r="OBY26" s="28"/>
      <c r="OBZ26" s="4"/>
      <c r="OCA26" s="4"/>
      <c r="OCB26" s="4"/>
      <c r="OCC26" s="4"/>
      <c r="OCD26" s="4"/>
      <c r="OCE26" s="4"/>
      <c r="OCF26" s="4"/>
      <c r="OCG26" s="4"/>
      <c r="OCH26" s="4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4"/>
      <c r="OCU26" s="4"/>
      <c r="OCV26" s="4"/>
      <c r="OCW26" s="5"/>
      <c r="OCX26" s="4"/>
      <c r="OCY26" s="28"/>
      <c r="OCZ26" s="28"/>
      <c r="ODA26" s="4"/>
      <c r="ODB26" s="4"/>
      <c r="ODC26" s="4"/>
      <c r="ODD26" s="4"/>
      <c r="ODE26" s="4"/>
      <c r="ODF26" s="4"/>
      <c r="ODG26" s="4"/>
      <c r="ODH26" s="4"/>
      <c r="ODI26" s="4"/>
      <c r="ODJ26" s="4"/>
      <c r="ODK26" s="4"/>
      <c r="ODL26" s="4"/>
      <c r="ODM26" s="4"/>
      <c r="ODN26" s="4"/>
      <c r="ODO26" s="4"/>
      <c r="ODP26" s="4"/>
      <c r="ODQ26" s="4"/>
      <c r="ODR26" s="4"/>
      <c r="ODS26" s="4"/>
      <c r="ODT26" s="4"/>
      <c r="ODU26" s="4"/>
      <c r="ODV26" s="4"/>
      <c r="ODW26" s="4"/>
      <c r="ODX26" s="5"/>
      <c r="ODY26" s="4"/>
      <c r="ODZ26" s="28"/>
      <c r="OEA26" s="28"/>
      <c r="OEB26" s="4"/>
      <c r="OEC26" s="4"/>
      <c r="OED26" s="4"/>
      <c r="OEE26" s="4"/>
      <c r="OEF26" s="4"/>
      <c r="OEG26" s="4"/>
      <c r="OEH26" s="4"/>
      <c r="OEI26" s="4"/>
      <c r="OEJ26" s="4"/>
      <c r="OEK26" s="4"/>
      <c r="OEL26" s="4"/>
      <c r="OEM26" s="4"/>
      <c r="OEN26" s="4"/>
      <c r="OEO26" s="4"/>
      <c r="OEP26" s="4"/>
      <c r="OEQ26" s="4"/>
      <c r="OER26" s="4"/>
      <c r="OES26" s="4"/>
      <c r="OET26" s="4"/>
      <c r="OEU26" s="4"/>
      <c r="OEV26" s="4"/>
      <c r="OEW26" s="4"/>
      <c r="OEX26" s="4"/>
      <c r="OEY26" s="5"/>
      <c r="OEZ26" s="4"/>
      <c r="OFA26" s="28"/>
      <c r="OFB26" s="28"/>
      <c r="OFC26" s="4"/>
      <c r="OFD26" s="4"/>
      <c r="OFE26" s="4"/>
      <c r="OFF26" s="4"/>
      <c r="OFG26" s="4"/>
      <c r="OFH26" s="4"/>
      <c r="OFI26" s="4"/>
      <c r="OFJ26" s="4"/>
      <c r="OFK26" s="4"/>
      <c r="OFL26" s="4"/>
      <c r="OFM26" s="4"/>
      <c r="OFN26" s="4"/>
      <c r="OFO26" s="4"/>
      <c r="OFP26" s="4"/>
      <c r="OFQ26" s="4"/>
      <c r="OFR26" s="4"/>
      <c r="OFS26" s="4"/>
      <c r="OFT26" s="4"/>
      <c r="OFU26" s="4"/>
      <c r="OFV26" s="4"/>
      <c r="OFW26" s="4"/>
      <c r="OFX26" s="4"/>
      <c r="OFY26" s="4"/>
      <c r="OFZ26" s="5"/>
      <c r="OGA26" s="4"/>
      <c r="OGB26" s="28"/>
      <c r="OGC26" s="28"/>
      <c r="OGD26" s="4"/>
      <c r="OGE26" s="4"/>
      <c r="OGF26" s="4"/>
      <c r="OGG26" s="4"/>
      <c r="OGH26" s="4"/>
      <c r="OGI26" s="4"/>
      <c r="OGJ26" s="4"/>
      <c r="OGK26" s="4"/>
      <c r="OGL26" s="4"/>
      <c r="OGM26" s="4"/>
      <c r="OGN26" s="4"/>
      <c r="OGO26" s="4"/>
      <c r="OGP26" s="4"/>
      <c r="OGQ26" s="4"/>
      <c r="OGR26" s="4"/>
      <c r="OGS26" s="4"/>
      <c r="OGT26" s="4"/>
      <c r="OGU26" s="4"/>
      <c r="OGV26" s="4"/>
      <c r="OGW26" s="4"/>
      <c r="OGX26" s="4"/>
      <c r="OGY26" s="4"/>
      <c r="OGZ26" s="4"/>
      <c r="OHA26" s="5"/>
      <c r="OHB26" s="4"/>
      <c r="OHC26" s="28"/>
      <c r="OHD26" s="28"/>
      <c r="OHE26" s="4"/>
      <c r="OHF26" s="4"/>
      <c r="OHG26" s="4"/>
      <c r="OHH26" s="4"/>
      <c r="OHI26" s="4"/>
      <c r="OHJ26" s="4"/>
      <c r="OHK26" s="4"/>
      <c r="OHL26" s="4"/>
      <c r="OHM26" s="4"/>
      <c r="OHN26" s="4"/>
      <c r="OHO26" s="4"/>
      <c r="OHP26" s="4"/>
      <c r="OHQ26" s="4"/>
      <c r="OHR26" s="4"/>
      <c r="OHS26" s="4"/>
      <c r="OHT26" s="4"/>
      <c r="OHU26" s="4"/>
      <c r="OHV26" s="4"/>
      <c r="OHW26" s="4"/>
      <c r="OHX26" s="4"/>
      <c r="OHY26" s="4"/>
      <c r="OHZ26" s="4"/>
      <c r="OIA26" s="4"/>
      <c r="OIB26" s="5"/>
      <c r="OIC26" s="4"/>
      <c r="OID26" s="28"/>
      <c r="OIE26" s="28"/>
      <c r="OIF26" s="4"/>
      <c r="OIG26" s="4"/>
      <c r="OIH26" s="4"/>
      <c r="OII26" s="4"/>
      <c r="OIJ26" s="4"/>
      <c r="OIK26" s="4"/>
      <c r="OIL26" s="4"/>
      <c r="OIM26" s="4"/>
      <c r="OIN26" s="4"/>
      <c r="OIO26" s="4"/>
      <c r="OIP26" s="4"/>
      <c r="OIQ26" s="4"/>
      <c r="OIR26" s="4"/>
      <c r="OIS26" s="4"/>
      <c r="OIT26" s="4"/>
      <c r="OIU26" s="4"/>
      <c r="OIV26" s="4"/>
      <c r="OIW26" s="4"/>
      <c r="OIX26" s="4"/>
      <c r="OIY26" s="4"/>
      <c r="OIZ26" s="4"/>
      <c r="OJA26" s="4"/>
      <c r="OJB26" s="4"/>
      <c r="OJC26" s="5"/>
      <c r="OJD26" s="4"/>
      <c r="OJE26" s="28"/>
      <c r="OJF26" s="28"/>
      <c r="OJG26" s="4"/>
      <c r="OJH26" s="4"/>
      <c r="OJI26" s="4"/>
      <c r="OJJ26" s="4"/>
      <c r="OJK26" s="4"/>
      <c r="OJL26" s="4"/>
      <c r="OJM26" s="4"/>
      <c r="OJN26" s="4"/>
      <c r="OJO26" s="4"/>
      <c r="OJP26" s="4"/>
      <c r="OJQ26" s="4"/>
      <c r="OJR26" s="4"/>
      <c r="OJS26" s="4"/>
      <c r="OJT26" s="4"/>
      <c r="OJU26" s="4"/>
      <c r="OJV26" s="4"/>
      <c r="OJW26" s="4"/>
      <c r="OJX26" s="4"/>
      <c r="OJY26" s="4"/>
      <c r="OJZ26" s="4"/>
      <c r="OKA26" s="4"/>
      <c r="OKB26" s="4"/>
      <c r="OKC26" s="4"/>
      <c r="OKD26" s="5"/>
      <c r="OKE26" s="4"/>
      <c r="OKF26" s="28"/>
      <c r="OKG26" s="28"/>
      <c r="OKH26" s="4"/>
      <c r="OKI26" s="4"/>
      <c r="OKJ26" s="4"/>
      <c r="OKK26" s="4"/>
      <c r="OKL26" s="4"/>
      <c r="OKM26" s="4"/>
      <c r="OKN26" s="4"/>
      <c r="OKO26" s="4"/>
      <c r="OKP26" s="4"/>
      <c r="OKQ26" s="4"/>
      <c r="OKR26" s="4"/>
      <c r="OKS26" s="4"/>
      <c r="OKT26" s="4"/>
      <c r="OKU26" s="4"/>
      <c r="OKV26" s="4"/>
      <c r="OKW26" s="4"/>
      <c r="OKX26" s="4"/>
      <c r="OKY26" s="4"/>
      <c r="OKZ26" s="4"/>
      <c r="OLA26" s="4"/>
      <c r="OLB26" s="4"/>
      <c r="OLC26" s="4"/>
      <c r="OLD26" s="4"/>
      <c r="OLE26" s="5"/>
      <c r="OLF26" s="4"/>
      <c r="OLG26" s="28"/>
      <c r="OLH26" s="28"/>
      <c r="OLI26" s="4"/>
      <c r="OLJ26" s="4"/>
      <c r="OLK26" s="4"/>
      <c r="OLL26" s="4"/>
      <c r="OLM26" s="4"/>
      <c r="OLN26" s="4"/>
      <c r="OLO26" s="4"/>
      <c r="OLP26" s="4"/>
      <c r="OLQ26" s="4"/>
      <c r="OLR26" s="4"/>
      <c r="OLS26" s="4"/>
      <c r="OLT26" s="4"/>
      <c r="OLU26" s="4"/>
      <c r="OLV26" s="4"/>
      <c r="OLW26" s="4"/>
      <c r="OLX26" s="4"/>
      <c r="OLY26" s="4"/>
      <c r="OLZ26" s="4"/>
      <c r="OMA26" s="4"/>
      <c r="OMB26" s="4"/>
      <c r="OMC26" s="4"/>
      <c r="OMD26" s="4"/>
      <c r="OME26" s="4"/>
      <c r="OMF26" s="5"/>
      <c r="OMG26" s="4"/>
      <c r="OMH26" s="28"/>
      <c r="OMI26" s="28"/>
      <c r="OMJ26" s="4"/>
      <c r="OMK26" s="4"/>
      <c r="OML26" s="4"/>
      <c r="OMM26" s="4"/>
      <c r="OMN26" s="4"/>
      <c r="OMO26" s="4"/>
      <c r="OMP26" s="4"/>
      <c r="OMQ26" s="4"/>
      <c r="OMR26" s="4"/>
      <c r="OMS26" s="4"/>
      <c r="OMT26" s="4"/>
      <c r="OMU26" s="4"/>
      <c r="OMV26" s="4"/>
      <c r="OMW26" s="4"/>
      <c r="OMX26" s="4"/>
      <c r="OMY26" s="4"/>
      <c r="OMZ26" s="4"/>
      <c r="ONA26" s="4"/>
      <c r="ONB26" s="4"/>
      <c r="ONC26" s="4"/>
      <c r="OND26" s="4"/>
      <c r="ONE26" s="4"/>
      <c r="ONF26" s="4"/>
      <c r="ONG26" s="5"/>
      <c r="ONH26" s="4"/>
      <c r="ONI26" s="28"/>
      <c r="ONJ26" s="28"/>
      <c r="ONK26" s="4"/>
      <c r="ONL26" s="4"/>
      <c r="ONM26" s="4"/>
      <c r="ONN26" s="4"/>
      <c r="ONO26" s="4"/>
      <c r="ONP26" s="4"/>
      <c r="ONQ26" s="4"/>
      <c r="ONR26" s="4"/>
      <c r="ONS26" s="4"/>
      <c r="ONT26" s="4"/>
      <c r="ONU26" s="4"/>
      <c r="ONV26" s="4"/>
      <c r="ONW26" s="4"/>
      <c r="ONX26" s="4"/>
      <c r="ONY26" s="4"/>
      <c r="ONZ26" s="4"/>
      <c r="OOA26" s="4"/>
      <c r="OOB26" s="4"/>
      <c r="OOC26" s="4"/>
      <c r="OOD26" s="4"/>
      <c r="OOE26" s="4"/>
      <c r="OOF26" s="4"/>
      <c r="OOG26" s="4"/>
      <c r="OOH26" s="5"/>
      <c r="OOI26" s="4"/>
      <c r="OOJ26" s="28"/>
      <c r="OOK26" s="28"/>
      <c r="OOL26" s="4"/>
      <c r="OOM26" s="4"/>
      <c r="OON26" s="4"/>
      <c r="OOO26" s="4"/>
      <c r="OOP26" s="4"/>
      <c r="OOQ26" s="4"/>
      <c r="OOR26" s="4"/>
      <c r="OOS26" s="4"/>
      <c r="OOT26" s="4"/>
      <c r="OOU26" s="4"/>
      <c r="OOV26" s="4"/>
      <c r="OOW26" s="4"/>
      <c r="OOX26" s="4"/>
      <c r="OOY26" s="4"/>
      <c r="OOZ26" s="4"/>
      <c r="OPA26" s="4"/>
      <c r="OPB26" s="4"/>
      <c r="OPC26" s="4"/>
      <c r="OPD26" s="4"/>
      <c r="OPE26" s="4"/>
      <c r="OPF26" s="4"/>
      <c r="OPG26" s="4"/>
      <c r="OPH26" s="4"/>
      <c r="OPI26" s="5"/>
      <c r="OPJ26" s="4"/>
      <c r="OPK26" s="28"/>
      <c r="OPL26" s="28"/>
      <c r="OPM26" s="4"/>
      <c r="OPN26" s="4"/>
      <c r="OPO26" s="4"/>
      <c r="OPP26" s="4"/>
      <c r="OPQ26" s="4"/>
      <c r="OPR26" s="4"/>
      <c r="OPS26" s="4"/>
      <c r="OPT26" s="4"/>
      <c r="OPU26" s="4"/>
      <c r="OPV26" s="4"/>
      <c r="OPW26" s="4"/>
      <c r="OPX26" s="4"/>
      <c r="OPY26" s="4"/>
      <c r="OPZ26" s="4"/>
      <c r="OQA26" s="4"/>
      <c r="OQB26" s="4"/>
      <c r="OQC26" s="4"/>
      <c r="OQD26" s="4"/>
      <c r="OQE26" s="4"/>
      <c r="OQF26" s="4"/>
      <c r="OQG26" s="4"/>
      <c r="OQH26" s="4"/>
      <c r="OQI26" s="4"/>
      <c r="OQJ26" s="5"/>
      <c r="OQK26" s="4"/>
      <c r="OQL26" s="28"/>
      <c r="OQM26" s="28"/>
      <c r="OQN26" s="4"/>
      <c r="OQO26" s="4"/>
      <c r="OQP26" s="4"/>
      <c r="OQQ26" s="4"/>
      <c r="OQR26" s="4"/>
      <c r="OQS26" s="4"/>
      <c r="OQT26" s="4"/>
      <c r="OQU26" s="4"/>
      <c r="OQV26" s="4"/>
      <c r="OQW26" s="4"/>
      <c r="OQX26" s="4"/>
      <c r="OQY26" s="4"/>
      <c r="OQZ26" s="4"/>
      <c r="ORA26" s="4"/>
      <c r="ORB26" s="4"/>
      <c r="ORC26" s="4"/>
      <c r="ORD26" s="4"/>
      <c r="ORE26" s="4"/>
      <c r="ORF26" s="4"/>
      <c r="ORG26" s="4"/>
      <c r="ORH26" s="4"/>
      <c r="ORI26" s="4"/>
      <c r="ORJ26" s="4"/>
      <c r="ORK26" s="5"/>
      <c r="ORL26" s="4"/>
      <c r="ORM26" s="28"/>
      <c r="ORN26" s="28"/>
      <c r="ORO26" s="4"/>
      <c r="ORP26" s="4"/>
      <c r="ORQ26" s="4"/>
      <c r="ORR26" s="4"/>
      <c r="ORS26" s="4"/>
      <c r="ORT26" s="4"/>
      <c r="ORU26" s="4"/>
      <c r="ORV26" s="4"/>
      <c r="ORW26" s="4"/>
      <c r="ORX26" s="4"/>
      <c r="ORY26" s="4"/>
      <c r="ORZ26" s="4"/>
      <c r="OSA26" s="4"/>
      <c r="OSB26" s="4"/>
      <c r="OSC26" s="4"/>
      <c r="OSD26" s="4"/>
      <c r="OSE26" s="4"/>
      <c r="OSF26" s="4"/>
      <c r="OSG26" s="4"/>
      <c r="OSH26" s="4"/>
      <c r="OSI26" s="4"/>
      <c r="OSJ26" s="4"/>
      <c r="OSK26" s="4"/>
      <c r="OSL26" s="5"/>
      <c r="OSM26" s="4"/>
      <c r="OSN26" s="28"/>
      <c r="OSO26" s="28"/>
      <c r="OSP26" s="4"/>
      <c r="OSQ26" s="4"/>
      <c r="OSR26" s="4"/>
      <c r="OSS26" s="4"/>
      <c r="OST26" s="4"/>
      <c r="OSU26" s="4"/>
      <c r="OSV26" s="4"/>
      <c r="OSW26" s="4"/>
      <c r="OSX26" s="4"/>
      <c r="OSY26" s="4"/>
      <c r="OSZ26" s="4"/>
      <c r="OTA26" s="4"/>
      <c r="OTB26" s="4"/>
      <c r="OTC26" s="4"/>
      <c r="OTD26" s="4"/>
      <c r="OTE26" s="4"/>
      <c r="OTF26" s="4"/>
      <c r="OTG26" s="4"/>
      <c r="OTH26" s="4"/>
      <c r="OTI26" s="4"/>
      <c r="OTJ26" s="4"/>
      <c r="OTK26" s="4"/>
      <c r="OTL26" s="4"/>
      <c r="OTM26" s="5"/>
      <c r="OTN26" s="4"/>
      <c r="OTO26" s="28"/>
      <c r="OTP26" s="28"/>
      <c r="OTQ26" s="4"/>
      <c r="OTR26" s="4"/>
      <c r="OTS26" s="4"/>
      <c r="OTT26" s="4"/>
      <c r="OTU26" s="4"/>
      <c r="OTV26" s="4"/>
      <c r="OTW26" s="4"/>
      <c r="OTX26" s="4"/>
      <c r="OTY26" s="4"/>
      <c r="OTZ26" s="4"/>
      <c r="OUA26" s="4"/>
      <c r="OUB26" s="4"/>
      <c r="OUC26" s="4"/>
      <c r="OUD26" s="4"/>
      <c r="OUE26" s="4"/>
      <c r="OUF26" s="4"/>
      <c r="OUG26" s="4"/>
      <c r="OUH26" s="4"/>
      <c r="OUI26" s="4"/>
      <c r="OUJ26" s="4"/>
      <c r="OUK26" s="4"/>
      <c r="OUL26" s="4"/>
      <c r="OUM26" s="4"/>
      <c r="OUN26" s="5"/>
      <c r="OUO26" s="4"/>
      <c r="OUP26" s="28"/>
      <c r="OUQ26" s="28"/>
      <c r="OUR26" s="4"/>
      <c r="OUS26" s="4"/>
      <c r="OUT26" s="4"/>
      <c r="OUU26" s="4"/>
      <c r="OUV26" s="4"/>
      <c r="OUW26" s="4"/>
      <c r="OUX26" s="4"/>
      <c r="OUY26" s="4"/>
      <c r="OUZ26" s="4"/>
      <c r="OVA26" s="4"/>
      <c r="OVB26" s="4"/>
      <c r="OVC26" s="4"/>
      <c r="OVD26" s="4"/>
      <c r="OVE26" s="4"/>
      <c r="OVF26" s="4"/>
      <c r="OVG26" s="4"/>
      <c r="OVH26" s="4"/>
      <c r="OVI26" s="4"/>
      <c r="OVJ26" s="4"/>
      <c r="OVK26" s="4"/>
      <c r="OVL26" s="4"/>
      <c r="OVM26" s="4"/>
      <c r="OVN26" s="4"/>
      <c r="OVO26" s="5"/>
      <c r="OVP26" s="4"/>
      <c r="OVQ26" s="28"/>
      <c r="OVR26" s="28"/>
      <c r="OVS26" s="4"/>
      <c r="OVT26" s="4"/>
      <c r="OVU26" s="4"/>
      <c r="OVV26" s="4"/>
      <c r="OVW26" s="4"/>
      <c r="OVX26" s="4"/>
      <c r="OVY26" s="4"/>
      <c r="OVZ26" s="4"/>
      <c r="OWA26" s="4"/>
      <c r="OWB26" s="4"/>
      <c r="OWC26" s="4"/>
      <c r="OWD26" s="4"/>
      <c r="OWE26" s="4"/>
      <c r="OWF26" s="4"/>
      <c r="OWG26" s="4"/>
      <c r="OWH26" s="4"/>
      <c r="OWI26" s="4"/>
      <c r="OWJ26" s="4"/>
      <c r="OWK26" s="4"/>
      <c r="OWL26" s="4"/>
      <c r="OWM26" s="4"/>
      <c r="OWN26" s="4"/>
      <c r="OWO26" s="4"/>
      <c r="OWP26" s="5"/>
      <c r="OWQ26" s="4"/>
      <c r="OWR26" s="28"/>
      <c r="OWS26" s="28"/>
      <c r="OWT26" s="4"/>
      <c r="OWU26" s="4"/>
      <c r="OWV26" s="4"/>
      <c r="OWW26" s="4"/>
      <c r="OWX26" s="4"/>
      <c r="OWY26" s="4"/>
      <c r="OWZ26" s="4"/>
      <c r="OXA26" s="4"/>
      <c r="OXB26" s="4"/>
      <c r="OXC26" s="4"/>
      <c r="OXD26" s="4"/>
      <c r="OXE26" s="4"/>
      <c r="OXF26" s="4"/>
      <c r="OXG26" s="4"/>
      <c r="OXH26" s="4"/>
      <c r="OXI26" s="4"/>
      <c r="OXJ26" s="4"/>
      <c r="OXK26" s="4"/>
      <c r="OXL26" s="4"/>
      <c r="OXM26" s="4"/>
      <c r="OXN26" s="4"/>
      <c r="OXO26" s="4"/>
      <c r="OXP26" s="4"/>
      <c r="OXQ26" s="5"/>
      <c r="OXR26" s="4"/>
      <c r="OXS26" s="28"/>
      <c r="OXT26" s="28"/>
      <c r="OXU26" s="4"/>
      <c r="OXV26" s="4"/>
      <c r="OXW26" s="4"/>
      <c r="OXX26" s="4"/>
      <c r="OXY26" s="4"/>
      <c r="OXZ26" s="4"/>
      <c r="OYA26" s="4"/>
      <c r="OYB26" s="4"/>
      <c r="OYC26" s="4"/>
      <c r="OYD26" s="4"/>
      <c r="OYE26" s="4"/>
      <c r="OYF26" s="4"/>
      <c r="OYG26" s="4"/>
      <c r="OYH26" s="4"/>
      <c r="OYI26" s="4"/>
      <c r="OYJ26" s="4"/>
      <c r="OYK26" s="4"/>
      <c r="OYL26" s="4"/>
      <c r="OYM26" s="4"/>
      <c r="OYN26" s="4"/>
      <c r="OYO26" s="4"/>
      <c r="OYP26" s="4"/>
      <c r="OYQ26" s="4"/>
      <c r="OYR26" s="5"/>
      <c r="OYS26" s="4"/>
      <c r="OYT26" s="28"/>
      <c r="OYU26" s="28"/>
      <c r="OYV26" s="4"/>
      <c r="OYW26" s="4"/>
      <c r="OYX26" s="4"/>
      <c r="OYY26" s="4"/>
      <c r="OYZ26" s="4"/>
      <c r="OZA26" s="4"/>
      <c r="OZB26" s="4"/>
      <c r="OZC26" s="4"/>
      <c r="OZD26" s="4"/>
      <c r="OZE26" s="4"/>
      <c r="OZF26" s="4"/>
      <c r="OZG26" s="4"/>
      <c r="OZH26" s="4"/>
      <c r="OZI26" s="4"/>
      <c r="OZJ26" s="4"/>
      <c r="OZK26" s="4"/>
      <c r="OZL26" s="4"/>
      <c r="OZM26" s="4"/>
      <c r="OZN26" s="4"/>
      <c r="OZO26" s="4"/>
      <c r="OZP26" s="4"/>
      <c r="OZQ26" s="4"/>
      <c r="OZR26" s="4"/>
      <c r="OZS26" s="5"/>
      <c r="OZT26" s="4"/>
      <c r="OZU26" s="28"/>
      <c r="OZV26" s="28"/>
      <c r="OZW26" s="4"/>
      <c r="OZX26" s="4"/>
      <c r="OZY26" s="4"/>
      <c r="OZZ26" s="4"/>
      <c r="PAA26" s="4"/>
      <c r="PAB26" s="4"/>
      <c r="PAC26" s="4"/>
      <c r="PAD26" s="4"/>
      <c r="PAE26" s="4"/>
      <c r="PAF26" s="4"/>
      <c r="PAG26" s="4"/>
      <c r="PAH26" s="4"/>
      <c r="PAI26" s="4"/>
      <c r="PAJ26" s="4"/>
      <c r="PAK26" s="4"/>
      <c r="PAL26" s="4"/>
      <c r="PAM26" s="4"/>
      <c r="PAN26" s="4"/>
      <c r="PAO26" s="4"/>
      <c r="PAP26" s="4"/>
      <c r="PAQ26" s="4"/>
      <c r="PAR26" s="4"/>
      <c r="PAS26" s="4"/>
      <c r="PAT26" s="5"/>
      <c r="PAU26" s="4"/>
      <c r="PAV26" s="28"/>
      <c r="PAW26" s="28"/>
      <c r="PAX26" s="4"/>
      <c r="PAY26" s="4"/>
      <c r="PAZ26" s="4"/>
      <c r="PBA26" s="4"/>
      <c r="PBB26" s="4"/>
      <c r="PBC26" s="4"/>
      <c r="PBD26" s="4"/>
      <c r="PBE26" s="4"/>
      <c r="PBF26" s="4"/>
      <c r="PBG26" s="4"/>
      <c r="PBH26" s="4"/>
      <c r="PBI26" s="4"/>
      <c r="PBJ26" s="4"/>
      <c r="PBK26" s="4"/>
      <c r="PBL26" s="4"/>
      <c r="PBM26" s="4"/>
      <c r="PBN26" s="4"/>
      <c r="PBO26" s="4"/>
      <c r="PBP26" s="4"/>
      <c r="PBQ26" s="4"/>
      <c r="PBR26" s="4"/>
      <c r="PBS26" s="4"/>
      <c r="PBT26" s="4"/>
      <c r="PBU26" s="5"/>
      <c r="PBV26" s="4"/>
      <c r="PBW26" s="28"/>
      <c r="PBX26" s="28"/>
      <c r="PBY26" s="4"/>
      <c r="PBZ26" s="4"/>
      <c r="PCA26" s="4"/>
      <c r="PCB26" s="4"/>
      <c r="PCC26" s="4"/>
      <c r="PCD26" s="4"/>
      <c r="PCE26" s="4"/>
      <c r="PCF26" s="4"/>
      <c r="PCG26" s="4"/>
      <c r="PCH26" s="4"/>
      <c r="PCI26" s="4"/>
      <c r="PCJ26" s="4"/>
      <c r="PCK26" s="4"/>
      <c r="PCL26" s="4"/>
      <c r="PCM26" s="4"/>
      <c r="PCN26" s="4"/>
      <c r="PCO26" s="4"/>
      <c r="PCP26" s="4"/>
      <c r="PCQ26" s="4"/>
      <c r="PCR26" s="4"/>
      <c r="PCS26" s="4"/>
      <c r="PCT26" s="4"/>
      <c r="PCU26" s="4"/>
      <c r="PCV26" s="5"/>
      <c r="PCW26" s="4"/>
      <c r="PCX26" s="28"/>
      <c r="PCY26" s="28"/>
      <c r="PCZ26" s="4"/>
      <c r="PDA26" s="4"/>
      <c r="PDB26" s="4"/>
      <c r="PDC26" s="4"/>
      <c r="PDD26" s="4"/>
      <c r="PDE26" s="4"/>
      <c r="PDF26" s="4"/>
      <c r="PDG26" s="4"/>
      <c r="PDH26" s="4"/>
      <c r="PDI26" s="4"/>
      <c r="PDJ26" s="4"/>
      <c r="PDK26" s="4"/>
      <c r="PDL26" s="4"/>
      <c r="PDM26" s="4"/>
      <c r="PDN26" s="4"/>
      <c r="PDO26" s="4"/>
      <c r="PDP26" s="4"/>
      <c r="PDQ26" s="4"/>
      <c r="PDR26" s="4"/>
      <c r="PDS26" s="4"/>
      <c r="PDT26" s="4"/>
      <c r="PDU26" s="4"/>
      <c r="PDV26" s="4"/>
      <c r="PDW26" s="5"/>
      <c r="PDX26" s="4"/>
      <c r="PDY26" s="28"/>
      <c r="PDZ26" s="28"/>
      <c r="PEA26" s="4"/>
      <c r="PEB26" s="4"/>
      <c r="PEC26" s="4"/>
      <c r="PED26" s="4"/>
      <c r="PEE26" s="4"/>
      <c r="PEF26" s="4"/>
      <c r="PEG26" s="4"/>
      <c r="PEH26" s="4"/>
      <c r="PEI26" s="4"/>
      <c r="PEJ26" s="4"/>
      <c r="PEK26" s="4"/>
      <c r="PEL26" s="4"/>
      <c r="PEM26" s="4"/>
      <c r="PEN26" s="4"/>
      <c r="PEO26" s="4"/>
      <c r="PEP26" s="4"/>
      <c r="PEQ26" s="4"/>
      <c r="PER26" s="4"/>
      <c r="PES26" s="4"/>
      <c r="PET26" s="4"/>
      <c r="PEU26" s="4"/>
      <c r="PEV26" s="4"/>
      <c r="PEW26" s="4"/>
      <c r="PEX26" s="5"/>
      <c r="PEY26" s="4"/>
      <c r="PEZ26" s="28"/>
      <c r="PFA26" s="28"/>
      <c r="PFB26" s="4"/>
      <c r="PFC26" s="4"/>
      <c r="PFD26" s="4"/>
      <c r="PFE26" s="4"/>
      <c r="PFF26" s="4"/>
      <c r="PFG26" s="4"/>
      <c r="PFH26" s="4"/>
      <c r="PFI26" s="4"/>
      <c r="PFJ26" s="4"/>
      <c r="PFK26" s="4"/>
      <c r="PFL26" s="4"/>
      <c r="PFM26" s="4"/>
      <c r="PFN26" s="4"/>
      <c r="PFO26" s="4"/>
      <c r="PFP26" s="4"/>
      <c r="PFQ26" s="4"/>
      <c r="PFR26" s="4"/>
      <c r="PFS26" s="4"/>
      <c r="PFT26" s="4"/>
      <c r="PFU26" s="4"/>
      <c r="PFV26" s="4"/>
      <c r="PFW26" s="4"/>
      <c r="PFX26" s="4"/>
      <c r="PFY26" s="5"/>
      <c r="PFZ26" s="4"/>
      <c r="PGA26" s="28"/>
      <c r="PGB26" s="28"/>
      <c r="PGC26" s="4"/>
      <c r="PGD26" s="4"/>
      <c r="PGE26" s="4"/>
      <c r="PGF26" s="4"/>
      <c r="PGG26" s="4"/>
      <c r="PGH26" s="4"/>
      <c r="PGI26" s="4"/>
      <c r="PGJ26" s="4"/>
      <c r="PGK26" s="4"/>
      <c r="PGL26" s="4"/>
      <c r="PGM26" s="4"/>
      <c r="PGN26" s="4"/>
      <c r="PGO26" s="4"/>
      <c r="PGP26" s="4"/>
      <c r="PGQ26" s="4"/>
      <c r="PGR26" s="4"/>
      <c r="PGS26" s="4"/>
      <c r="PGT26" s="4"/>
      <c r="PGU26" s="4"/>
      <c r="PGV26" s="4"/>
      <c r="PGW26" s="4"/>
      <c r="PGX26" s="4"/>
      <c r="PGY26" s="4"/>
      <c r="PGZ26" s="5"/>
      <c r="PHA26" s="4"/>
      <c r="PHB26" s="28"/>
      <c r="PHC26" s="28"/>
      <c r="PHD26" s="4"/>
      <c r="PHE26" s="4"/>
      <c r="PHF26" s="4"/>
      <c r="PHG26" s="4"/>
      <c r="PHH26" s="4"/>
      <c r="PHI26" s="4"/>
      <c r="PHJ26" s="4"/>
      <c r="PHK26" s="4"/>
      <c r="PHL26" s="4"/>
      <c r="PHM26" s="4"/>
      <c r="PHN26" s="4"/>
      <c r="PHO26" s="4"/>
      <c r="PHP26" s="4"/>
      <c r="PHQ26" s="4"/>
      <c r="PHR26" s="4"/>
      <c r="PHS26" s="4"/>
      <c r="PHT26" s="4"/>
      <c r="PHU26" s="4"/>
      <c r="PHV26" s="4"/>
      <c r="PHW26" s="4"/>
      <c r="PHX26" s="4"/>
      <c r="PHY26" s="4"/>
      <c r="PHZ26" s="4"/>
      <c r="PIA26" s="5"/>
      <c r="PIB26" s="4"/>
      <c r="PIC26" s="28"/>
      <c r="PID26" s="28"/>
      <c r="PIE26" s="4"/>
      <c r="PIF26" s="4"/>
      <c r="PIG26" s="4"/>
      <c r="PIH26" s="4"/>
      <c r="PII26" s="4"/>
      <c r="PIJ26" s="4"/>
      <c r="PIK26" s="4"/>
      <c r="PIL26" s="4"/>
      <c r="PIM26" s="4"/>
      <c r="PIN26" s="4"/>
      <c r="PIO26" s="4"/>
      <c r="PIP26" s="4"/>
      <c r="PIQ26" s="4"/>
      <c r="PIR26" s="4"/>
      <c r="PIS26" s="4"/>
      <c r="PIT26" s="4"/>
      <c r="PIU26" s="4"/>
      <c r="PIV26" s="4"/>
      <c r="PIW26" s="4"/>
      <c r="PIX26" s="4"/>
      <c r="PIY26" s="4"/>
      <c r="PIZ26" s="4"/>
      <c r="PJA26" s="4"/>
      <c r="PJB26" s="5"/>
      <c r="PJC26" s="4"/>
      <c r="PJD26" s="28"/>
      <c r="PJE26" s="28"/>
      <c r="PJF26" s="4"/>
      <c r="PJG26" s="4"/>
      <c r="PJH26" s="4"/>
      <c r="PJI26" s="4"/>
      <c r="PJJ26" s="4"/>
      <c r="PJK26" s="4"/>
      <c r="PJL26" s="4"/>
      <c r="PJM26" s="4"/>
      <c r="PJN26" s="4"/>
      <c r="PJO26" s="4"/>
      <c r="PJP26" s="4"/>
      <c r="PJQ26" s="4"/>
      <c r="PJR26" s="4"/>
      <c r="PJS26" s="4"/>
      <c r="PJT26" s="4"/>
      <c r="PJU26" s="4"/>
      <c r="PJV26" s="4"/>
      <c r="PJW26" s="4"/>
      <c r="PJX26" s="4"/>
      <c r="PJY26" s="4"/>
      <c r="PJZ26" s="4"/>
      <c r="PKA26" s="4"/>
      <c r="PKB26" s="4"/>
      <c r="PKC26" s="5"/>
      <c r="PKD26" s="4"/>
      <c r="PKE26" s="28"/>
      <c r="PKF26" s="28"/>
      <c r="PKG26" s="4"/>
      <c r="PKH26" s="4"/>
      <c r="PKI26" s="4"/>
      <c r="PKJ26" s="4"/>
      <c r="PKK26" s="4"/>
      <c r="PKL26" s="4"/>
      <c r="PKM26" s="4"/>
      <c r="PKN26" s="4"/>
      <c r="PKO26" s="4"/>
      <c r="PKP26" s="4"/>
      <c r="PKQ26" s="4"/>
      <c r="PKR26" s="4"/>
      <c r="PKS26" s="4"/>
      <c r="PKT26" s="4"/>
      <c r="PKU26" s="4"/>
      <c r="PKV26" s="4"/>
      <c r="PKW26" s="4"/>
      <c r="PKX26" s="4"/>
      <c r="PKY26" s="4"/>
      <c r="PKZ26" s="4"/>
      <c r="PLA26" s="4"/>
      <c r="PLB26" s="4"/>
      <c r="PLC26" s="4"/>
      <c r="PLD26" s="5"/>
      <c r="PLE26" s="4"/>
      <c r="PLF26" s="28"/>
      <c r="PLG26" s="28"/>
      <c r="PLH26" s="4"/>
      <c r="PLI26" s="4"/>
      <c r="PLJ26" s="4"/>
      <c r="PLK26" s="4"/>
      <c r="PLL26" s="4"/>
      <c r="PLM26" s="4"/>
      <c r="PLN26" s="4"/>
      <c r="PLO26" s="4"/>
      <c r="PLP26" s="4"/>
      <c r="PLQ26" s="4"/>
      <c r="PLR26" s="4"/>
      <c r="PLS26" s="4"/>
      <c r="PLT26" s="4"/>
      <c r="PLU26" s="4"/>
      <c r="PLV26" s="4"/>
      <c r="PLW26" s="4"/>
      <c r="PLX26" s="4"/>
      <c r="PLY26" s="4"/>
      <c r="PLZ26" s="4"/>
      <c r="PMA26" s="4"/>
      <c r="PMB26" s="4"/>
      <c r="PMC26" s="4"/>
      <c r="PMD26" s="4"/>
      <c r="PME26" s="5"/>
      <c r="PMF26" s="4"/>
      <c r="PMG26" s="28"/>
      <c r="PMH26" s="28"/>
      <c r="PMI26" s="4"/>
      <c r="PMJ26" s="4"/>
      <c r="PMK26" s="4"/>
      <c r="PML26" s="4"/>
      <c r="PMM26" s="4"/>
      <c r="PMN26" s="4"/>
      <c r="PMO26" s="4"/>
      <c r="PMP26" s="4"/>
      <c r="PMQ26" s="4"/>
      <c r="PMR26" s="4"/>
      <c r="PMS26" s="4"/>
      <c r="PMT26" s="4"/>
      <c r="PMU26" s="4"/>
      <c r="PMV26" s="4"/>
      <c r="PMW26" s="4"/>
      <c r="PMX26" s="4"/>
      <c r="PMY26" s="4"/>
      <c r="PMZ26" s="4"/>
      <c r="PNA26" s="4"/>
      <c r="PNB26" s="4"/>
      <c r="PNC26" s="4"/>
      <c r="PND26" s="4"/>
      <c r="PNE26" s="4"/>
      <c r="PNF26" s="5"/>
      <c r="PNG26" s="4"/>
      <c r="PNH26" s="28"/>
      <c r="PNI26" s="28"/>
      <c r="PNJ26" s="4"/>
      <c r="PNK26" s="4"/>
      <c r="PNL26" s="4"/>
      <c r="PNM26" s="4"/>
      <c r="PNN26" s="4"/>
      <c r="PNO26" s="4"/>
      <c r="PNP26" s="4"/>
      <c r="PNQ26" s="4"/>
      <c r="PNR26" s="4"/>
      <c r="PNS26" s="4"/>
      <c r="PNT26" s="4"/>
      <c r="PNU26" s="4"/>
      <c r="PNV26" s="4"/>
      <c r="PNW26" s="4"/>
      <c r="PNX26" s="4"/>
      <c r="PNY26" s="4"/>
      <c r="PNZ26" s="4"/>
      <c r="POA26" s="4"/>
      <c r="POB26" s="4"/>
      <c r="POC26" s="4"/>
      <c r="POD26" s="4"/>
      <c r="POE26" s="4"/>
      <c r="POF26" s="4"/>
      <c r="POG26" s="5"/>
      <c r="POH26" s="4"/>
      <c r="POI26" s="28"/>
      <c r="POJ26" s="28"/>
      <c r="POK26" s="4"/>
      <c r="POL26" s="4"/>
      <c r="POM26" s="4"/>
      <c r="PON26" s="4"/>
      <c r="POO26" s="4"/>
      <c r="POP26" s="4"/>
      <c r="POQ26" s="4"/>
      <c r="POR26" s="4"/>
      <c r="POS26" s="4"/>
      <c r="POT26" s="4"/>
      <c r="POU26" s="4"/>
      <c r="POV26" s="4"/>
      <c r="POW26" s="4"/>
      <c r="POX26" s="4"/>
      <c r="POY26" s="4"/>
      <c r="POZ26" s="4"/>
      <c r="PPA26" s="4"/>
      <c r="PPB26" s="4"/>
      <c r="PPC26" s="4"/>
      <c r="PPD26" s="4"/>
      <c r="PPE26" s="4"/>
      <c r="PPF26" s="4"/>
      <c r="PPG26" s="4"/>
      <c r="PPH26" s="5"/>
      <c r="PPI26" s="4"/>
      <c r="PPJ26" s="28"/>
      <c r="PPK26" s="28"/>
      <c r="PPL26" s="4"/>
      <c r="PPM26" s="4"/>
      <c r="PPN26" s="4"/>
      <c r="PPO26" s="4"/>
      <c r="PPP26" s="4"/>
      <c r="PPQ26" s="4"/>
      <c r="PPR26" s="4"/>
      <c r="PPS26" s="4"/>
      <c r="PPT26" s="4"/>
      <c r="PPU26" s="4"/>
      <c r="PPV26" s="4"/>
      <c r="PPW26" s="4"/>
      <c r="PPX26" s="4"/>
      <c r="PPY26" s="4"/>
      <c r="PPZ26" s="4"/>
      <c r="PQA26" s="4"/>
      <c r="PQB26" s="4"/>
      <c r="PQC26" s="4"/>
      <c r="PQD26" s="4"/>
      <c r="PQE26" s="4"/>
      <c r="PQF26" s="4"/>
      <c r="PQG26" s="4"/>
      <c r="PQH26" s="4"/>
      <c r="PQI26" s="5"/>
      <c r="PQJ26" s="4"/>
      <c r="PQK26" s="28"/>
      <c r="PQL26" s="28"/>
      <c r="PQM26" s="4"/>
      <c r="PQN26" s="4"/>
      <c r="PQO26" s="4"/>
      <c r="PQP26" s="4"/>
      <c r="PQQ26" s="4"/>
      <c r="PQR26" s="4"/>
      <c r="PQS26" s="4"/>
      <c r="PQT26" s="4"/>
      <c r="PQU26" s="4"/>
      <c r="PQV26" s="4"/>
      <c r="PQW26" s="4"/>
      <c r="PQX26" s="4"/>
      <c r="PQY26" s="4"/>
      <c r="PQZ26" s="4"/>
      <c r="PRA26" s="4"/>
      <c r="PRB26" s="4"/>
      <c r="PRC26" s="4"/>
      <c r="PRD26" s="4"/>
      <c r="PRE26" s="4"/>
      <c r="PRF26" s="4"/>
      <c r="PRG26" s="4"/>
      <c r="PRH26" s="4"/>
      <c r="PRI26" s="4"/>
      <c r="PRJ26" s="5"/>
      <c r="PRK26" s="4"/>
      <c r="PRL26" s="28"/>
      <c r="PRM26" s="28"/>
      <c r="PRN26" s="4"/>
      <c r="PRO26" s="4"/>
      <c r="PRP26" s="4"/>
      <c r="PRQ26" s="4"/>
      <c r="PRR26" s="4"/>
      <c r="PRS26" s="4"/>
      <c r="PRT26" s="4"/>
      <c r="PRU26" s="4"/>
      <c r="PRV26" s="4"/>
      <c r="PRW26" s="4"/>
      <c r="PRX26" s="4"/>
      <c r="PRY26" s="4"/>
      <c r="PRZ26" s="4"/>
      <c r="PSA26" s="4"/>
      <c r="PSB26" s="4"/>
      <c r="PSC26" s="4"/>
      <c r="PSD26" s="4"/>
      <c r="PSE26" s="4"/>
      <c r="PSF26" s="4"/>
      <c r="PSG26" s="4"/>
      <c r="PSH26" s="4"/>
      <c r="PSI26" s="4"/>
      <c r="PSJ26" s="4"/>
      <c r="PSK26" s="5"/>
      <c r="PSL26" s="4"/>
      <c r="PSM26" s="28"/>
      <c r="PSN26" s="28"/>
      <c r="PSO26" s="4"/>
      <c r="PSP26" s="4"/>
      <c r="PSQ26" s="4"/>
      <c r="PSR26" s="4"/>
      <c r="PSS26" s="4"/>
      <c r="PST26" s="4"/>
      <c r="PSU26" s="4"/>
      <c r="PSV26" s="4"/>
      <c r="PSW26" s="4"/>
      <c r="PSX26" s="4"/>
      <c r="PSY26" s="4"/>
      <c r="PSZ26" s="4"/>
      <c r="PTA26" s="4"/>
      <c r="PTB26" s="4"/>
      <c r="PTC26" s="4"/>
      <c r="PTD26" s="4"/>
      <c r="PTE26" s="4"/>
      <c r="PTF26" s="4"/>
      <c r="PTG26" s="4"/>
      <c r="PTH26" s="4"/>
      <c r="PTI26" s="4"/>
      <c r="PTJ26" s="4"/>
      <c r="PTK26" s="4"/>
      <c r="PTL26" s="5"/>
      <c r="PTM26" s="4"/>
      <c r="PTN26" s="28"/>
      <c r="PTO26" s="28"/>
      <c r="PTP26" s="4"/>
      <c r="PTQ26" s="4"/>
      <c r="PTR26" s="4"/>
      <c r="PTS26" s="4"/>
      <c r="PTT26" s="4"/>
      <c r="PTU26" s="4"/>
      <c r="PTV26" s="4"/>
      <c r="PTW26" s="4"/>
      <c r="PTX26" s="4"/>
      <c r="PTY26" s="4"/>
      <c r="PTZ26" s="4"/>
      <c r="PUA26" s="4"/>
      <c r="PUB26" s="4"/>
      <c r="PUC26" s="4"/>
      <c r="PUD26" s="4"/>
      <c r="PUE26" s="4"/>
      <c r="PUF26" s="4"/>
      <c r="PUG26" s="4"/>
      <c r="PUH26" s="4"/>
      <c r="PUI26" s="4"/>
      <c r="PUJ26" s="4"/>
      <c r="PUK26" s="4"/>
      <c r="PUL26" s="4"/>
      <c r="PUM26" s="5"/>
      <c r="PUN26" s="4"/>
      <c r="PUO26" s="28"/>
      <c r="PUP26" s="28"/>
      <c r="PUQ26" s="4"/>
      <c r="PUR26" s="4"/>
      <c r="PUS26" s="4"/>
      <c r="PUT26" s="4"/>
      <c r="PUU26" s="4"/>
      <c r="PUV26" s="4"/>
      <c r="PUW26" s="4"/>
      <c r="PUX26" s="4"/>
      <c r="PUY26" s="4"/>
      <c r="PUZ26" s="4"/>
      <c r="PVA26" s="4"/>
      <c r="PVB26" s="4"/>
      <c r="PVC26" s="4"/>
      <c r="PVD26" s="4"/>
      <c r="PVE26" s="4"/>
      <c r="PVF26" s="4"/>
      <c r="PVG26" s="4"/>
      <c r="PVH26" s="4"/>
      <c r="PVI26" s="4"/>
      <c r="PVJ26" s="4"/>
      <c r="PVK26" s="4"/>
      <c r="PVL26" s="4"/>
      <c r="PVM26" s="4"/>
      <c r="PVN26" s="5"/>
      <c r="PVO26" s="4"/>
      <c r="PVP26" s="28"/>
      <c r="PVQ26" s="28"/>
      <c r="PVR26" s="4"/>
      <c r="PVS26" s="4"/>
      <c r="PVT26" s="4"/>
      <c r="PVU26" s="4"/>
      <c r="PVV26" s="4"/>
      <c r="PVW26" s="4"/>
      <c r="PVX26" s="4"/>
      <c r="PVY26" s="4"/>
      <c r="PVZ26" s="4"/>
      <c r="PWA26" s="4"/>
      <c r="PWB26" s="4"/>
      <c r="PWC26" s="4"/>
      <c r="PWD26" s="4"/>
      <c r="PWE26" s="4"/>
      <c r="PWF26" s="4"/>
      <c r="PWG26" s="4"/>
      <c r="PWH26" s="4"/>
      <c r="PWI26" s="4"/>
      <c r="PWJ26" s="4"/>
      <c r="PWK26" s="4"/>
      <c r="PWL26" s="4"/>
      <c r="PWM26" s="4"/>
      <c r="PWN26" s="4"/>
      <c r="PWO26" s="5"/>
      <c r="PWP26" s="4"/>
      <c r="PWQ26" s="28"/>
      <c r="PWR26" s="28"/>
      <c r="PWS26" s="4"/>
      <c r="PWT26" s="4"/>
      <c r="PWU26" s="4"/>
      <c r="PWV26" s="4"/>
      <c r="PWW26" s="4"/>
      <c r="PWX26" s="4"/>
      <c r="PWY26" s="4"/>
      <c r="PWZ26" s="4"/>
      <c r="PXA26" s="4"/>
      <c r="PXB26" s="4"/>
      <c r="PXC26" s="4"/>
      <c r="PXD26" s="4"/>
      <c r="PXE26" s="4"/>
      <c r="PXF26" s="4"/>
      <c r="PXG26" s="4"/>
      <c r="PXH26" s="4"/>
      <c r="PXI26" s="4"/>
      <c r="PXJ26" s="4"/>
      <c r="PXK26" s="4"/>
      <c r="PXL26" s="4"/>
      <c r="PXM26" s="4"/>
      <c r="PXN26" s="4"/>
      <c r="PXO26" s="4"/>
      <c r="PXP26" s="5"/>
      <c r="PXQ26" s="4"/>
      <c r="PXR26" s="28"/>
      <c r="PXS26" s="28"/>
      <c r="PXT26" s="4"/>
      <c r="PXU26" s="4"/>
      <c r="PXV26" s="4"/>
      <c r="PXW26" s="4"/>
      <c r="PXX26" s="4"/>
      <c r="PXY26" s="4"/>
      <c r="PXZ26" s="4"/>
      <c r="PYA26" s="4"/>
      <c r="PYB26" s="4"/>
      <c r="PYC26" s="4"/>
      <c r="PYD26" s="4"/>
      <c r="PYE26" s="4"/>
      <c r="PYF26" s="4"/>
      <c r="PYG26" s="4"/>
      <c r="PYH26" s="4"/>
      <c r="PYI26" s="4"/>
      <c r="PYJ26" s="4"/>
      <c r="PYK26" s="4"/>
      <c r="PYL26" s="4"/>
      <c r="PYM26" s="4"/>
      <c r="PYN26" s="4"/>
      <c r="PYO26" s="4"/>
      <c r="PYP26" s="4"/>
      <c r="PYQ26" s="5"/>
      <c r="PYR26" s="4"/>
      <c r="PYS26" s="28"/>
      <c r="PYT26" s="28"/>
      <c r="PYU26" s="4"/>
      <c r="PYV26" s="4"/>
      <c r="PYW26" s="4"/>
      <c r="PYX26" s="4"/>
      <c r="PYY26" s="4"/>
      <c r="PYZ26" s="4"/>
      <c r="PZA26" s="4"/>
      <c r="PZB26" s="4"/>
      <c r="PZC26" s="4"/>
      <c r="PZD26" s="4"/>
      <c r="PZE26" s="4"/>
      <c r="PZF26" s="4"/>
      <c r="PZG26" s="4"/>
      <c r="PZH26" s="4"/>
      <c r="PZI26" s="4"/>
      <c r="PZJ26" s="4"/>
      <c r="PZK26" s="4"/>
      <c r="PZL26" s="4"/>
      <c r="PZM26" s="4"/>
      <c r="PZN26" s="4"/>
      <c r="PZO26" s="4"/>
      <c r="PZP26" s="4"/>
      <c r="PZQ26" s="4"/>
      <c r="PZR26" s="5"/>
      <c r="PZS26" s="4"/>
      <c r="PZT26" s="28"/>
      <c r="PZU26" s="28"/>
      <c r="PZV26" s="4"/>
      <c r="PZW26" s="4"/>
      <c r="PZX26" s="4"/>
      <c r="PZY26" s="4"/>
      <c r="PZZ26" s="4"/>
      <c r="QAA26" s="4"/>
      <c r="QAB26" s="4"/>
      <c r="QAC26" s="4"/>
      <c r="QAD26" s="4"/>
      <c r="QAE26" s="4"/>
      <c r="QAF26" s="4"/>
      <c r="QAG26" s="4"/>
      <c r="QAH26" s="4"/>
      <c r="QAI26" s="4"/>
      <c r="QAJ26" s="4"/>
      <c r="QAK26" s="4"/>
      <c r="QAL26" s="4"/>
      <c r="QAM26" s="4"/>
      <c r="QAN26" s="4"/>
      <c r="QAO26" s="4"/>
      <c r="QAP26" s="4"/>
      <c r="QAQ26" s="4"/>
      <c r="QAR26" s="4"/>
      <c r="QAS26" s="5"/>
      <c r="QAT26" s="4"/>
      <c r="QAU26" s="28"/>
      <c r="QAV26" s="28"/>
      <c r="QAW26" s="4"/>
      <c r="QAX26" s="4"/>
      <c r="QAY26" s="4"/>
      <c r="QAZ26" s="4"/>
      <c r="QBA26" s="4"/>
      <c r="QBB26" s="4"/>
      <c r="QBC26" s="4"/>
      <c r="QBD26" s="4"/>
      <c r="QBE26" s="4"/>
      <c r="QBF26" s="4"/>
      <c r="QBG26" s="4"/>
      <c r="QBH26" s="4"/>
      <c r="QBI26" s="4"/>
      <c r="QBJ26" s="4"/>
      <c r="QBK26" s="4"/>
      <c r="QBL26" s="4"/>
      <c r="QBM26" s="4"/>
      <c r="QBN26" s="4"/>
      <c r="QBO26" s="4"/>
      <c r="QBP26" s="4"/>
      <c r="QBQ26" s="4"/>
      <c r="QBR26" s="4"/>
      <c r="QBS26" s="4"/>
      <c r="QBT26" s="5"/>
      <c r="QBU26" s="4"/>
      <c r="QBV26" s="28"/>
      <c r="QBW26" s="28"/>
      <c r="QBX26" s="4"/>
      <c r="QBY26" s="4"/>
      <c r="QBZ26" s="4"/>
      <c r="QCA26" s="4"/>
      <c r="QCB26" s="4"/>
      <c r="QCC26" s="4"/>
      <c r="QCD26" s="4"/>
      <c r="QCE26" s="4"/>
      <c r="QCF26" s="4"/>
      <c r="QCG26" s="4"/>
      <c r="QCH26" s="4"/>
      <c r="QCI26" s="4"/>
      <c r="QCJ26" s="4"/>
      <c r="QCK26" s="4"/>
      <c r="QCL26" s="4"/>
      <c r="QCM26" s="4"/>
      <c r="QCN26" s="4"/>
      <c r="QCO26" s="4"/>
      <c r="QCP26" s="4"/>
      <c r="QCQ26" s="4"/>
      <c r="QCR26" s="4"/>
      <c r="QCS26" s="4"/>
      <c r="QCT26" s="4"/>
      <c r="QCU26" s="5"/>
      <c r="QCV26" s="4"/>
      <c r="QCW26" s="28"/>
      <c r="QCX26" s="28"/>
      <c r="QCY26" s="4"/>
      <c r="QCZ26" s="4"/>
      <c r="QDA26" s="4"/>
      <c r="QDB26" s="4"/>
      <c r="QDC26" s="4"/>
      <c r="QDD26" s="4"/>
      <c r="QDE26" s="4"/>
      <c r="QDF26" s="4"/>
      <c r="QDG26" s="4"/>
      <c r="QDH26" s="4"/>
      <c r="QDI26" s="4"/>
      <c r="QDJ26" s="4"/>
      <c r="QDK26" s="4"/>
      <c r="QDL26" s="4"/>
      <c r="QDM26" s="4"/>
      <c r="QDN26" s="4"/>
      <c r="QDO26" s="4"/>
      <c r="QDP26" s="4"/>
      <c r="QDQ26" s="4"/>
      <c r="QDR26" s="4"/>
      <c r="QDS26" s="4"/>
      <c r="QDT26" s="4"/>
      <c r="QDU26" s="4"/>
      <c r="QDV26" s="5"/>
      <c r="QDW26" s="4"/>
      <c r="QDX26" s="28"/>
      <c r="QDY26" s="28"/>
      <c r="QDZ26" s="4"/>
      <c r="QEA26" s="4"/>
      <c r="QEB26" s="4"/>
      <c r="QEC26" s="4"/>
      <c r="QED26" s="4"/>
      <c r="QEE26" s="4"/>
      <c r="QEF26" s="4"/>
      <c r="QEG26" s="4"/>
      <c r="QEH26" s="4"/>
      <c r="QEI26" s="4"/>
      <c r="QEJ26" s="4"/>
      <c r="QEK26" s="4"/>
      <c r="QEL26" s="4"/>
      <c r="QEM26" s="4"/>
      <c r="QEN26" s="4"/>
      <c r="QEO26" s="4"/>
      <c r="QEP26" s="4"/>
      <c r="QEQ26" s="4"/>
      <c r="QER26" s="4"/>
      <c r="QES26" s="4"/>
      <c r="QET26" s="4"/>
      <c r="QEU26" s="4"/>
      <c r="QEV26" s="4"/>
      <c r="QEW26" s="5"/>
      <c r="QEX26" s="4"/>
      <c r="QEY26" s="28"/>
      <c r="QEZ26" s="28"/>
      <c r="QFA26" s="4"/>
      <c r="QFB26" s="4"/>
      <c r="QFC26" s="4"/>
      <c r="QFD26" s="4"/>
      <c r="QFE26" s="4"/>
      <c r="QFF26" s="4"/>
      <c r="QFG26" s="4"/>
      <c r="QFH26" s="4"/>
      <c r="QFI26" s="4"/>
      <c r="QFJ26" s="4"/>
      <c r="QFK26" s="4"/>
      <c r="QFL26" s="4"/>
      <c r="QFM26" s="4"/>
      <c r="QFN26" s="4"/>
      <c r="QFO26" s="4"/>
      <c r="QFP26" s="4"/>
      <c r="QFQ26" s="4"/>
      <c r="QFR26" s="4"/>
      <c r="QFS26" s="4"/>
      <c r="QFT26" s="4"/>
      <c r="QFU26" s="4"/>
      <c r="QFV26" s="4"/>
      <c r="QFW26" s="4"/>
      <c r="QFX26" s="5"/>
      <c r="QFY26" s="4"/>
      <c r="QFZ26" s="28"/>
      <c r="QGA26" s="28"/>
      <c r="QGB26" s="4"/>
      <c r="QGC26" s="4"/>
      <c r="QGD26" s="4"/>
      <c r="QGE26" s="4"/>
      <c r="QGF26" s="4"/>
      <c r="QGG26" s="4"/>
      <c r="QGH26" s="4"/>
      <c r="QGI26" s="4"/>
      <c r="QGJ26" s="4"/>
      <c r="QGK26" s="4"/>
      <c r="QGL26" s="4"/>
      <c r="QGM26" s="4"/>
      <c r="QGN26" s="4"/>
      <c r="QGO26" s="4"/>
      <c r="QGP26" s="4"/>
      <c r="QGQ26" s="4"/>
      <c r="QGR26" s="4"/>
      <c r="QGS26" s="4"/>
      <c r="QGT26" s="4"/>
      <c r="QGU26" s="4"/>
      <c r="QGV26" s="4"/>
      <c r="QGW26" s="4"/>
      <c r="QGX26" s="4"/>
      <c r="QGY26" s="5"/>
      <c r="QGZ26" s="4"/>
      <c r="QHA26" s="28"/>
      <c r="QHB26" s="28"/>
      <c r="QHC26" s="4"/>
      <c r="QHD26" s="4"/>
      <c r="QHE26" s="4"/>
      <c r="QHF26" s="4"/>
      <c r="QHG26" s="4"/>
      <c r="QHH26" s="4"/>
      <c r="QHI26" s="4"/>
      <c r="QHJ26" s="4"/>
      <c r="QHK26" s="4"/>
      <c r="QHL26" s="4"/>
      <c r="QHM26" s="4"/>
      <c r="QHN26" s="4"/>
      <c r="QHO26" s="4"/>
      <c r="QHP26" s="4"/>
      <c r="QHQ26" s="4"/>
      <c r="QHR26" s="4"/>
      <c r="QHS26" s="4"/>
      <c r="QHT26" s="4"/>
      <c r="QHU26" s="4"/>
      <c r="QHV26" s="4"/>
      <c r="QHW26" s="4"/>
      <c r="QHX26" s="4"/>
      <c r="QHY26" s="4"/>
      <c r="QHZ26" s="5"/>
      <c r="QIA26" s="4"/>
      <c r="QIB26" s="28"/>
      <c r="QIC26" s="28"/>
      <c r="QID26" s="4"/>
      <c r="QIE26" s="4"/>
      <c r="QIF26" s="4"/>
      <c r="QIG26" s="4"/>
      <c r="QIH26" s="4"/>
      <c r="QII26" s="4"/>
      <c r="QIJ26" s="4"/>
      <c r="QIK26" s="4"/>
      <c r="QIL26" s="4"/>
      <c r="QIM26" s="4"/>
      <c r="QIN26" s="4"/>
      <c r="QIO26" s="4"/>
      <c r="QIP26" s="4"/>
      <c r="QIQ26" s="4"/>
      <c r="QIR26" s="4"/>
      <c r="QIS26" s="4"/>
      <c r="QIT26" s="4"/>
      <c r="QIU26" s="4"/>
      <c r="QIV26" s="4"/>
      <c r="QIW26" s="4"/>
      <c r="QIX26" s="4"/>
      <c r="QIY26" s="4"/>
      <c r="QIZ26" s="4"/>
      <c r="QJA26" s="5"/>
      <c r="QJB26" s="4"/>
      <c r="QJC26" s="28"/>
      <c r="QJD26" s="28"/>
      <c r="QJE26" s="4"/>
      <c r="QJF26" s="4"/>
      <c r="QJG26" s="4"/>
      <c r="QJH26" s="4"/>
      <c r="QJI26" s="4"/>
      <c r="QJJ26" s="4"/>
      <c r="QJK26" s="4"/>
      <c r="QJL26" s="4"/>
      <c r="QJM26" s="4"/>
      <c r="QJN26" s="4"/>
      <c r="QJO26" s="4"/>
      <c r="QJP26" s="4"/>
      <c r="QJQ26" s="4"/>
      <c r="QJR26" s="4"/>
      <c r="QJS26" s="4"/>
      <c r="QJT26" s="4"/>
      <c r="QJU26" s="4"/>
      <c r="QJV26" s="4"/>
      <c r="QJW26" s="4"/>
      <c r="QJX26" s="4"/>
      <c r="QJY26" s="4"/>
      <c r="QJZ26" s="4"/>
      <c r="QKA26" s="4"/>
      <c r="QKB26" s="5"/>
      <c r="QKC26" s="4"/>
      <c r="QKD26" s="28"/>
      <c r="QKE26" s="28"/>
      <c r="QKF26" s="4"/>
      <c r="QKG26" s="4"/>
      <c r="QKH26" s="4"/>
      <c r="QKI26" s="4"/>
      <c r="QKJ26" s="4"/>
      <c r="QKK26" s="4"/>
      <c r="QKL26" s="4"/>
      <c r="QKM26" s="4"/>
      <c r="QKN26" s="4"/>
      <c r="QKO26" s="4"/>
      <c r="QKP26" s="4"/>
      <c r="QKQ26" s="4"/>
      <c r="QKR26" s="4"/>
      <c r="QKS26" s="4"/>
      <c r="QKT26" s="4"/>
      <c r="QKU26" s="4"/>
      <c r="QKV26" s="4"/>
      <c r="QKW26" s="4"/>
      <c r="QKX26" s="4"/>
      <c r="QKY26" s="4"/>
      <c r="QKZ26" s="4"/>
      <c r="QLA26" s="4"/>
      <c r="QLB26" s="4"/>
      <c r="QLC26" s="5"/>
      <c r="QLD26" s="4"/>
      <c r="QLE26" s="28"/>
      <c r="QLF26" s="28"/>
      <c r="QLG26" s="4"/>
      <c r="QLH26" s="4"/>
      <c r="QLI26" s="4"/>
      <c r="QLJ26" s="4"/>
      <c r="QLK26" s="4"/>
      <c r="QLL26" s="4"/>
      <c r="QLM26" s="4"/>
      <c r="QLN26" s="4"/>
      <c r="QLO26" s="4"/>
      <c r="QLP26" s="4"/>
      <c r="QLQ26" s="4"/>
      <c r="QLR26" s="4"/>
      <c r="QLS26" s="4"/>
      <c r="QLT26" s="4"/>
      <c r="QLU26" s="4"/>
      <c r="QLV26" s="4"/>
      <c r="QLW26" s="4"/>
      <c r="QLX26" s="4"/>
      <c r="QLY26" s="4"/>
      <c r="QLZ26" s="4"/>
      <c r="QMA26" s="4"/>
      <c r="QMB26" s="4"/>
      <c r="QMC26" s="4"/>
      <c r="QMD26" s="5"/>
      <c r="QME26" s="4"/>
      <c r="QMF26" s="28"/>
      <c r="QMG26" s="28"/>
      <c r="QMH26" s="4"/>
      <c r="QMI26" s="4"/>
      <c r="QMJ26" s="4"/>
      <c r="QMK26" s="4"/>
      <c r="QML26" s="4"/>
      <c r="QMM26" s="4"/>
      <c r="QMN26" s="4"/>
      <c r="QMO26" s="4"/>
      <c r="QMP26" s="4"/>
      <c r="QMQ26" s="4"/>
      <c r="QMR26" s="4"/>
      <c r="QMS26" s="4"/>
      <c r="QMT26" s="4"/>
      <c r="QMU26" s="4"/>
      <c r="QMV26" s="4"/>
      <c r="QMW26" s="4"/>
      <c r="QMX26" s="4"/>
      <c r="QMY26" s="4"/>
      <c r="QMZ26" s="4"/>
      <c r="QNA26" s="4"/>
      <c r="QNB26" s="4"/>
      <c r="QNC26" s="4"/>
      <c r="QND26" s="4"/>
      <c r="QNE26" s="5"/>
      <c r="QNF26" s="4"/>
      <c r="QNG26" s="28"/>
      <c r="QNH26" s="28"/>
      <c r="QNI26" s="4"/>
      <c r="QNJ26" s="4"/>
      <c r="QNK26" s="4"/>
      <c r="QNL26" s="4"/>
      <c r="QNM26" s="4"/>
      <c r="QNN26" s="4"/>
      <c r="QNO26" s="4"/>
      <c r="QNP26" s="4"/>
      <c r="QNQ26" s="4"/>
      <c r="QNR26" s="4"/>
      <c r="QNS26" s="4"/>
      <c r="QNT26" s="4"/>
      <c r="QNU26" s="4"/>
      <c r="QNV26" s="4"/>
      <c r="QNW26" s="4"/>
      <c r="QNX26" s="4"/>
      <c r="QNY26" s="4"/>
      <c r="QNZ26" s="4"/>
      <c r="QOA26" s="4"/>
      <c r="QOB26" s="4"/>
      <c r="QOC26" s="4"/>
      <c r="QOD26" s="4"/>
      <c r="QOE26" s="4"/>
      <c r="QOF26" s="5"/>
      <c r="QOG26" s="4"/>
      <c r="QOH26" s="28"/>
      <c r="QOI26" s="28"/>
      <c r="QOJ26" s="4"/>
      <c r="QOK26" s="4"/>
      <c r="QOL26" s="4"/>
      <c r="QOM26" s="4"/>
      <c r="QON26" s="4"/>
      <c r="QOO26" s="4"/>
      <c r="QOP26" s="4"/>
      <c r="QOQ26" s="4"/>
      <c r="QOR26" s="4"/>
      <c r="QOS26" s="4"/>
      <c r="QOT26" s="4"/>
      <c r="QOU26" s="4"/>
      <c r="QOV26" s="4"/>
      <c r="QOW26" s="4"/>
      <c r="QOX26" s="4"/>
      <c r="QOY26" s="4"/>
      <c r="QOZ26" s="4"/>
      <c r="QPA26" s="4"/>
      <c r="QPB26" s="4"/>
      <c r="QPC26" s="4"/>
      <c r="QPD26" s="4"/>
      <c r="QPE26" s="4"/>
      <c r="QPF26" s="4"/>
      <c r="QPG26" s="5"/>
      <c r="QPH26" s="4"/>
      <c r="QPI26" s="28"/>
      <c r="QPJ26" s="28"/>
      <c r="QPK26" s="4"/>
      <c r="QPL26" s="4"/>
      <c r="QPM26" s="4"/>
      <c r="QPN26" s="4"/>
      <c r="QPO26" s="4"/>
      <c r="QPP26" s="4"/>
      <c r="QPQ26" s="4"/>
      <c r="QPR26" s="4"/>
      <c r="QPS26" s="4"/>
      <c r="QPT26" s="4"/>
      <c r="QPU26" s="4"/>
      <c r="QPV26" s="4"/>
      <c r="QPW26" s="4"/>
      <c r="QPX26" s="4"/>
      <c r="QPY26" s="4"/>
      <c r="QPZ26" s="4"/>
      <c r="QQA26" s="4"/>
      <c r="QQB26" s="4"/>
      <c r="QQC26" s="4"/>
      <c r="QQD26" s="4"/>
      <c r="QQE26" s="4"/>
      <c r="QQF26" s="4"/>
      <c r="QQG26" s="4"/>
      <c r="QQH26" s="5"/>
      <c r="QQI26" s="4"/>
      <c r="QQJ26" s="28"/>
      <c r="QQK26" s="28"/>
      <c r="QQL26" s="4"/>
      <c r="QQM26" s="4"/>
      <c r="QQN26" s="4"/>
      <c r="QQO26" s="4"/>
      <c r="QQP26" s="4"/>
      <c r="QQQ26" s="4"/>
      <c r="QQR26" s="4"/>
      <c r="QQS26" s="4"/>
      <c r="QQT26" s="4"/>
      <c r="QQU26" s="4"/>
      <c r="QQV26" s="4"/>
      <c r="QQW26" s="4"/>
      <c r="QQX26" s="4"/>
      <c r="QQY26" s="4"/>
      <c r="QQZ26" s="4"/>
      <c r="QRA26" s="4"/>
      <c r="QRB26" s="4"/>
      <c r="QRC26" s="4"/>
      <c r="QRD26" s="4"/>
      <c r="QRE26" s="4"/>
      <c r="QRF26" s="4"/>
      <c r="QRG26" s="4"/>
      <c r="QRH26" s="4"/>
      <c r="QRI26" s="5"/>
      <c r="QRJ26" s="4"/>
      <c r="QRK26" s="28"/>
      <c r="QRL26" s="28"/>
      <c r="QRM26" s="4"/>
      <c r="QRN26" s="4"/>
      <c r="QRO26" s="4"/>
      <c r="QRP26" s="4"/>
      <c r="QRQ26" s="4"/>
      <c r="QRR26" s="4"/>
      <c r="QRS26" s="4"/>
      <c r="QRT26" s="4"/>
      <c r="QRU26" s="4"/>
      <c r="QRV26" s="4"/>
      <c r="QRW26" s="4"/>
      <c r="QRX26" s="4"/>
      <c r="QRY26" s="4"/>
      <c r="QRZ26" s="4"/>
      <c r="QSA26" s="4"/>
      <c r="QSB26" s="4"/>
      <c r="QSC26" s="4"/>
      <c r="QSD26" s="4"/>
      <c r="QSE26" s="4"/>
      <c r="QSF26" s="4"/>
      <c r="QSG26" s="4"/>
      <c r="QSH26" s="4"/>
      <c r="QSI26" s="4"/>
      <c r="QSJ26" s="5"/>
      <c r="QSK26" s="4"/>
      <c r="QSL26" s="28"/>
      <c r="QSM26" s="28"/>
      <c r="QSN26" s="4"/>
      <c r="QSO26" s="4"/>
      <c r="QSP26" s="4"/>
      <c r="QSQ26" s="4"/>
      <c r="QSR26" s="4"/>
      <c r="QSS26" s="4"/>
      <c r="QST26" s="4"/>
      <c r="QSU26" s="4"/>
      <c r="QSV26" s="4"/>
      <c r="QSW26" s="4"/>
      <c r="QSX26" s="4"/>
      <c r="QSY26" s="4"/>
      <c r="QSZ26" s="4"/>
      <c r="QTA26" s="4"/>
      <c r="QTB26" s="4"/>
      <c r="QTC26" s="4"/>
      <c r="QTD26" s="4"/>
      <c r="QTE26" s="4"/>
      <c r="QTF26" s="4"/>
      <c r="QTG26" s="4"/>
      <c r="QTH26" s="4"/>
      <c r="QTI26" s="4"/>
      <c r="QTJ26" s="4"/>
      <c r="QTK26" s="5"/>
      <c r="QTL26" s="4"/>
      <c r="QTM26" s="28"/>
      <c r="QTN26" s="28"/>
      <c r="QTO26" s="4"/>
      <c r="QTP26" s="4"/>
      <c r="QTQ26" s="4"/>
      <c r="QTR26" s="4"/>
      <c r="QTS26" s="4"/>
      <c r="QTT26" s="4"/>
      <c r="QTU26" s="4"/>
      <c r="QTV26" s="4"/>
      <c r="QTW26" s="4"/>
      <c r="QTX26" s="4"/>
      <c r="QTY26" s="4"/>
      <c r="QTZ26" s="4"/>
      <c r="QUA26" s="4"/>
      <c r="QUB26" s="4"/>
      <c r="QUC26" s="4"/>
      <c r="QUD26" s="4"/>
      <c r="QUE26" s="4"/>
      <c r="QUF26" s="4"/>
      <c r="QUG26" s="4"/>
      <c r="QUH26" s="4"/>
      <c r="QUI26" s="4"/>
      <c r="QUJ26" s="4"/>
      <c r="QUK26" s="4"/>
      <c r="QUL26" s="5"/>
      <c r="QUM26" s="4"/>
      <c r="QUN26" s="28"/>
      <c r="QUO26" s="28"/>
      <c r="QUP26" s="4"/>
      <c r="QUQ26" s="4"/>
      <c r="QUR26" s="4"/>
      <c r="QUS26" s="4"/>
      <c r="QUT26" s="4"/>
      <c r="QUU26" s="4"/>
      <c r="QUV26" s="4"/>
      <c r="QUW26" s="4"/>
      <c r="QUX26" s="4"/>
      <c r="QUY26" s="4"/>
      <c r="QUZ26" s="4"/>
      <c r="QVA26" s="4"/>
      <c r="QVB26" s="4"/>
      <c r="QVC26" s="4"/>
      <c r="QVD26" s="4"/>
      <c r="QVE26" s="4"/>
      <c r="QVF26" s="4"/>
      <c r="QVG26" s="4"/>
      <c r="QVH26" s="4"/>
      <c r="QVI26" s="4"/>
      <c r="QVJ26" s="4"/>
      <c r="QVK26" s="4"/>
      <c r="QVL26" s="4"/>
      <c r="QVM26" s="5"/>
      <c r="QVN26" s="4"/>
      <c r="QVO26" s="28"/>
      <c r="QVP26" s="28"/>
      <c r="QVQ26" s="4"/>
      <c r="QVR26" s="4"/>
      <c r="QVS26" s="4"/>
      <c r="QVT26" s="4"/>
      <c r="QVU26" s="4"/>
      <c r="QVV26" s="4"/>
      <c r="QVW26" s="4"/>
      <c r="QVX26" s="4"/>
      <c r="QVY26" s="4"/>
      <c r="QVZ26" s="4"/>
      <c r="QWA26" s="4"/>
      <c r="QWB26" s="4"/>
      <c r="QWC26" s="4"/>
      <c r="QWD26" s="4"/>
      <c r="QWE26" s="4"/>
      <c r="QWF26" s="4"/>
      <c r="QWG26" s="4"/>
      <c r="QWH26" s="4"/>
      <c r="QWI26" s="4"/>
      <c r="QWJ26" s="4"/>
      <c r="QWK26" s="4"/>
      <c r="QWL26" s="4"/>
      <c r="QWM26" s="4"/>
      <c r="QWN26" s="5"/>
      <c r="QWO26" s="4"/>
      <c r="QWP26" s="28"/>
      <c r="QWQ26" s="28"/>
      <c r="QWR26" s="4"/>
      <c r="QWS26" s="4"/>
      <c r="QWT26" s="4"/>
      <c r="QWU26" s="4"/>
      <c r="QWV26" s="4"/>
      <c r="QWW26" s="4"/>
      <c r="QWX26" s="4"/>
      <c r="QWY26" s="4"/>
      <c r="QWZ26" s="4"/>
      <c r="QXA26" s="4"/>
      <c r="QXB26" s="4"/>
      <c r="QXC26" s="4"/>
      <c r="QXD26" s="4"/>
      <c r="QXE26" s="4"/>
      <c r="QXF26" s="4"/>
      <c r="QXG26" s="4"/>
      <c r="QXH26" s="4"/>
      <c r="QXI26" s="4"/>
      <c r="QXJ26" s="4"/>
      <c r="QXK26" s="4"/>
      <c r="QXL26" s="4"/>
      <c r="QXM26" s="4"/>
      <c r="QXN26" s="4"/>
      <c r="QXO26" s="5"/>
      <c r="QXP26" s="4"/>
      <c r="QXQ26" s="28"/>
      <c r="QXR26" s="28"/>
      <c r="QXS26" s="4"/>
      <c r="QXT26" s="4"/>
      <c r="QXU26" s="4"/>
      <c r="QXV26" s="4"/>
      <c r="QXW26" s="4"/>
      <c r="QXX26" s="4"/>
      <c r="QXY26" s="4"/>
      <c r="QXZ26" s="4"/>
      <c r="QYA26" s="4"/>
      <c r="QYB26" s="4"/>
      <c r="QYC26" s="4"/>
      <c r="QYD26" s="4"/>
      <c r="QYE26" s="4"/>
      <c r="QYF26" s="4"/>
      <c r="QYG26" s="4"/>
      <c r="QYH26" s="4"/>
      <c r="QYI26" s="4"/>
      <c r="QYJ26" s="4"/>
      <c r="QYK26" s="4"/>
      <c r="QYL26" s="4"/>
      <c r="QYM26" s="4"/>
      <c r="QYN26" s="4"/>
      <c r="QYO26" s="4"/>
      <c r="QYP26" s="5"/>
      <c r="QYQ26" s="4"/>
      <c r="QYR26" s="28"/>
      <c r="QYS26" s="28"/>
      <c r="QYT26" s="4"/>
      <c r="QYU26" s="4"/>
      <c r="QYV26" s="4"/>
      <c r="QYW26" s="4"/>
      <c r="QYX26" s="4"/>
      <c r="QYY26" s="4"/>
      <c r="QYZ26" s="4"/>
      <c r="QZA26" s="4"/>
      <c r="QZB26" s="4"/>
      <c r="QZC26" s="4"/>
      <c r="QZD26" s="4"/>
      <c r="QZE26" s="4"/>
      <c r="QZF26" s="4"/>
      <c r="QZG26" s="4"/>
      <c r="QZH26" s="4"/>
      <c r="QZI26" s="4"/>
      <c r="QZJ26" s="4"/>
      <c r="QZK26" s="4"/>
      <c r="QZL26" s="4"/>
      <c r="QZM26" s="4"/>
      <c r="QZN26" s="4"/>
      <c r="QZO26" s="4"/>
      <c r="QZP26" s="4"/>
      <c r="QZQ26" s="5"/>
      <c r="QZR26" s="4"/>
      <c r="QZS26" s="28"/>
      <c r="QZT26" s="28"/>
      <c r="QZU26" s="4"/>
      <c r="QZV26" s="4"/>
      <c r="QZW26" s="4"/>
      <c r="QZX26" s="4"/>
      <c r="QZY26" s="4"/>
      <c r="QZZ26" s="4"/>
      <c r="RAA26" s="4"/>
      <c r="RAB26" s="4"/>
      <c r="RAC26" s="4"/>
      <c r="RAD26" s="4"/>
      <c r="RAE26" s="4"/>
      <c r="RAF26" s="4"/>
      <c r="RAG26" s="4"/>
      <c r="RAH26" s="4"/>
      <c r="RAI26" s="4"/>
      <c r="RAJ26" s="4"/>
      <c r="RAK26" s="4"/>
      <c r="RAL26" s="4"/>
      <c r="RAM26" s="4"/>
      <c r="RAN26" s="4"/>
      <c r="RAO26" s="4"/>
      <c r="RAP26" s="4"/>
      <c r="RAQ26" s="4"/>
      <c r="RAR26" s="5"/>
      <c r="RAS26" s="4"/>
      <c r="RAT26" s="28"/>
      <c r="RAU26" s="28"/>
      <c r="RAV26" s="4"/>
      <c r="RAW26" s="4"/>
      <c r="RAX26" s="4"/>
      <c r="RAY26" s="4"/>
      <c r="RAZ26" s="4"/>
      <c r="RBA26" s="4"/>
      <c r="RBB26" s="4"/>
      <c r="RBC26" s="4"/>
      <c r="RBD26" s="4"/>
      <c r="RBE26" s="4"/>
      <c r="RBF26" s="4"/>
      <c r="RBG26" s="4"/>
      <c r="RBH26" s="4"/>
      <c r="RBI26" s="4"/>
      <c r="RBJ26" s="4"/>
      <c r="RBK26" s="4"/>
      <c r="RBL26" s="4"/>
      <c r="RBM26" s="4"/>
      <c r="RBN26" s="4"/>
      <c r="RBO26" s="4"/>
      <c r="RBP26" s="4"/>
      <c r="RBQ26" s="4"/>
      <c r="RBR26" s="4"/>
      <c r="RBS26" s="5"/>
      <c r="RBT26" s="4"/>
      <c r="RBU26" s="28"/>
      <c r="RBV26" s="28"/>
      <c r="RBW26" s="4"/>
      <c r="RBX26" s="4"/>
      <c r="RBY26" s="4"/>
      <c r="RBZ26" s="4"/>
      <c r="RCA26" s="4"/>
      <c r="RCB26" s="4"/>
      <c r="RCC26" s="4"/>
      <c r="RCD26" s="4"/>
      <c r="RCE26" s="4"/>
      <c r="RCF26" s="4"/>
      <c r="RCG26" s="4"/>
      <c r="RCH26" s="4"/>
      <c r="RCI26" s="4"/>
      <c r="RCJ26" s="4"/>
      <c r="RCK26" s="4"/>
      <c r="RCL26" s="4"/>
      <c r="RCM26" s="4"/>
      <c r="RCN26" s="4"/>
      <c r="RCO26" s="4"/>
      <c r="RCP26" s="4"/>
      <c r="RCQ26" s="4"/>
      <c r="RCR26" s="4"/>
      <c r="RCS26" s="4"/>
      <c r="RCT26" s="5"/>
      <c r="RCU26" s="4"/>
      <c r="RCV26" s="28"/>
      <c r="RCW26" s="28"/>
      <c r="RCX26" s="4"/>
      <c r="RCY26" s="4"/>
      <c r="RCZ26" s="4"/>
      <c r="RDA26" s="4"/>
      <c r="RDB26" s="4"/>
      <c r="RDC26" s="4"/>
      <c r="RDD26" s="4"/>
      <c r="RDE26" s="4"/>
      <c r="RDF26" s="4"/>
      <c r="RDG26" s="4"/>
      <c r="RDH26" s="4"/>
      <c r="RDI26" s="4"/>
      <c r="RDJ26" s="4"/>
      <c r="RDK26" s="4"/>
      <c r="RDL26" s="4"/>
      <c r="RDM26" s="4"/>
      <c r="RDN26" s="4"/>
      <c r="RDO26" s="4"/>
      <c r="RDP26" s="4"/>
      <c r="RDQ26" s="4"/>
      <c r="RDR26" s="4"/>
      <c r="RDS26" s="4"/>
      <c r="RDT26" s="4"/>
      <c r="RDU26" s="5"/>
      <c r="RDV26" s="4"/>
      <c r="RDW26" s="28"/>
      <c r="RDX26" s="28"/>
      <c r="RDY26" s="4"/>
      <c r="RDZ26" s="4"/>
      <c r="REA26" s="4"/>
      <c r="REB26" s="4"/>
      <c r="REC26" s="4"/>
      <c r="RED26" s="4"/>
      <c r="REE26" s="4"/>
      <c r="REF26" s="4"/>
      <c r="REG26" s="4"/>
      <c r="REH26" s="4"/>
      <c r="REI26" s="4"/>
      <c r="REJ26" s="4"/>
      <c r="REK26" s="4"/>
      <c r="REL26" s="4"/>
      <c r="REM26" s="4"/>
      <c r="REN26" s="4"/>
      <c r="REO26" s="4"/>
      <c r="REP26" s="4"/>
      <c r="REQ26" s="4"/>
      <c r="RER26" s="4"/>
      <c r="RES26" s="4"/>
      <c r="RET26" s="4"/>
      <c r="REU26" s="4"/>
      <c r="REV26" s="5"/>
      <c r="REW26" s="4"/>
      <c r="REX26" s="28"/>
      <c r="REY26" s="28"/>
      <c r="REZ26" s="4"/>
      <c r="RFA26" s="4"/>
      <c r="RFB26" s="4"/>
      <c r="RFC26" s="4"/>
      <c r="RFD26" s="4"/>
      <c r="RFE26" s="4"/>
      <c r="RFF26" s="4"/>
      <c r="RFG26" s="4"/>
      <c r="RFH26" s="4"/>
      <c r="RFI26" s="4"/>
      <c r="RFJ26" s="4"/>
      <c r="RFK26" s="4"/>
      <c r="RFL26" s="4"/>
      <c r="RFM26" s="4"/>
      <c r="RFN26" s="4"/>
      <c r="RFO26" s="4"/>
      <c r="RFP26" s="4"/>
      <c r="RFQ26" s="4"/>
      <c r="RFR26" s="4"/>
      <c r="RFS26" s="4"/>
      <c r="RFT26" s="4"/>
      <c r="RFU26" s="4"/>
      <c r="RFV26" s="4"/>
      <c r="RFW26" s="5"/>
      <c r="RFX26" s="4"/>
      <c r="RFY26" s="28"/>
      <c r="RFZ26" s="28"/>
      <c r="RGA26" s="4"/>
      <c r="RGB26" s="4"/>
      <c r="RGC26" s="4"/>
      <c r="RGD26" s="4"/>
      <c r="RGE26" s="4"/>
      <c r="RGF26" s="4"/>
      <c r="RGG26" s="4"/>
      <c r="RGH26" s="4"/>
      <c r="RGI26" s="4"/>
      <c r="RGJ26" s="4"/>
      <c r="RGK26" s="4"/>
      <c r="RGL26" s="4"/>
      <c r="RGM26" s="4"/>
      <c r="RGN26" s="4"/>
      <c r="RGO26" s="4"/>
      <c r="RGP26" s="4"/>
      <c r="RGQ26" s="4"/>
      <c r="RGR26" s="4"/>
      <c r="RGS26" s="4"/>
      <c r="RGT26" s="4"/>
      <c r="RGU26" s="4"/>
      <c r="RGV26" s="4"/>
      <c r="RGW26" s="4"/>
      <c r="RGX26" s="5"/>
      <c r="RGY26" s="4"/>
      <c r="RGZ26" s="28"/>
      <c r="RHA26" s="28"/>
      <c r="RHB26" s="4"/>
      <c r="RHC26" s="4"/>
      <c r="RHD26" s="4"/>
      <c r="RHE26" s="4"/>
      <c r="RHF26" s="4"/>
      <c r="RHG26" s="4"/>
      <c r="RHH26" s="4"/>
      <c r="RHI26" s="4"/>
      <c r="RHJ26" s="4"/>
      <c r="RHK26" s="4"/>
      <c r="RHL26" s="4"/>
      <c r="RHM26" s="4"/>
      <c r="RHN26" s="4"/>
      <c r="RHO26" s="4"/>
      <c r="RHP26" s="4"/>
      <c r="RHQ26" s="4"/>
      <c r="RHR26" s="4"/>
      <c r="RHS26" s="4"/>
      <c r="RHT26" s="4"/>
      <c r="RHU26" s="4"/>
      <c r="RHV26" s="4"/>
      <c r="RHW26" s="4"/>
      <c r="RHX26" s="4"/>
      <c r="RHY26" s="5"/>
      <c r="RHZ26" s="4"/>
      <c r="RIA26" s="28"/>
      <c r="RIB26" s="28"/>
      <c r="RIC26" s="4"/>
      <c r="RID26" s="4"/>
      <c r="RIE26" s="4"/>
      <c r="RIF26" s="4"/>
      <c r="RIG26" s="4"/>
      <c r="RIH26" s="4"/>
      <c r="RII26" s="4"/>
      <c r="RIJ26" s="4"/>
      <c r="RIK26" s="4"/>
      <c r="RIL26" s="4"/>
      <c r="RIM26" s="4"/>
      <c r="RIN26" s="4"/>
      <c r="RIO26" s="4"/>
      <c r="RIP26" s="4"/>
      <c r="RIQ26" s="4"/>
      <c r="RIR26" s="4"/>
      <c r="RIS26" s="4"/>
      <c r="RIT26" s="4"/>
      <c r="RIU26" s="4"/>
      <c r="RIV26" s="4"/>
      <c r="RIW26" s="4"/>
      <c r="RIX26" s="4"/>
      <c r="RIY26" s="4"/>
      <c r="RIZ26" s="5"/>
      <c r="RJA26" s="4"/>
      <c r="RJB26" s="28"/>
      <c r="RJC26" s="28"/>
      <c r="RJD26" s="4"/>
      <c r="RJE26" s="4"/>
      <c r="RJF26" s="4"/>
      <c r="RJG26" s="4"/>
      <c r="RJH26" s="4"/>
      <c r="RJI26" s="4"/>
      <c r="RJJ26" s="4"/>
      <c r="RJK26" s="4"/>
      <c r="RJL26" s="4"/>
      <c r="RJM26" s="4"/>
      <c r="RJN26" s="4"/>
      <c r="RJO26" s="4"/>
      <c r="RJP26" s="4"/>
      <c r="RJQ26" s="4"/>
      <c r="RJR26" s="4"/>
      <c r="RJS26" s="4"/>
      <c r="RJT26" s="4"/>
      <c r="RJU26" s="4"/>
      <c r="RJV26" s="4"/>
      <c r="RJW26" s="4"/>
      <c r="RJX26" s="4"/>
      <c r="RJY26" s="4"/>
      <c r="RJZ26" s="4"/>
      <c r="RKA26" s="5"/>
      <c r="RKB26" s="4"/>
      <c r="RKC26" s="28"/>
      <c r="RKD26" s="28"/>
      <c r="RKE26" s="4"/>
      <c r="RKF26" s="4"/>
      <c r="RKG26" s="4"/>
      <c r="RKH26" s="4"/>
      <c r="RKI26" s="4"/>
      <c r="RKJ26" s="4"/>
      <c r="RKK26" s="4"/>
      <c r="RKL26" s="4"/>
      <c r="RKM26" s="4"/>
      <c r="RKN26" s="4"/>
      <c r="RKO26" s="4"/>
      <c r="RKP26" s="4"/>
      <c r="RKQ26" s="4"/>
      <c r="RKR26" s="4"/>
      <c r="RKS26" s="4"/>
      <c r="RKT26" s="4"/>
      <c r="RKU26" s="4"/>
      <c r="RKV26" s="4"/>
      <c r="RKW26" s="4"/>
      <c r="RKX26" s="4"/>
      <c r="RKY26" s="4"/>
      <c r="RKZ26" s="4"/>
      <c r="RLA26" s="4"/>
      <c r="RLB26" s="5"/>
      <c r="RLC26" s="4"/>
      <c r="RLD26" s="28"/>
      <c r="RLE26" s="28"/>
      <c r="RLF26" s="4"/>
      <c r="RLG26" s="4"/>
      <c r="RLH26" s="4"/>
      <c r="RLI26" s="4"/>
      <c r="RLJ26" s="4"/>
      <c r="RLK26" s="4"/>
      <c r="RLL26" s="4"/>
      <c r="RLM26" s="4"/>
      <c r="RLN26" s="4"/>
      <c r="RLO26" s="4"/>
      <c r="RLP26" s="4"/>
      <c r="RLQ26" s="4"/>
      <c r="RLR26" s="4"/>
      <c r="RLS26" s="4"/>
      <c r="RLT26" s="4"/>
      <c r="RLU26" s="4"/>
      <c r="RLV26" s="4"/>
      <c r="RLW26" s="4"/>
      <c r="RLX26" s="4"/>
      <c r="RLY26" s="4"/>
      <c r="RLZ26" s="4"/>
      <c r="RMA26" s="4"/>
      <c r="RMB26" s="4"/>
      <c r="RMC26" s="5"/>
      <c r="RMD26" s="4"/>
      <c r="RME26" s="28"/>
      <c r="RMF26" s="28"/>
      <c r="RMG26" s="4"/>
      <c r="RMH26" s="4"/>
      <c r="RMI26" s="4"/>
      <c r="RMJ26" s="4"/>
      <c r="RMK26" s="4"/>
      <c r="RML26" s="4"/>
      <c r="RMM26" s="4"/>
      <c r="RMN26" s="4"/>
      <c r="RMO26" s="4"/>
      <c r="RMP26" s="4"/>
      <c r="RMQ26" s="4"/>
      <c r="RMR26" s="4"/>
      <c r="RMS26" s="4"/>
      <c r="RMT26" s="4"/>
      <c r="RMU26" s="4"/>
      <c r="RMV26" s="4"/>
      <c r="RMW26" s="4"/>
      <c r="RMX26" s="4"/>
      <c r="RMY26" s="4"/>
      <c r="RMZ26" s="4"/>
      <c r="RNA26" s="4"/>
      <c r="RNB26" s="4"/>
      <c r="RNC26" s="4"/>
      <c r="RND26" s="5"/>
      <c r="RNE26" s="4"/>
      <c r="RNF26" s="28"/>
      <c r="RNG26" s="28"/>
      <c r="RNH26" s="4"/>
      <c r="RNI26" s="4"/>
      <c r="RNJ26" s="4"/>
      <c r="RNK26" s="4"/>
      <c r="RNL26" s="4"/>
      <c r="RNM26" s="4"/>
      <c r="RNN26" s="4"/>
      <c r="RNO26" s="4"/>
      <c r="RNP26" s="4"/>
      <c r="RNQ26" s="4"/>
      <c r="RNR26" s="4"/>
      <c r="RNS26" s="4"/>
      <c r="RNT26" s="4"/>
      <c r="RNU26" s="4"/>
      <c r="RNV26" s="4"/>
      <c r="RNW26" s="4"/>
      <c r="RNX26" s="4"/>
      <c r="RNY26" s="4"/>
      <c r="RNZ26" s="4"/>
      <c r="ROA26" s="4"/>
      <c r="ROB26" s="4"/>
      <c r="ROC26" s="4"/>
      <c r="ROD26" s="4"/>
      <c r="ROE26" s="5"/>
      <c r="ROF26" s="4"/>
      <c r="ROG26" s="28"/>
      <c r="ROH26" s="28"/>
      <c r="ROI26" s="4"/>
      <c r="ROJ26" s="4"/>
      <c r="ROK26" s="4"/>
      <c r="ROL26" s="4"/>
      <c r="ROM26" s="4"/>
      <c r="RON26" s="4"/>
      <c r="ROO26" s="4"/>
      <c r="ROP26" s="4"/>
      <c r="ROQ26" s="4"/>
      <c r="ROR26" s="4"/>
      <c r="ROS26" s="4"/>
      <c r="ROT26" s="4"/>
      <c r="ROU26" s="4"/>
      <c r="ROV26" s="4"/>
      <c r="ROW26" s="4"/>
      <c r="ROX26" s="4"/>
      <c r="ROY26" s="4"/>
      <c r="ROZ26" s="4"/>
      <c r="RPA26" s="4"/>
      <c r="RPB26" s="4"/>
      <c r="RPC26" s="4"/>
      <c r="RPD26" s="4"/>
      <c r="RPE26" s="4"/>
      <c r="RPF26" s="5"/>
      <c r="RPG26" s="4"/>
      <c r="RPH26" s="28"/>
      <c r="RPI26" s="28"/>
      <c r="RPJ26" s="4"/>
      <c r="RPK26" s="4"/>
      <c r="RPL26" s="4"/>
      <c r="RPM26" s="4"/>
      <c r="RPN26" s="4"/>
      <c r="RPO26" s="4"/>
      <c r="RPP26" s="4"/>
      <c r="RPQ26" s="4"/>
      <c r="RPR26" s="4"/>
      <c r="RPS26" s="4"/>
      <c r="RPT26" s="4"/>
      <c r="RPU26" s="4"/>
      <c r="RPV26" s="4"/>
      <c r="RPW26" s="4"/>
      <c r="RPX26" s="4"/>
      <c r="RPY26" s="4"/>
      <c r="RPZ26" s="4"/>
      <c r="RQA26" s="4"/>
      <c r="RQB26" s="4"/>
      <c r="RQC26" s="4"/>
      <c r="RQD26" s="4"/>
      <c r="RQE26" s="4"/>
      <c r="RQF26" s="4"/>
      <c r="RQG26" s="5"/>
      <c r="RQH26" s="4"/>
      <c r="RQI26" s="28"/>
      <c r="RQJ26" s="28"/>
      <c r="RQK26" s="4"/>
      <c r="RQL26" s="4"/>
      <c r="RQM26" s="4"/>
      <c r="RQN26" s="4"/>
      <c r="RQO26" s="4"/>
      <c r="RQP26" s="4"/>
      <c r="RQQ26" s="4"/>
      <c r="RQR26" s="4"/>
      <c r="RQS26" s="4"/>
      <c r="RQT26" s="4"/>
      <c r="RQU26" s="4"/>
      <c r="RQV26" s="4"/>
      <c r="RQW26" s="4"/>
      <c r="RQX26" s="4"/>
      <c r="RQY26" s="4"/>
      <c r="RQZ26" s="4"/>
      <c r="RRA26" s="4"/>
      <c r="RRB26" s="4"/>
      <c r="RRC26" s="4"/>
      <c r="RRD26" s="4"/>
      <c r="RRE26" s="4"/>
      <c r="RRF26" s="4"/>
      <c r="RRG26" s="4"/>
      <c r="RRH26" s="5"/>
      <c r="RRI26" s="4"/>
      <c r="RRJ26" s="28"/>
      <c r="RRK26" s="28"/>
      <c r="RRL26" s="4"/>
      <c r="RRM26" s="4"/>
      <c r="RRN26" s="4"/>
      <c r="RRO26" s="4"/>
      <c r="RRP26" s="4"/>
      <c r="RRQ26" s="4"/>
      <c r="RRR26" s="4"/>
      <c r="RRS26" s="4"/>
      <c r="RRT26" s="4"/>
      <c r="RRU26" s="4"/>
      <c r="RRV26" s="4"/>
      <c r="RRW26" s="4"/>
      <c r="RRX26" s="4"/>
      <c r="RRY26" s="4"/>
      <c r="RRZ26" s="4"/>
      <c r="RSA26" s="4"/>
      <c r="RSB26" s="4"/>
      <c r="RSC26" s="4"/>
      <c r="RSD26" s="4"/>
      <c r="RSE26" s="4"/>
      <c r="RSF26" s="4"/>
      <c r="RSG26" s="4"/>
      <c r="RSH26" s="4"/>
      <c r="RSI26" s="5"/>
      <c r="RSJ26" s="4"/>
      <c r="RSK26" s="28"/>
      <c r="RSL26" s="28"/>
      <c r="RSM26" s="4"/>
      <c r="RSN26" s="4"/>
      <c r="RSO26" s="4"/>
      <c r="RSP26" s="4"/>
      <c r="RSQ26" s="4"/>
      <c r="RSR26" s="4"/>
      <c r="RSS26" s="4"/>
      <c r="RST26" s="4"/>
      <c r="RSU26" s="4"/>
      <c r="RSV26" s="4"/>
      <c r="RSW26" s="4"/>
      <c r="RSX26" s="4"/>
      <c r="RSY26" s="4"/>
      <c r="RSZ26" s="4"/>
      <c r="RTA26" s="4"/>
      <c r="RTB26" s="4"/>
      <c r="RTC26" s="4"/>
      <c r="RTD26" s="4"/>
      <c r="RTE26" s="4"/>
      <c r="RTF26" s="4"/>
      <c r="RTG26" s="4"/>
      <c r="RTH26" s="4"/>
      <c r="RTI26" s="4"/>
      <c r="RTJ26" s="5"/>
      <c r="RTK26" s="4"/>
      <c r="RTL26" s="28"/>
      <c r="RTM26" s="28"/>
      <c r="RTN26" s="4"/>
      <c r="RTO26" s="4"/>
      <c r="RTP26" s="4"/>
      <c r="RTQ26" s="4"/>
      <c r="RTR26" s="4"/>
      <c r="RTS26" s="4"/>
      <c r="RTT26" s="4"/>
      <c r="RTU26" s="4"/>
      <c r="RTV26" s="4"/>
      <c r="RTW26" s="4"/>
      <c r="RTX26" s="4"/>
      <c r="RTY26" s="4"/>
      <c r="RTZ26" s="4"/>
      <c r="RUA26" s="4"/>
      <c r="RUB26" s="4"/>
      <c r="RUC26" s="4"/>
      <c r="RUD26" s="4"/>
      <c r="RUE26" s="4"/>
      <c r="RUF26" s="4"/>
      <c r="RUG26" s="4"/>
      <c r="RUH26" s="4"/>
      <c r="RUI26" s="4"/>
      <c r="RUJ26" s="4"/>
      <c r="RUK26" s="5"/>
      <c r="RUL26" s="4"/>
      <c r="RUM26" s="28"/>
      <c r="RUN26" s="28"/>
      <c r="RUO26" s="4"/>
      <c r="RUP26" s="4"/>
      <c r="RUQ26" s="4"/>
      <c r="RUR26" s="4"/>
      <c r="RUS26" s="4"/>
      <c r="RUT26" s="4"/>
      <c r="RUU26" s="4"/>
      <c r="RUV26" s="4"/>
      <c r="RUW26" s="4"/>
      <c r="RUX26" s="4"/>
      <c r="RUY26" s="4"/>
      <c r="RUZ26" s="4"/>
      <c r="RVA26" s="4"/>
      <c r="RVB26" s="4"/>
      <c r="RVC26" s="4"/>
      <c r="RVD26" s="4"/>
      <c r="RVE26" s="4"/>
      <c r="RVF26" s="4"/>
      <c r="RVG26" s="4"/>
      <c r="RVH26" s="4"/>
      <c r="RVI26" s="4"/>
      <c r="RVJ26" s="4"/>
      <c r="RVK26" s="4"/>
      <c r="RVL26" s="5"/>
      <c r="RVM26" s="4"/>
      <c r="RVN26" s="28"/>
      <c r="RVO26" s="28"/>
      <c r="RVP26" s="4"/>
      <c r="RVQ26" s="4"/>
      <c r="RVR26" s="4"/>
      <c r="RVS26" s="4"/>
      <c r="RVT26" s="4"/>
      <c r="RVU26" s="4"/>
      <c r="RVV26" s="4"/>
      <c r="RVW26" s="4"/>
      <c r="RVX26" s="4"/>
      <c r="RVY26" s="4"/>
      <c r="RVZ26" s="4"/>
      <c r="RWA26" s="4"/>
      <c r="RWB26" s="4"/>
      <c r="RWC26" s="4"/>
      <c r="RWD26" s="4"/>
      <c r="RWE26" s="4"/>
      <c r="RWF26" s="4"/>
      <c r="RWG26" s="4"/>
      <c r="RWH26" s="4"/>
      <c r="RWI26" s="4"/>
      <c r="RWJ26" s="4"/>
      <c r="RWK26" s="4"/>
      <c r="RWL26" s="4"/>
      <c r="RWM26" s="5"/>
      <c r="RWN26" s="4"/>
      <c r="RWO26" s="28"/>
      <c r="RWP26" s="28"/>
      <c r="RWQ26" s="4"/>
      <c r="RWR26" s="4"/>
      <c r="RWS26" s="4"/>
      <c r="RWT26" s="4"/>
      <c r="RWU26" s="4"/>
      <c r="RWV26" s="4"/>
      <c r="RWW26" s="4"/>
      <c r="RWX26" s="4"/>
      <c r="RWY26" s="4"/>
      <c r="RWZ26" s="4"/>
      <c r="RXA26" s="4"/>
      <c r="RXB26" s="4"/>
      <c r="RXC26" s="4"/>
      <c r="RXD26" s="4"/>
      <c r="RXE26" s="4"/>
      <c r="RXF26" s="4"/>
      <c r="RXG26" s="4"/>
      <c r="RXH26" s="4"/>
      <c r="RXI26" s="4"/>
      <c r="RXJ26" s="4"/>
      <c r="RXK26" s="4"/>
      <c r="RXL26" s="4"/>
      <c r="RXM26" s="4"/>
      <c r="RXN26" s="5"/>
      <c r="RXO26" s="4"/>
      <c r="RXP26" s="28"/>
      <c r="RXQ26" s="28"/>
      <c r="RXR26" s="4"/>
      <c r="RXS26" s="4"/>
      <c r="RXT26" s="4"/>
      <c r="RXU26" s="4"/>
      <c r="RXV26" s="4"/>
      <c r="RXW26" s="4"/>
      <c r="RXX26" s="4"/>
      <c r="RXY26" s="4"/>
      <c r="RXZ26" s="4"/>
      <c r="RYA26" s="4"/>
      <c r="RYB26" s="4"/>
      <c r="RYC26" s="4"/>
      <c r="RYD26" s="4"/>
      <c r="RYE26" s="4"/>
      <c r="RYF26" s="4"/>
      <c r="RYG26" s="4"/>
      <c r="RYH26" s="4"/>
      <c r="RYI26" s="4"/>
      <c r="RYJ26" s="4"/>
      <c r="RYK26" s="4"/>
      <c r="RYL26" s="4"/>
      <c r="RYM26" s="4"/>
      <c r="RYN26" s="4"/>
      <c r="RYO26" s="5"/>
      <c r="RYP26" s="4"/>
      <c r="RYQ26" s="28"/>
      <c r="RYR26" s="28"/>
      <c r="RYS26" s="4"/>
      <c r="RYT26" s="4"/>
      <c r="RYU26" s="4"/>
      <c r="RYV26" s="4"/>
      <c r="RYW26" s="4"/>
      <c r="RYX26" s="4"/>
      <c r="RYY26" s="4"/>
      <c r="RYZ26" s="4"/>
      <c r="RZA26" s="4"/>
      <c r="RZB26" s="4"/>
      <c r="RZC26" s="4"/>
      <c r="RZD26" s="4"/>
      <c r="RZE26" s="4"/>
      <c r="RZF26" s="4"/>
      <c r="RZG26" s="4"/>
      <c r="RZH26" s="4"/>
      <c r="RZI26" s="4"/>
      <c r="RZJ26" s="4"/>
      <c r="RZK26" s="4"/>
      <c r="RZL26" s="4"/>
      <c r="RZM26" s="4"/>
      <c r="RZN26" s="4"/>
      <c r="RZO26" s="4"/>
      <c r="RZP26" s="5"/>
      <c r="RZQ26" s="4"/>
      <c r="RZR26" s="28"/>
      <c r="RZS26" s="28"/>
      <c r="RZT26" s="4"/>
      <c r="RZU26" s="4"/>
      <c r="RZV26" s="4"/>
      <c r="RZW26" s="4"/>
      <c r="RZX26" s="4"/>
      <c r="RZY26" s="4"/>
      <c r="RZZ26" s="4"/>
      <c r="SAA26" s="4"/>
      <c r="SAB26" s="4"/>
      <c r="SAC26" s="4"/>
      <c r="SAD26" s="4"/>
      <c r="SAE26" s="4"/>
      <c r="SAF26" s="4"/>
      <c r="SAG26" s="4"/>
      <c r="SAH26" s="4"/>
      <c r="SAI26" s="4"/>
      <c r="SAJ26" s="4"/>
      <c r="SAK26" s="4"/>
      <c r="SAL26" s="4"/>
      <c r="SAM26" s="4"/>
      <c r="SAN26" s="4"/>
      <c r="SAO26" s="4"/>
      <c r="SAP26" s="4"/>
      <c r="SAQ26" s="5"/>
      <c r="SAR26" s="4"/>
      <c r="SAS26" s="28"/>
      <c r="SAT26" s="28"/>
      <c r="SAU26" s="4"/>
      <c r="SAV26" s="4"/>
      <c r="SAW26" s="4"/>
      <c r="SAX26" s="4"/>
      <c r="SAY26" s="4"/>
      <c r="SAZ26" s="4"/>
      <c r="SBA26" s="4"/>
      <c r="SBB26" s="4"/>
      <c r="SBC26" s="4"/>
      <c r="SBD26" s="4"/>
      <c r="SBE26" s="4"/>
      <c r="SBF26" s="4"/>
      <c r="SBG26" s="4"/>
      <c r="SBH26" s="4"/>
      <c r="SBI26" s="4"/>
      <c r="SBJ26" s="4"/>
      <c r="SBK26" s="4"/>
      <c r="SBL26" s="4"/>
      <c r="SBM26" s="4"/>
      <c r="SBN26" s="4"/>
      <c r="SBO26" s="4"/>
      <c r="SBP26" s="4"/>
      <c r="SBQ26" s="4"/>
      <c r="SBR26" s="5"/>
      <c r="SBS26" s="4"/>
      <c r="SBT26" s="28"/>
      <c r="SBU26" s="28"/>
      <c r="SBV26" s="4"/>
      <c r="SBW26" s="4"/>
      <c r="SBX26" s="4"/>
      <c r="SBY26" s="4"/>
      <c r="SBZ26" s="4"/>
      <c r="SCA26" s="4"/>
      <c r="SCB26" s="4"/>
      <c r="SCC26" s="4"/>
      <c r="SCD26" s="4"/>
      <c r="SCE26" s="4"/>
      <c r="SCF26" s="4"/>
      <c r="SCG26" s="4"/>
      <c r="SCH26" s="4"/>
      <c r="SCI26" s="4"/>
      <c r="SCJ26" s="4"/>
      <c r="SCK26" s="4"/>
      <c r="SCL26" s="4"/>
      <c r="SCM26" s="4"/>
      <c r="SCN26" s="4"/>
      <c r="SCO26" s="4"/>
      <c r="SCP26" s="4"/>
      <c r="SCQ26" s="4"/>
      <c r="SCR26" s="4"/>
      <c r="SCS26" s="5"/>
      <c r="SCT26" s="4"/>
      <c r="SCU26" s="28"/>
      <c r="SCV26" s="28"/>
      <c r="SCW26" s="4"/>
      <c r="SCX26" s="4"/>
      <c r="SCY26" s="4"/>
      <c r="SCZ26" s="4"/>
      <c r="SDA26" s="4"/>
      <c r="SDB26" s="4"/>
      <c r="SDC26" s="4"/>
      <c r="SDD26" s="4"/>
      <c r="SDE26" s="4"/>
      <c r="SDF26" s="4"/>
      <c r="SDG26" s="4"/>
      <c r="SDH26" s="4"/>
      <c r="SDI26" s="4"/>
      <c r="SDJ26" s="4"/>
      <c r="SDK26" s="4"/>
      <c r="SDL26" s="4"/>
      <c r="SDM26" s="4"/>
      <c r="SDN26" s="4"/>
      <c r="SDO26" s="4"/>
      <c r="SDP26" s="4"/>
      <c r="SDQ26" s="4"/>
      <c r="SDR26" s="4"/>
      <c r="SDS26" s="4"/>
      <c r="SDT26" s="5"/>
      <c r="SDU26" s="4"/>
      <c r="SDV26" s="28"/>
      <c r="SDW26" s="28"/>
      <c r="SDX26" s="4"/>
      <c r="SDY26" s="4"/>
      <c r="SDZ26" s="4"/>
      <c r="SEA26" s="4"/>
      <c r="SEB26" s="4"/>
      <c r="SEC26" s="4"/>
      <c r="SED26" s="4"/>
      <c r="SEE26" s="4"/>
      <c r="SEF26" s="4"/>
      <c r="SEG26" s="4"/>
      <c r="SEH26" s="4"/>
      <c r="SEI26" s="4"/>
      <c r="SEJ26" s="4"/>
      <c r="SEK26" s="4"/>
      <c r="SEL26" s="4"/>
      <c r="SEM26" s="4"/>
      <c r="SEN26" s="4"/>
      <c r="SEO26" s="4"/>
      <c r="SEP26" s="4"/>
      <c r="SEQ26" s="4"/>
      <c r="SER26" s="4"/>
      <c r="SES26" s="4"/>
      <c r="SET26" s="4"/>
      <c r="SEU26" s="5"/>
      <c r="SEV26" s="4"/>
      <c r="SEW26" s="28"/>
      <c r="SEX26" s="28"/>
      <c r="SEY26" s="4"/>
      <c r="SEZ26" s="4"/>
      <c r="SFA26" s="4"/>
      <c r="SFB26" s="4"/>
      <c r="SFC26" s="4"/>
      <c r="SFD26" s="4"/>
      <c r="SFE26" s="4"/>
      <c r="SFF26" s="4"/>
      <c r="SFG26" s="4"/>
      <c r="SFH26" s="4"/>
      <c r="SFI26" s="4"/>
      <c r="SFJ26" s="4"/>
      <c r="SFK26" s="4"/>
      <c r="SFL26" s="4"/>
      <c r="SFM26" s="4"/>
      <c r="SFN26" s="4"/>
      <c r="SFO26" s="4"/>
      <c r="SFP26" s="4"/>
      <c r="SFQ26" s="4"/>
      <c r="SFR26" s="4"/>
      <c r="SFS26" s="4"/>
      <c r="SFT26" s="4"/>
      <c r="SFU26" s="4"/>
      <c r="SFV26" s="5"/>
      <c r="SFW26" s="4"/>
      <c r="SFX26" s="28"/>
      <c r="SFY26" s="28"/>
      <c r="SFZ26" s="4"/>
      <c r="SGA26" s="4"/>
      <c r="SGB26" s="4"/>
      <c r="SGC26" s="4"/>
      <c r="SGD26" s="4"/>
      <c r="SGE26" s="4"/>
      <c r="SGF26" s="4"/>
      <c r="SGG26" s="4"/>
      <c r="SGH26" s="4"/>
      <c r="SGI26" s="4"/>
      <c r="SGJ26" s="4"/>
      <c r="SGK26" s="4"/>
      <c r="SGL26" s="4"/>
      <c r="SGM26" s="4"/>
      <c r="SGN26" s="4"/>
      <c r="SGO26" s="4"/>
      <c r="SGP26" s="4"/>
      <c r="SGQ26" s="4"/>
      <c r="SGR26" s="4"/>
      <c r="SGS26" s="4"/>
      <c r="SGT26" s="4"/>
      <c r="SGU26" s="4"/>
      <c r="SGV26" s="4"/>
      <c r="SGW26" s="5"/>
      <c r="SGX26" s="4"/>
      <c r="SGY26" s="28"/>
      <c r="SGZ26" s="28"/>
      <c r="SHA26" s="4"/>
      <c r="SHB26" s="4"/>
      <c r="SHC26" s="4"/>
      <c r="SHD26" s="4"/>
      <c r="SHE26" s="4"/>
      <c r="SHF26" s="4"/>
      <c r="SHG26" s="4"/>
      <c r="SHH26" s="4"/>
      <c r="SHI26" s="4"/>
      <c r="SHJ26" s="4"/>
      <c r="SHK26" s="4"/>
      <c r="SHL26" s="4"/>
      <c r="SHM26" s="4"/>
      <c r="SHN26" s="4"/>
      <c r="SHO26" s="4"/>
      <c r="SHP26" s="4"/>
      <c r="SHQ26" s="4"/>
      <c r="SHR26" s="4"/>
      <c r="SHS26" s="4"/>
      <c r="SHT26" s="4"/>
      <c r="SHU26" s="4"/>
      <c r="SHV26" s="4"/>
      <c r="SHW26" s="4"/>
      <c r="SHX26" s="5"/>
      <c r="SHY26" s="4"/>
      <c r="SHZ26" s="28"/>
      <c r="SIA26" s="28"/>
      <c r="SIB26" s="4"/>
      <c r="SIC26" s="4"/>
      <c r="SID26" s="4"/>
      <c r="SIE26" s="4"/>
      <c r="SIF26" s="4"/>
      <c r="SIG26" s="4"/>
      <c r="SIH26" s="4"/>
      <c r="SII26" s="4"/>
      <c r="SIJ26" s="4"/>
      <c r="SIK26" s="4"/>
      <c r="SIL26" s="4"/>
      <c r="SIM26" s="4"/>
      <c r="SIN26" s="4"/>
      <c r="SIO26" s="4"/>
      <c r="SIP26" s="4"/>
      <c r="SIQ26" s="4"/>
      <c r="SIR26" s="4"/>
      <c r="SIS26" s="4"/>
      <c r="SIT26" s="4"/>
      <c r="SIU26" s="4"/>
      <c r="SIV26" s="4"/>
      <c r="SIW26" s="4"/>
      <c r="SIX26" s="4"/>
      <c r="SIY26" s="5"/>
      <c r="SIZ26" s="4"/>
      <c r="SJA26" s="28"/>
      <c r="SJB26" s="28"/>
      <c r="SJC26" s="4"/>
      <c r="SJD26" s="4"/>
      <c r="SJE26" s="4"/>
      <c r="SJF26" s="4"/>
      <c r="SJG26" s="4"/>
      <c r="SJH26" s="4"/>
      <c r="SJI26" s="4"/>
      <c r="SJJ26" s="4"/>
      <c r="SJK26" s="4"/>
      <c r="SJL26" s="4"/>
      <c r="SJM26" s="4"/>
      <c r="SJN26" s="4"/>
      <c r="SJO26" s="4"/>
      <c r="SJP26" s="4"/>
      <c r="SJQ26" s="4"/>
      <c r="SJR26" s="4"/>
      <c r="SJS26" s="4"/>
      <c r="SJT26" s="4"/>
      <c r="SJU26" s="4"/>
      <c r="SJV26" s="4"/>
      <c r="SJW26" s="4"/>
      <c r="SJX26" s="4"/>
      <c r="SJY26" s="4"/>
      <c r="SJZ26" s="5"/>
      <c r="SKA26" s="4"/>
      <c r="SKB26" s="28"/>
      <c r="SKC26" s="28"/>
      <c r="SKD26" s="4"/>
      <c r="SKE26" s="4"/>
      <c r="SKF26" s="4"/>
      <c r="SKG26" s="4"/>
      <c r="SKH26" s="4"/>
      <c r="SKI26" s="4"/>
      <c r="SKJ26" s="4"/>
      <c r="SKK26" s="4"/>
      <c r="SKL26" s="4"/>
      <c r="SKM26" s="4"/>
      <c r="SKN26" s="4"/>
      <c r="SKO26" s="4"/>
      <c r="SKP26" s="4"/>
      <c r="SKQ26" s="4"/>
      <c r="SKR26" s="4"/>
      <c r="SKS26" s="4"/>
      <c r="SKT26" s="4"/>
      <c r="SKU26" s="4"/>
      <c r="SKV26" s="4"/>
      <c r="SKW26" s="4"/>
      <c r="SKX26" s="4"/>
      <c r="SKY26" s="4"/>
      <c r="SKZ26" s="4"/>
      <c r="SLA26" s="5"/>
      <c r="SLB26" s="4"/>
      <c r="SLC26" s="28"/>
      <c r="SLD26" s="28"/>
      <c r="SLE26" s="4"/>
      <c r="SLF26" s="4"/>
      <c r="SLG26" s="4"/>
      <c r="SLH26" s="4"/>
      <c r="SLI26" s="4"/>
      <c r="SLJ26" s="4"/>
      <c r="SLK26" s="4"/>
      <c r="SLL26" s="4"/>
      <c r="SLM26" s="4"/>
      <c r="SLN26" s="4"/>
      <c r="SLO26" s="4"/>
      <c r="SLP26" s="4"/>
      <c r="SLQ26" s="4"/>
      <c r="SLR26" s="4"/>
      <c r="SLS26" s="4"/>
      <c r="SLT26" s="4"/>
      <c r="SLU26" s="4"/>
      <c r="SLV26" s="4"/>
      <c r="SLW26" s="4"/>
      <c r="SLX26" s="4"/>
      <c r="SLY26" s="4"/>
      <c r="SLZ26" s="4"/>
      <c r="SMA26" s="4"/>
      <c r="SMB26" s="5"/>
      <c r="SMC26" s="4"/>
      <c r="SMD26" s="28"/>
      <c r="SME26" s="28"/>
      <c r="SMF26" s="4"/>
      <c r="SMG26" s="4"/>
      <c r="SMH26" s="4"/>
      <c r="SMI26" s="4"/>
      <c r="SMJ26" s="4"/>
      <c r="SMK26" s="4"/>
      <c r="SML26" s="4"/>
      <c r="SMM26" s="4"/>
      <c r="SMN26" s="4"/>
      <c r="SMO26" s="4"/>
      <c r="SMP26" s="4"/>
      <c r="SMQ26" s="4"/>
      <c r="SMR26" s="4"/>
      <c r="SMS26" s="4"/>
      <c r="SMT26" s="4"/>
      <c r="SMU26" s="4"/>
      <c r="SMV26" s="4"/>
      <c r="SMW26" s="4"/>
      <c r="SMX26" s="4"/>
      <c r="SMY26" s="4"/>
      <c r="SMZ26" s="4"/>
      <c r="SNA26" s="4"/>
      <c r="SNB26" s="4"/>
      <c r="SNC26" s="5"/>
      <c r="SND26" s="4"/>
      <c r="SNE26" s="28"/>
      <c r="SNF26" s="28"/>
      <c r="SNG26" s="4"/>
      <c r="SNH26" s="4"/>
      <c r="SNI26" s="4"/>
      <c r="SNJ26" s="4"/>
      <c r="SNK26" s="4"/>
      <c r="SNL26" s="4"/>
      <c r="SNM26" s="4"/>
      <c r="SNN26" s="4"/>
      <c r="SNO26" s="4"/>
      <c r="SNP26" s="4"/>
      <c r="SNQ26" s="4"/>
      <c r="SNR26" s="4"/>
      <c r="SNS26" s="4"/>
      <c r="SNT26" s="4"/>
      <c r="SNU26" s="4"/>
      <c r="SNV26" s="4"/>
      <c r="SNW26" s="4"/>
      <c r="SNX26" s="4"/>
      <c r="SNY26" s="4"/>
      <c r="SNZ26" s="4"/>
      <c r="SOA26" s="4"/>
      <c r="SOB26" s="4"/>
      <c r="SOC26" s="4"/>
      <c r="SOD26" s="5"/>
      <c r="SOE26" s="4"/>
      <c r="SOF26" s="28"/>
      <c r="SOG26" s="28"/>
      <c r="SOH26" s="4"/>
      <c r="SOI26" s="4"/>
      <c r="SOJ26" s="4"/>
      <c r="SOK26" s="4"/>
      <c r="SOL26" s="4"/>
      <c r="SOM26" s="4"/>
      <c r="SON26" s="4"/>
      <c r="SOO26" s="4"/>
      <c r="SOP26" s="4"/>
      <c r="SOQ26" s="4"/>
      <c r="SOR26" s="4"/>
      <c r="SOS26" s="4"/>
      <c r="SOT26" s="4"/>
      <c r="SOU26" s="4"/>
      <c r="SOV26" s="4"/>
      <c r="SOW26" s="4"/>
      <c r="SOX26" s="4"/>
      <c r="SOY26" s="4"/>
      <c r="SOZ26" s="4"/>
      <c r="SPA26" s="4"/>
      <c r="SPB26" s="4"/>
      <c r="SPC26" s="4"/>
      <c r="SPD26" s="4"/>
      <c r="SPE26" s="5"/>
      <c r="SPF26" s="4"/>
      <c r="SPG26" s="28"/>
      <c r="SPH26" s="28"/>
      <c r="SPI26" s="4"/>
      <c r="SPJ26" s="4"/>
      <c r="SPK26" s="4"/>
      <c r="SPL26" s="4"/>
      <c r="SPM26" s="4"/>
      <c r="SPN26" s="4"/>
      <c r="SPO26" s="4"/>
      <c r="SPP26" s="4"/>
      <c r="SPQ26" s="4"/>
      <c r="SPR26" s="4"/>
      <c r="SPS26" s="4"/>
      <c r="SPT26" s="4"/>
      <c r="SPU26" s="4"/>
      <c r="SPV26" s="4"/>
      <c r="SPW26" s="4"/>
      <c r="SPX26" s="4"/>
      <c r="SPY26" s="4"/>
      <c r="SPZ26" s="4"/>
      <c r="SQA26" s="4"/>
      <c r="SQB26" s="4"/>
      <c r="SQC26" s="4"/>
      <c r="SQD26" s="4"/>
      <c r="SQE26" s="4"/>
      <c r="SQF26" s="5"/>
      <c r="SQG26" s="4"/>
      <c r="SQH26" s="28"/>
      <c r="SQI26" s="28"/>
      <c r="SQJ26" s="4"/>
      <c r="SQK26" s="4"/>
      <c r="SQL26" s="4"/>
      <c r="SQM26" s="4"/>
      <c r="SQN26" s="4"/>
      <c r="SQO26" s="4"/>
      <c r="SQP26" s="4"/>
      <c r="SQQ26" s="4"/>
      <c r="SQR26" s="4"/>
      <c r="SQS26" s="4"/>
      <c r="SQT26" s="4"/>
      <c r="SQU26" s="4"/>
      <c r="SQV26" s="4"/>
      <c r="SQW26" s="4"/>
      <c r="SQX26" s="4"/>
      <c r="SQY26" s="4"/>
      <c r="SQZ26" s="4"/>
      <c r="SRA26" s="4"/>
      <c r="SRB26" s="4"/>
      <c r="SRC26" s="4"/>
      <c r="SRD26" s="4"/>
      <c r="SRE26" s="4"/>
      <c r="SRF26" s="4"/>
      <c r="SRG26" s="5"/>
      <c r="SRH26" s="4"/>
      <c r="SRI26" s="28"/>
      <c r="SRJ26" s="28"/>
      <c r="SRK26" s="4"/>
      <c r="SRL26" s="4"/>
      <c r="SRM26" s="4"/>
      <c r="SRN26" s="4"/>
      <c r="SRO26" s="4"/>
      <c r="SRP26" s="4"/>
      <c r="SRQ26" s="4"/>
      <c r="SRR26" s="4"/>
      <c r="SRS26" s="4"/>
      <c r="SRT26" s="4"/>
      <c r="SRU26" s="4"/>
      <c r="SRV26" s="4"/>
      <c r="SRW26" s="4"/>
      <c r="SRX26" s="4"/>
      <c r="SRY26" s="4"/>
      <c r="SRZ26" s="4"/>
      <c r="SSA26" s="4"/>
      <c r="SSB26" s="4"/>
      <c r="SSC26" s="4"/>
      <c r="SSD26" s="4"/>
      <c r="SSE26" s="4"/>
      <c r="SSF26" s="4"/>
      <c r="SSG26" s="4"/>
      <c r="SSH26" s="5"/>
      <c r="SSI26" s="4"/>
      <c r="SSJ26" s="28"/>
      <c r="SSK26" s="28"/>
      <c r="SSL26" s="4"/>
      <c r="SSM26" s="4"/>
      <c r="SSN26" s="4"/>
      <c r="SSO26" s="4"/>
      <c r="SSP26" s="4"/>
      <c r="SSQ26" s="4"/>
      <c r="SSR26" s="4"/>
      <c r="SSS26" s="4"/>
      <c r="SST26" s="4"/>
      <c r="SSU26" s="4"/>
      <c r="SSV26" s="4"/>
      <c r="SSW26" s="4"/>
      <c r="SSX26" s="4"/>
      <c r="SSY26" s="4"/>
      <c r="SSZ26" s="4"/>
      <c r="STA26" s="4"/>
      <c r="STB26" s="4"/>
      <c r="STC26" s="4"/>
      <c r="STD26" s="4"/>
      <c r="STE26" s="4"/>
      <c r="STF26" s="4"/>
      <c r="STG26" s="4"/>
      <c r="STH26" s="4"/>
      <c r="STI26" s="5"/>
      <c r="STJ26" s="4"/>
      <c r="STK26" s="28"/>
      <c r="STL26" s="28"/>
      <c r="STM26" s="4"/>
      <c r="STN26" s="4"/>
      <c r="STO26" s="4"/>
      <c r="STP26" s="4"/>
      <c r="STQ26" s="4"/>
      <c r="STR26" s="4"/>
      <c r="STS26" s="4"/>
      <c r="STT26" s="4"/>
      <c r="STU26" s="4"/>
      <c r="STV26" s="4"/>
      <c r="STW26" s="4"/>
      <c r="STX26" s="4"/>
      <c r="STY26" s="4"/>
      <c r="STZ26" s="4"/>
      <c r="SUA26" s="4"/>
      <c r="SUB26" s="4"/>
      <c r="SUC26" s="4"/>
      <c r="SUD26" s="4"/>
      <c r="SUE26" s="4"/>
      <c r="SUF26" s="4"/>
      <c r="SUG26" s="4"/>
      <c r="SUH26" s="4"/>
      <c r="SUI26" s="4"/>
      <c r="SUJ26" s="5"/>
      <c r="SUK26" s="4"/>
      <c r="SUL26" s="28"/>
      <c r="SUM26" s="28"/>
      <c r="SUN26" s="4"/>
      <c r="SUO26" s="4"/>
      <c r="SUP26" s="4"/>
      <c r="SUQ26" s="4"/>
      <c r="SUR26" s="4"/>
      <c r="SUS26" s="4"/>
      <c r="SUT26" s="4"/>
      <c r="SUU26" s="4"/>
      <c r="SUV26" s="4"/>
      <c r="SUW26" s="4"/>
      <c r="SUX26" s="4"/>
      <c r="SUY26" s="4"/>
      <c r="SUZ26" s="4"/>
      <c r="SVA26" s="4"/>
      <c r="SVB26" s="4"/>
      <c r="SVC26" s="4"/>
      <c r="SVD26" s="4"/>
      <c r="SVE26" s="4"/>
      <c r="SVF26" s="4"/>
      <c r="SVG26" s="4"/>
      <c r="SVH26" s="4"/>
      <c r="SVI26" s="4"/>
      <c r="SVJ26" s="4"/>
      <c r="SVK26" s="5"/>
      <c r="SVL26" s="4"/>
      <c r="SVM26" s="28"/>
      <c r="SVN26" s="28"/>
      <c r="SVO26" s="4"/>
      <c r="SVP26" s="4"/>
      <c r="SVQ26" s="4"/>
      <c r="SVR26" s="4"/>
      <c r="SVS26" s="4"/>
      <c r="SVT26" s="4"/>
      <c r="SVU26" s="4"/>
      <c r="SVV26" s="4"/>
      <c r="SVW26" s="4"/>
      <c r="SVX26" s="4"/>
      <c r="SVY26" s="4"/>
      <c r="SVZ26" s="4"/>
      <c r="SWA26" s="4"/>
      <c r="SWB26" s="4"/>
      <c r="SWC26" s="4"/>
      <c r="SWD26" s="4"/>
      <c r="SWE26" s="4"/>
      <c r="SWF26" s="4"/>
      <c r="SWG26" s="4"/>
      <c r="SWH26" s="4"/>
      <c r="SWI26" s="4"/>
      <c r="SWJ26" s="4"/>
      <c r="SWK26" s="4"/>
      <c r="SWL26" s="5"/>
      <c r="SWM26" s="4"/>
      <c r="SWN26" s="28"/>
      <c r="SWO26" s="28"/>
      <c r="SWP26" s="4"/>
      <c r="SWQ26" s="4"/>
      <c r="SWR26" s="4"/>
      <c r="SWS26" s="4"/>
      <c r="SWT26" s="4"/>
      <c r="SWU26" s="4"/>
      <c r="SWV26" s="4"/>
      <c r="SWW26" s="4"/>
      <c r="SWX26" s="4"/>
      <c r="SWY26" s="4"/>
      <c r="SWZ26" s="4"/>
      <c r="SXA26" s="4"/>
      <c r="SXB26" s="4"/>
      <c r="SXC26" s="4"/>
      <c r="SXD26" s="4"/>
      <c r="SXE26" s="4"/>
      <c r="SXF26" s="4"/>
      <c r="SXG26" s="4"/>
      <c r="SXH26" s="4"/>
      <c r="SXI26" s="4"/>
      <c r="SXJ26" s="4"/>
      <c r="SXK26" s="4"/>
      <c r="SXL26" s="4"/>
      <c r="SXM26" s="5"/>
      <c r="SXN26" s="4"/>
      <c r="SXO26" s="28"/>
      <c r="SXP26" s="28"/>
      <c r="SXQ26" s="4"/>
      <c r="SXR26" s="4"/>
      <c r="SXS26" s="4"/>
      <c r="SXT26" s="4"/>
      <c r="SXU26" s="4"/>
      <c r="SXV26" s="4"/>
      <c r="SXW26" s="4"/>
      <c r="SXX26" s="4"/>
      <c r="SXY26" s="4"/>
      <c r="SXZ26" s="4"/>
      <c r="SYA26" s="4"/>
      <c r="SYB26" s="4"/>
      <c r="SYC26" s="4"/>
      <c r="SYD26" s="4"/>
      <c r="SYE26" s="4"/>
      <c r="SYF26" s="4"/>
      <c r="SYG26" s="4"/>
      <c r="SYH26" s="4"/>
      <c r="SYI26" s="4"/>
      <c r="SYJ26" s="4"/>
      <c r="SYK26" s="4"/>
      <c r="SYL26" s="4"/>
      <c r="SYM26" s="4"/>
      <c r="SYN26" s="5"/>
      <c r="SYO26" s="4"/>
      <c r="SYP26" s="28"/>
      <c r="SYQ26" s="28"/>
      <c r="SYR26" s="4"/>
      <c r="SYS26" s="4"/>
      <c r="SYT26" s="4"/>
      <c r="SYU26" s="4"/>
      <c r="SYV26" s="4"/>
      <c r="SYW26" s="4"/>
      <c r="SYX26" s="4"/>
      <c r="SYY26" s="4"/>
      <c r="SYZ26" s="4"/>
      <c r="SZA26" s="4"/>
      <c r="SZB26" s="4"/>
      <c r="SZC26" s="4"/>
      <c r="SZD26" s="4"/>
      <c r="SZE26" s="4"/>
      <c r="SZF26" s="4"/>
      <c r="SZG26" s="4"/>
      <c r="SZH26" s="4"/>
      <c r="SZI26" s="4"/>
      <c r="SZJ26" s="4"/>
      <c r="SZK26" s="4"/>
      <c r="SZL26" s="4"/>
      <c r="SZM26" s="4"/>
      <c r="SZN26" s="4"/>
      <c r="SZO26" s="5"/>
      <c r="SZP26" s="4"/>
      <c r="SZQ26" s="28"/>
      <c r="SZR26" s="28"/>
      <c r="SZS26" s="4"/>
      <c r="SZT26" s="4"/>
      <c r="SZU26" s="4"/>
      <c r="SZV26" s="4"/>
      <c r="SZW26" s="4"/>
      <c r="SZX26" s="4"/>
      <c r="SZY26" s="4"/>
      <c r="SZZ26" s="4"/>
      <c r="TAA26" s="4"/>
      <c r="TAB26" s="4"/>
      <c r="TAC26" s="4"/>
      <c r="TAD26" s="4"/>
      <c r="TAE26" s="4"/>
      <c r="TAF26" s="4"/>
      <c r="TAG26" s="4"/>
      <c r="TAH26" s="4"/>
      <c r="TAI26" s="4"/>
      <c r="TAJ26" s="4"/>
      <c r="TAK26" s="4"/>
      <c r="TAL26" s="4"/>
      <c r="TAM26" s="4"/>
      <c r="TAN26" s="4"/>
      <c r="TAO26" s="4"/>
      <c r="TAP26" s="5"/>
      <c r="TAQ26" s="4"/>
      <c r="TAR26" s="28"/>
      <c r="TAS26" s="28"/>
      <c r="TAT26" s="4"/>
      <c r="TAU26" s="4"/>
      <c r="TAV26" s="4"/>
      <c r="TAW26" s="4"/>
      <c r="TAX26" s="4"/>
      <c r="TAY26" s="4"/>
      <c r="TAZ26" s="4"/>
      <c r="TBA26" s="4"/>
      <c r="TBB26" s="4"/>
      <c r="TBC26" s="4"/>
      <c r="TBD26" s="4"/>
      <c r="TBE26" s="4"/>
      <c r="TBF26" s="4"/>
      <c r="TBG26" s="4"/>
      <c r="TBH26" s="4"/>
      <c r="TBI26" s="4"/>
      <c r="TBJ26" s="4"/>
      <c r="TBK26" s="4"/>
      <c r="TBL26" s="4"/>
      <c r="TBM26" s="4"/>
      <c r="TBN26" s="4"/>
      <c r="TBO26" s="4"/>
      <c r="TBP26" s="4"/>
      <c r="TBQ26" s="5"/>
      <c r="TBR26" s="4"/>
      <c r="TBS26" s="28"/>
      <c r="TBT26" s="28"/>
      <c r="TBU26" s="4"/>
      <c r="TBV26" s="4"/>
      <c r="TBW26" s="4"/>
      <c r="TBX26" s="4"/>
      <c r="TBY26" s="4"/>
      <c r="TBZ26" s="4"/>
      <c r="TCA26" s="4"/>
      <c r="TCB26" s="4"/>
      <c r="TCC26" s="4"/>
      <c r="TCD26" s="4"/>
      <c r="TCE26" s="4"/>
      <c r="TCF26" s="4"/>
      <c r="TCG26" s="4"/>
      <c r="TCH26" s="4"/>
      <c r="TCI26" s="4"/>
      <c r="TCJ26" s="4"/>
      <c r="TCK26" s="4"/>
      <c r="TCL26" s="4"/>
      <c r="TCM26" s="4"/>
      <c r="TCN26" s="4"/>
      <c r="TCO26" s="4"/>
      <c r="TCP26" s="4"/>
      <c r="TCQ26" s="4"/>
      <c r="TCR26" s="5"/>
      <c r="TCS26" s="4"/>
      <c r="TCT26" s="28"/>
      <c r="TCU26" s="28"/>
      <c r="TCV26" s="4"/>
      <c r="TCW26" s="4"/>
      <c r="TCX26" s="4"/>
      <c r="TCY26" s="4"/>
      <c r="TCZ26" s="4"/>
      <c r="TDA26" s="4"/>
      <c r="TDB26" s="4"/>
      <c r="TDC26" s="4"/>
      <c r="TDD26" s="4"/>
      <c r="TDE26" s="4"/>
      <c r="TDF26" s="4"/>
      <c r="TDG26" s="4"/>
      <c r="TDH26" s="4"/>
      <c r="TDI26" s="4"/>
      <c r="TDJ26" s="4"/>
      <c r="TDK26" s="4"/>
      <c r="TDL26" s="4"/>
      <c r="TDM26" s="4"/>
      <c r="TDN26" s="4"/>
      <c r="TDO26" s="4"/>
      <c r="TDP26" s="4"/>
      <c r="TDQ26" s="4"/>
      <c r="TDR26" s="4"/>
      <c r="TDS26" s="5"/>
      <c r="TDT26" s="4"/>
      <c r="TDU26" s="28"/>
      <c r="TDV26" s="28"/>
      <c r="TDW26" s="4"/>
      <c r="TDX26" s="4"/>
      <c r="TDY26" s="4"/>
      <c r="TDZ26" s="4"/>
      <c r="TEA26" s="4"/>
      <c r="TEB26" s="4"/>
      <c r="TEC26" s="4"/>
      <c r="TED26" s="4"/>
      <c r="TEE26" s="4"/>
      <c r="TEF26" s="4"/>
      <c r="TEG26" s="4"/>
      <c r="TEH26" s="4"/>
      <c r="TEI26" s="4"/>
      <c r="TEJ26" s="4"/>
      <c r="TEK26" s="4"/>
      <c r="TEL26" s="4"/>
      <c r="TEM26" s="4"/>
      <c r="TEN26" s="4"/>
      <c r="TEO26" s="4"/>
      <c r="TEP26" s="4"/>
      <c r="TEQ26" s="4"/>
      <c r="TER26" s="4"/>
      <c r="TES26" s="4"/>
      <c r="TET26" s="5"/>
      <c r="TEU26" s="4"/>
      <c r="TEV26" s="28"/>
      <c r="TEW26" s="28"/>
      <c r="TEX26" s="4"/>
      <c r="TEY26" s="4"/>
      <c r="TEZ26" s="4"/>
      <c r="TFA26" s="4"/>
      <c r="TFB26" s="4"/>
      <c r="TFC26" s="4"/>
      <c r="TFD26" s="4"/>
      <c r="TFE26" s="4"/>
      <c r="TFF26" s="4"/>
      <c r="TFG26" s="4"/>
      <c r="TFH26" s="4"/>
      <c r="TFI26" s="4"/>
      <c r="TFJ26" s="4"/>
      <c r="TFK26" s="4"/>
      <c r="TFL26" s="4"/>
      <c r="TFM26" s="4"/>
      <c r="TFN26" s="4"/>
      <c r="TFO26" s="4"/>
      <c r="TFP26" s="4"/>
      <c r="TFQ26" s="4"/>
      <c r="TFR26" s="4"/>
      <c r="TFS26" s="4"/>
      <c r="TFT26" s="4"/>
      <c r="TFU26" s="5"/>
      <c r="TFV26" s="4"/>
      <c r="TFW26" s="28"/>
      <c r="TFX26" s="28"/>
      <c r="TFY26" s="4"/>
      <c r="TFZ26" s="4"/>
      <c r="TGA26" s="4"/>
      <c r="TGB26" s="4"/>
      <c r="TGC26" s="4"/>
      <c r="TGD26" s="4"/>
      <c r="TGE26" s="4"/>
      <c r="TGF26" s="4"/>
      <c r="TGG26" s="4"/>
      <c r="TGH26" s="4"/>
      <c r="TGI26" s="4"/>
      <c r="TGJ26" s="4"/>
      <c r="TGK26" s="4"/>
      <c r="TGL26" s="4"/>
      <c r="TGM26" s="4"/>
      <c r="TGN26" s="4"/>
      <c r="TGO26" s="4"/>
      <c r="TGP26" s="4"/>
      <c r="TGQ26" s="4"/>
      <c r="TGR26" s="4"/>
      <c r="TGS26" s="4"/>
      <c r="TGT26" s="4"/>
      <c r="TGU26" s="4"/>
      <c r="TGV26" s="5"/>
      <c r="TGW26" s="4"/>
      <c r="TGX26" s="28"/>
      <c r="TGY26" s="28"/>
      <c r="TGZ26" s="4"/>
      <c r="THA26" s="4"/>
      <c r="THB26" s="4"/>
      <c r="THC26" s="4"/>
      <c r="THD26" s="4"/>
      <c r="THE26" s="4"/>
      <c r="THF26" s="4"/>
      <c r="THG26" s="4"/>
      <c r="THH26" s="4"/>
      <c r="THI26" s="4"/>
      <c r="THJ26" s="4"/>
      <c r="THK26" s="4"/>
      <c r="THL26" s="4"/>
      <c r="THM26" s="4"/>
      <c r="THN26" s="4"/>
      <c r="THO26" s="4"/>
      <c r="THP26" s="4"/>
      <c r="THQ26" s="4"/>
      <c r="THR26" s="4"/>
      <c r="THS26" s="4"/>
      <c r="THT26" s="4"/>
      <c r="THU26" s="4"/>
      <c r="THV26" s="4"/>
      <c r="THW26" s="5"/>
      <c r="THX26" s="4"/>
      <c r="THY26" s="28"/>
      <c r="THZ26" s="28"/>
      <c r="TIA26" s="4"/>
      <c r="TIB26" s="4"/>
      <c r="TIC26" s="4"/>
      <c r="TID26" s="4"/>
      <c r="TIE26" s="4"/>
      <c r="TIF26" s="4"/>
      <c r="TIG26" s="4"/>
      <c r="TIH26" s="4"/>
      <c r="TII26" s="4"/>
      <c r="TIJ26" s="4"/>
      <c r="TIK26" s="4"/>
      <c r="TIL26" s="4"/>
      <c r="TIM26" s="4"/>
      <c r="TIN26" s="4"/>
      <c r="TIO26" s="4"/>
      <c r="TIP26" s="4"/>
      <c r="TIQ26" s="4"/>
      <c r="TIR26" s="4"/>
      <c r="TIS26" s="4"/>
      <c r="TIT26" s="4"/>
      <c r="TIU26" s="4"/>
      <c r="TIV26" s="4"/>
      <c r="TIW26" s="4"/>
      <c r="TIX26" s="5"/>
      <c r="TIY26" s="4"/>
      <c r="TIZ26" s="28"/>
      <c r="TJA26" s="28"/>
      <c r="TJB26" s="4"/>
      <c r="TJC26" s="4"/>
      <c r="TJD26" s="4"/>
      <c r="TJE26" s="4"/>
      <c r="TJF26" s="4"/>
      <c r="TJG26" s="4"/>
      <c r="TJH26" s="4"/>
      <c r="TJI26" s="4"/>
      <c r="TJJ26" s="4"/>
      <c r="TJK26" s="4"/>
      <c r="TJL26" s="4"/>
      <c r="TJM26" s="4"/>
      <c r="TJN26" s="4"/>
      <c r="TJO26" s="4"/>
      <c r="TJP26" s="4"/>
      <c r="TJQ26" s="4"/>
      <c r="TJR26" s="4"/>
      <c r="TJS26" s="4"/>
      <c r="TJT26" s="4"/>
      <c r="TJU26" s="4"/>
      <c r="TJV26" s="4"/>
      <c r="TJW26" s="4"/>
      <c r="TJX26" s="4"/>
      <c r="TJY26" s="5"/>
      <c r="TJZ26" s="4"/>
      <c r="TKA26" s="28"/>
      <c r="TKB26" s="28"/>
      <c r="TKC26" s="4"/>
      <c r="TKD26" s="4"/>
      <c r="TKE26" s="4"/>
      <c r="TKF26" s="4"/>
      <c r="TKG26" s="4"/>
      <c r="TKH26" s="4"/>
      <c r="TKI26" s="4"/>
      <c r="TKJ26" s="4"/>
      <c r="TKK26" s="4"/>
      <c r="TKL26" s="4"/>
      <c r="TKM26" s="4"/>
      <c r="TKN26" s="4"/>
      <c r="TKO26" s="4"/>
      <c r="TKP26" s="4"/>
      <c r="TKQ26" s="4"/>
      <c r="TKR26" s="4"/>
      <c r="TKS26" s="4"/>
      <c r="TKT26" s="4"/>
      <c r="TKU26" s="4"/>
      <c r="TKV26" s="4"/>
      <c r="TKW26" s="4"/>
      <c r="TKX26" s="4"/>
      <c r="TKY26" s="4"/>
      <c r="TKZ26" s="5"/>
      <c r="TLA26" s="4"/>
      <c r="TLB26" s="28"/>
      <c r="TLC26" s="28"/>
      <c r="TLD26" s="4"/>
      <c r="TLE26" s="4"/>
      <c r="TLF26" s="4"/>
      <c r="TLG26" s="4"/>
      <c r="TLH26" s="4"/>
      <c r="TLI26" s="4"/>
      <c r="TLJ26" s="4"/>
      <c r="TLK26" s="4"/>
      <c r="TLL26" s="4"/>
      <c r="TLM26" s="4"/>
      <c r="TLN26" s="4"/>
      <c r="TLO26" s="4"/>
      <c r="TLP26" s="4"/>
      <c r="TLQ26" s="4"/>
      <c r="TLR26" s="4"/>
      <c r="TLS26" s="4"/>
      <c r="TLT26" s="4"/>
      <c r="TLU26" s="4"/>
      <c r="TLV26" s="4"/>
      <c r="TLW26" s="4"/>
      <c r="TLX26" s="4"/>
      <c r="TLY26" s="4"/>
      <c r="TLZ26" s="4"/>
      <c r="TMA26" s="5"/>
      <c r="TMB26" s="4"/>
      <c r="TMC26" s="28"/>
      <c r="TMD26" s="28"/>
      <c r="TME26" s="4"/>
      <c r="TMF26" s="4"/>
      <c r="TMG26" s="4"/>
      <c r="TMH26" s="4"/>
      <c r="TMI26" s="4"/>
      <c r="TMJ26" s="4"/>
      <c r="TMK26" s="4"/>
      <c r="TML26" s="4"/>
      <c r="TMM26" s="4"/>
      <c r="TMN26" s="4"/>
      <c r="TMO26" s="4"/>
      <c r="TMP26" s="4"/>
      <c r="TMQ26" s="4"/>
      <c r="TMR26" s="4"/>
      <c r="TMS26" s="4"/>
      <c r="TMT26" s="4"/>
      <c r="TMU26" s="4"/>
      <c r="TMV26" s="4"/>
      <c r="TMW26" s="4"/>
      <c r="TMX26" s="4"/>
      <c r="TMY26" s="4"/>
      <c r="TMZ26" s="4"/>
      <c r="TNA26" s="4"/>
      <c r="TNB26" s="5"/>
      <c r="TNC26" s="4"/>
      <c r="TND26" s="28"/>
      <c r="TNE26" s="28"/>
      <c r="TNF26" s="4"/>
      <c r="TNG26" s="4"/>
      <c r="TNH26" s="4"/>
      <c r="TNI26" s="4"/>
      <c r="TNJ26" s="4"/>
      <c r="TNK26" s="4"/>
      <c r="TNL26" s="4"/>
      <c r="TNM26" s="4"/>
      <c r="TNN26" s="4"/>
      <c r="TNO26" s="4"/>
      <c r="TNP26" s="4"/>
      <c r="TNQ26" s="4"/>
      <c r="TNR26" s="4"/>
      <c r="TNS26" s="4"/>
      <c r="TNT26" s="4"/>
      <c r="TNU26" s="4"/>
      <c r="TNV26" s="4"/>
      <c r="TNW26" s="4"/>
      <c r="TNX26" s="4"/>
      <c r="TNY26" s="4"/>
      <c r="TNZ26" s="4"/>
      <c r="TOA26" s="4"/>
      <c r="TOB26" s="4"/>
      <c r="TOC26" s="5"/>
      <c r="TOD26" s="4"/>
      <c r="TOE26" s="28"/>
      <c r="TOF26" s="28"/>
      <c r="TOG26" s="4"/>
      <c r="TOH26" s="4"/>
      <c r="TOI26" s="4"/>
      <c r="TOJ26" s="4"/>
      <c r="TOK26" s="4"/>
      <c r="TOL26" s="4"/>
      <c r="TOM26" s="4"/>
      <c r="TON26" s="4"/>
      <c r="TOO26" s="4"/>
      <c r="TOP26" s="4"/>
      <c r="TOQ26" s="4"/>
      <c r="TOR26" s="4"/>
      <c r="TOS26" s="4"/>
      <c r="TOT26" s="4"/>
      <c r="TOU26" s="4"/>
      <c r="TOV26" s="4"/>
      <c r="TOW26" s="4"/>
      <c r="TOX26" s="4"/>
      <c r="TOY26" s="4"/>
      <c r="TOZ26" s="4"/>
      <c r="TPA26" s="4"/>
      <c r="TPB26" s="4"/>
      <c r="TPC26" s="4"/>
      <c r="TPD26" s="5"/>
      <c r="TPE26" s="4"/>
      <c r="TPF26" s="28"/>
      <c r="TPG26" s="28"/>
      <c r="TPH26" s="4"/>
      <c r="TPI26" s="4"/>
      <c r="TPJ26" s="4"/>
      <c r="TPK26" s="4"/>
      <c r="TPL26" s="4"/>
      <c r="TPM26" s="4"/>
      <c r="TPN26" s="4"/>
      <c r="TPO26" s="4"/>
      <c r="TPP26" s="4"/>
      <c r="TPQ26" s="4"/>
      <c r="TPR26" s="4"/>
      <c r="TPS26" s="4"/>
      <c r="TPT26" s="4"/>
      <c r="TPU26" s="4"/>
      <c r="TPV26" s="4"/>
      <c r="TPW26" s="4"/>
      <c r="TPX26" s="4"/>
      <c r="TPY26" s="4"/>
      <c r="TPZ26" s="4"/>
      <c r="TQA26" s="4"/>
      <c r="TQB26" s="4"/>
      <c r="TQC26" s="4"/>
      <c r="TQD26" s="4"/>
      <c r="TQE26" s="5"/>
      <c r="TQF26" s="4"/>
      <c r="TQG26" s="28"/>
      <c r="TQH26" s="28"/>
      <c r="TQI26" s="4"/>
      <c r="TQJ26" s="4"/>
      <c r="TQK26" s="4"/>
      <c r="TQL26" s="4"/>
      <c r="TQM26" s="4"/>
      <c r="TQN26" s="4"/>
      <c r="TQO26" s="4"/>
      <c r="TQP26" s="4"/>
      <c r="TQQ26" s="4"/>
      <c r="TQR26" s="4"/>
      <c r="TQS26" s="4"/>
      <c r="TQT26" s="4"/>
      <c r="TQU26" s="4"/>
      <c r="TQV26" s="4"/>
      <c r="TQW26" s="4"/>
      <c r="TQX26" s="4"/>
      <c r="TQY26" s="4"/>
      <c r="TQZ26" s="4"/>
      <c r="TRA26" s="4"/>
      <c r="TRB26" s="4"/>
      <c r="TRC26" s="4"/>
      <c r="TRD26" s="4"/>
      <c r="TRE26" s="4"/>
      <c r="TRF26" s="5"/>
      <c r="TRG26" s="4"/>
      <c r="TRH26" s="28"/>
      <c r="TRI26" s="28"/>
      <c r="TRJ26" s="4"/>
      <c r="TRK26" s="4"/>
      <c r="TRL26" s="4"/>
      <c r="TRM26" s="4"/>
      <c r="TRN26" s="4"/>
      <c r="TRO26" s="4"/>
      <c r="TRP26" s="4"/>
      <c r="TRQ26" s="4"/>
      <c r="TRR26" s="4"/>
      <c r="TRS26" s="4"/>
      <c r="TRT26" s="4"/>
      <c r="TRU26" s="4"/>
      <c r="TRV26" s="4"/>
      <c r="TRW26" s="4"/>
      <c r="TRX26" s="4"/>
      <c r="TRY26" s="4"/>
      <c r="TRZ26" s="4"/>
      <c r="TSA26" s="4"/>
      <c r="TSB26" s="4"/>
      <c r="TSC26" s="4"/>
      <c r="TSD26" s="4"/>
      <c r="TSE26" s="4"/>
      <c r="TSF26" s="4"/>
      <c r="TSG26" s="5"/>
      <c r="TSH26" s="4"/>
      <c r="TSI26" s="28"/>
      <c r="TSJ26" s="28"/>
      <c r="TSK26" s="4"/>
      <c r="TSL26" s="4"/>
      <c r="TSM26" s="4"/>
      <c r="TSN26" s="4"/>
      <c r="TSO26" s="4"/>
      <c r="TSP26" s="4"/>
      <c r="TSQ26" s="4"/>
      <c r="TSR26" s="4"/>
      <c r="TSS26" s="4"/>
      <c r="TST26" s="4"/>
      <c r="TSU26" s="4"/>
      <c r="TSV26" s="4"/>
      <c r="TSW26" s="4"/>
      <c r="TSX26" s="4"/>
      <c r="TSY26" s="4"/>
      <c r="TSZ26" s="4"/>
      <c r="TTA26" s="4"/>
      <c r="TTB26" s="4"/>
      <c r="TTC26" s="4"/>
      <c r="TTD26" s="4"/>
      <c r="TTE26" s="4"/>
      <c r="TTF26" s="4"/>
      <c r="TTG26" s="4"/>
      <c r="TTH26" s="5"/>
      <c r="TTI26" s="4"/>
      <c r="TTJ26" s="28"/>
      <c r="TTK26" s="28"/>
      <c r="TTL26" s="4"/>
      <c r="TTM26" s="4"/>
      <c r="TTN26" s="4"/>
      <c r="TTO26" s="4"/>
      <c r="TTP26" s="4"/>
      <c r="TTQ26" s="4"/>
      <c r="TTR26" s="4"/>
      <c r="TTS26" s="4"/>
      <c r="TTT26" s="4"/>
      <c r="TTU26" s="4"/>
      <c r="TTV26" s="4"/>
      <c r="TTW26" s="4"/>
      <c r="TTX26" s="4"/>
      <c r="TTY26" s="4"/>
      <c r="TTZ26" s="4"/>
      <c r="TUA26" s="4"/>
      <c r="TUB26" s="4"/>
      <c r="TUC26" s="4"/>
      <c r="TUD26" s="4"/>
      <c r="TUE26" s="4"/>
      <c r="TUF26" s="4"/>
      <c r="TUG26" s="4"/>
      <c r="TUH26" s="4"/>
      <c r="TUI26" s="5"/>
      <c r="TUJ26" s="4"/>
      <c r="TUK26" s="28"/>
      <c r="TUL26" s="28"/>
      <c r="TUM26" s="4"/>
      <c r="TUN26" s="4"/>
      <c r="TUO26" s="4"/>
      <c r="TUP26" s="4"/>
      <c r="TUQ26" s="4"/>
      <c r="TUR26" s="4"/>
      <c r="TUS26" s="4"/>
      <c r="TUT26" s="4"/>
      <c r="TUU26" s="4"/>
      <c r="TUV26" s="4"/>
      <c r="TUW26" s="4"/>
      <c r="TUX26" s="4"/>
      <c r="TUY26" s="4"/>
      <c r="TUZ26" s="4"/>
      <c r="TVA26" s="4"/>
      <c r="TVB26" s="4"/>
      <c r="TVC26" s="4"/>
      <c r="TVD26" s="4"/>
      <c r="TVE26" s="4"/>
      <c r="TVF26" s="4"/>
      <c r="TVG26" s="4"/>
      <c r="TVH26" s="4"/>
      <c r="TVI26" s="4"/>
      <c r="TVJ26" s="5"/>
      <c r="TVK26" s="4"/>
      <c r="TVL26" s="28"/>
      <c r="TVM26" s="28"/>
      <c r="TVN26" s="4"/>
      <c r="TVO26" s="4"/>
      <c r="TVP26" s="4"/>
      <c r="TVQ26" s="4"/>
      <c r="TVR26" s="4"/>
      <c r="TVS26" s="4"/>
      <c r="TVT26" s="4"/>
      <c r="TVU26" s="4"/>
      <c r="TVV26" s="4"/>
      <c r="TVW26" s="4"/>
      <c r="TVX26" s="4"/>
      <c r="TVY26" s="4"/>
      <c r="TVZ26" s="4"/>
      <c r="TWA26" s="4"/>
      <c r="TWB26" s="4"/>
      <c r="TWC26" s="4"/>
      <c r="TWD26" s="4"/>
      <c r="TWE26" s="4"/>
      <c r="TWF26" s="4"/>
      <c r="TWG26" s="4"/>
      <c r="TWH26" s="4"/>
      <c r="TWI26" s="4"/>
      <c r="TWJ26" s="4"/>
      <c r="TWK26" s="5"/>
      <c r="TWL26" s="4"/>
      <c r="TWM26" s="28"/>
      <c r="TWN26" s="28"/>
      <c r="TWO26" s="4"/>
      <c r="TWP26" s="4"/>
      <c r="TWQ26" s="4"/>
      <c r="TWR26" s="4"/>
      <c r="TWS26" s="4"/>
      <c r="TWT26" s="4"/>
      <c r="TWU26" s="4"/>
      <c r="TWV26" s="4"/>
      <c r="TWW26" s="4"/>
      <c r="TWX26" s="4"/>
      <c r="TWY26" s="4"/>
      <c r="TWZ26" s="4"/>
      <c r="TXA26" s="4"/>
      <c r="TXB26" s="4"/>
      <c r="TXC26" s="4"/>
      <c r="TXD26" s="4"/>
      <c r="TXE26" s="4"/>
      <c r="TXF26" s="4"/>
      <c r="TXG26" s="4"/>
      <c r="TXH26" s="4"/>
      <c r="TXI26" s="4"/>
      <c r="TXJ26" s="4"/>
      <c r="TXK26" s="4"/>
      <c r="TXL26" s="5"/>
      <c r="TXM26" s="4"/>
      <c r="TXN26" s="28"/>
      <c r="TXO26" s="28"/>
      <c r="TXP26" s="4"/>
      <c r="TXQ26" s="4"/>
      <c r="TXR26" s="4"/>
      <c r="TXS26" s="4"/>
      <c r="TXT26" s="4"/>
      <c r="TXU26" s="4"/>
      <c r="TXV26" s="4"/>
      <c r="TXW26" s="4"/>
      <c r="TXX26" s="4"/>
      <c r="TXY26" s="4"/>
      <c r="TXZ26" s="4"/>
      <c r="TYA26" s="4"/>
      <c r="TYB26" s="4"/>
      <c r="TYC26" s="4"/>
      <c r="TYD26" s="4"/>
      <c r="TYE26" s="4"/>
      <c r="TYF26" s="4"/>
      <c r="TYG26" s="4"/>
      <c r="TYH26" s="4"/>
      <c r="TYI26" s="4"/>
      <c r="TYJ26" s="4"/>
      <c r="TYK26" s="4"/>
      <c r="TYL26" s="4"/>
      <c r="TYM26" s="5"/>
      <c r="TYN26" s="4"/>
      <c r="TYO26" s="28"/>
      <c r="TYP26" s="28"/>
      <c r="TYQ26" s="4"/>
      <c r="TYR26" s="4"/>
      <c r="TYS26" s="4"/>
      <c r="TYT26" s="4"/>
      <c r="TYU26" s="4"/>
      <c r="TYV26" s="4"/>
      <c r="TYW26" s="4"/>
      <c r="TYX26" s="4"/>
      <c r="TYY26" s="4"/>
      <c r="TYZ26" s="4"/>
      <c r="TZA26" s="4"/>
      <c r="TZB26" s="4"/>
      <c r="TZC26" s="4"/>
      <c r="TZD26" s="4"/>
      <c r="TZE26" s="4"/>
      <c r="TZF26" s="4"/>
      <c r="TZG26" s="4"/>
      <c r="TZH26" s="4"/>
      <c r="TZI26" s="4"/>
      <c r="TZJ26" s="4"/>
      <c r="TZK26" s="4"/>
      <c r="TZL26" s="4"/>
      <c r="TZM26" s="4"/>
      <c r="TZN26" s="5"/>
      <c r="TZO26" s="4"/>
      <c r="TZP26" s="28"/>
      <c r="TZQ26" s="28"/>
      <c r="TZR26" s="4"/>
      <c r="TZS26" s="4"/>
      <c r="TZT26" s="4"/>
      <c r="TZU26" s="4"/>
      <c r="TZV26" s="4"/>
      <c r="TZW26" s="4"/>
      <c r="TZX26" s="4"/>
      <c r="TZY26" s="4"/>
      <c r="TZZ26" s="4"/>
      <c r="UAA26" s="4"/>
      <c r="UAB26" s="4"/>
      <c r="UAC26" s="4"/>
      <c r="UAD26" s="4"/>
      <c r="UAE26" s="4"/>
      <c r="UAF26" s="4"/>
      <c r="UAG26" s="4"/>
      <c r="UAH26" s="4"/>
      <c r="UAI26" s="4"/>
      <c r="UAJ26" s="4"/>
      <c r="UAK26" s="4"/>
      <c r="UAL26" s="4"/>
      <c r="UAM26" s="4"/>
      <c r="UAN26" s="4"/>
      <c r="UAO26" s="5"/>
      <c r="UAP26" s="4"/>
      <c r="UAQ26" s="28"/>
      <c r="UAR26" s="28"/>
      <c r="UAS26" s="4"/>
      <c r="UAT26" s="4"/>
      <c r="UAU26" s="4"/>
      <c r="UAV26" s="4"/>
      <c r="UAW26" s="4"/>
      <c r="UAX26" s="4"/>
      <c r="UAY26" s="4"/>
      <c r="UAZ26" s="4"/>
      <c r="UBA26" s="4"/>
      <c r="UBB26" s="4"/>
      <c r="UBC26" s="4"/>
      <c r="UBD26" s="4"/>
      <c r="UBE26" s="4"/>
      <c r="UBF26" s="4"/>
      <c r="UBG26" s="4"/>
      <c r="UBH26" s="4"/>
      <c r="UBI26" s="4"/>
      <c r="UBJ26" s="4"/>
      <c r="UBK26" s="4"/>
      <c r="UBL26" s="4"/>
      <c r="UBM26" s="4"/>
      <c r="UBN26" s="4"/>
      <c r="UBO26" s="4"/>
      <c r="UBP26" s="5"/>
      <c r="UBQ26" s="4"/>
      <c r="UBR26" s="28"/>
      <c r="UBS26" s="28"/>
      <c r="UBT26" s="4"/>
      <c r="UBU26" s="4"/>
      <c r="UBV26" s="4"/>
      <c r="UBW26" s="4"/>
      <c r="UBX26" s="4"/>
      <c r="UBY26" s="4"/>
      <c r="UBZ26" s="4"/>
      <c r="UCA26" s="4"/>
      <c r="UCB26" s="4"/>
      <c r="UCC26" s="4"/>
      <c r="UCD26" s="4"/>
      <c r="UCE26" s="4"/>
      <c r="UCF26" s="4"/>
      <c r="UCG26" s="4"/>
      <c r="UCH26" s="4"/>
      <c r="UCI26" s="4"/>
      <c r="UCJ26" s="4"/>
      <c r="UCK26" s="4"/>
      <c r="UCL26" s="4"/>
      <c r="UCM26" s="4"/>
      <c r="UCN26" s="4"/>
      <c r="UCO26" s="4"/>
      <c r="UCP26" s="4"/>
      <c r="UCQ26" s="5"/>
      <c r="UCR26" s="4"/>
      <c r="UCS26" s="28"/>
      <c r="UCT26" s="28"/>
      <c r="UCU26" s="4"/>
      <c r="UCV26" s="4"/>
      <c r="UCW26" s="4"/>
      <c r="UCX26" s="4"/>
      <c r="UCY26" s="4"/>
      <c r="UCZ26" s="4"/>
      <c r="UDA26" s="4"/>
      <c r="UDB26" s="4"/>
      <c r="UDC26" s="4"/>
      <c r="UDD26" s="4"/>
      <c r="UDE26" s="4"/>
      <c r="UDF26" s="4"/>
      <c r="UDG26" s="4"/>
      <c r="UDH26" s="4"/>
      <c r="UDI26" s="4"/>
      <c r="UDJ26" s="4"/>
      <c r="UDK26" s="4"/>
      <c r="UDL26" s="4"/>
      <c r="UDM26" s="4"/>
      <c r="UDN26" s="4"/>
      <c r="UDO26" s="4"/>
      <c r="UDP26" s="4"/>
      <c r="UDQ26" s="4"/>
      <c r="UDR26" s="5"/>
      <c r="UDS26" s="4"/>
      <c r="UDT26" s="28"/>
      <c r="UDU26" s="28"/>
      <c r="UDV26" s="4"/>
      <c r="UDW26" s="4"/>
      <c r="UDX26" s="4"/>
      <c r="UDY26" s="4"/>
      <c r="UDZ26" s="4"/>
      <c r="UEA26" s="4"/>
      <c r="UEB26" s="4"/>
      <c r="UEC26" s="4"/>
      <c r="UED26" s="4"/>
      <c r="UEE26" s="4"/>
      <c r="UEF26" s="4"/>
      <c r="UEG26" s="4"/>
      <c r="UEH26" s="4"/>
      <c r="UEI26" s="4"/>
      <c r="UEJ26" s="4"/>
      <c r="UEK26" s="4"/>
      <c r="UEL26" s="4"/>
      <c r="UEM26" s="4"/>
      <c r="UEN26" s="4"/>
      <c r="UEO26" s="4"/>
      <c r="UEP26" s="4"/>
      <c r="UEQ26" s="4"/>
      <c r="UER26" s="4"/>
      <c r="UES26" s="5"/>
      <c r="UET26" s="4"/>
      <c r="UEU26" s="28"/>
      <c r="UEV26" s="28"/>
      <c r="UEW26" s="4"/>
      <c r="UEX26" s="4"/>
      <c r="UEY26" s="4"/>
      <c r="UEZ26" s="4"/>
      <c r="UFA26" s="4"/>
      <c r="UFB26" s="4"/>
      <c r="UFC26" s="4"/>
      <c r="UFD26" s="4"/>
      <c r="UFE26" s="4"/>
      <c r="UFF26" s="4"/>
      <c r="UFG26" s="4"/>
      <c r="UFH26" s="4"/>
      <c r="UFI26" s="4"/>
      <c r="UFJ26" s="4"/>
      <c r="UFK26" s="4"/>
      <c r="UFL26" s="4"/>
      <c r="UFM26" s="4"/>
      <c r="UFN26" s="4"/>
      <c r="UFO26" s="4"/>
      <c r="UFP26" s="4"/>
      <c r="UFQ26" s="4"/>
      <c r="UFR26" s="4"/>
      <c r="UFS26" s="4"/>
      <c r="UFT26" s="5"/>
      <c r="UFU26" s="4"/>
      <c r="UFV26" s="28"/>
      <c r="UFW26" s="28"/>
      <c r="UFX26" s="4"/>
      <c r="UFY26" s="4"/>
      <c r="UFZ26" s="4"/>
      <c r="UGA26" s="4"/>
      <c r="UGB26" s="4"/>
      <c r="UGC26" s="4"/>
      <c r="UGD26" s="4"/>
      <c r="UGE26" s="4"/>
      <c r="UGF26" s="4"/>
      <c r="UGG26" s="4"/>
      <c r="UGH26" s="4"/>
      <c r="UGI26" s="4"/>
      <c r="UGJ26" s="4"/>
      <c r="UGK26" s="4"/>
      <c r="UGL26" s="4"/>
      <c r="UGM26" s="4"/>
      <c r="UGN26" s="4"/>
      <c r="UGO26" s="4"/>
      <c r="UGP26" s="4"/>
      <c r="UGQ26" s="4"/>
      <c r="UGR26" s="4"/>
      <c r="UGS26" s="4"/>
      <c r="UGT26" s="4"/>
      <c r="UGU26" s="5"/>
      <c r="UGV26" s="4"/>
      <c r="UGW26" s="28"/>
      <c r="UGX26" s="28"/>
      <c r="UGY26" s="4"/>
      <c r="UGZ26" s="4"/>
      <c r="UHA26" s="4"/>
      <c r="UHB26" s="4"/>
      <c r="UHC26" s="4"/>
      <c r="UHD26" s="4"/>
      <c r="UHE26" s="4"/>
      <c r="UHF26" s="4"/>
      <c r="UHG26" s="4"/>
      <c r="UHH26" s="4"/>
      <c r="UHI26" s="4"/>
      <c r="UHJ26" s="4"/>
      <c r="UHK26" s="4"/>
      <c r="UHL26" s="4"/>
      <c r="UHM26" s="4"/>
      <c r="UHN26" s="4"/>
      <c r="UHO26" s="4"/>
      <c r="UHP26" s="4"/>
      <c r="UHQ26" s="4"/>
      <c r="UHR26" s="4"/>
      <c r="UHS26" s="4"/>
      <c r="UHT26" s="4"/>
      <c r="UHU26" s="4"/>
      <c r="UHV26" s="5"/>
      <c r="UHW26" s="4"/>
      <c r="UHX26" s="28"/>
      <c r="UHY26" s="28"/>
      <c r="UHZ26" s="4"/>
      <c r="UIA26" s="4"/>
      <c r="UIB26" s="4"/>
      <c r="UIC26" s="4"/>
      <c r="UID26" s="4"/>
      <c r="UIE26" s="4"/>
      <c r="UIF26" s="4"/>
      <c r="UIG26" s="4"/>
      <c r="UIH26" s="4"/>
      <c r="UII26" s="4"/>
      <c r="UIJ26" s="4"/>
      <c r="UIK26" s="4"/>
      <c r="UIL26" s="4"/>
      <c r="UIM26" s="4"/>
      <c r="UIN26" s="4"/>
      <c r="UIO26" s="4"/>
      <c r="UIP26" s="4"/>
      <c r="UIQ26" s="4"/>
      <c r="UIR26" s="4"/>
      <c r="UIS26" s="4"/>
      <c r="UIT26" s="4"/>
      <c r="UIU26" s="4"/>
      <c r="UIV26" s="4"/>
      <c r="UIW26" s="5"/>
      <c r="UIX26" s="4"/>
      <c r="UIY26" s="28"/>
      <c r="UIZ26" s="28"/>
      <c r="UJA26" s="4"/>
      <c r="UJB26" s="4"/>
      <c r="UJC26" s="4"/>
      <c r="UJD26" s="4"/>
      <c r="UJE26" s="4"/>
      <c r="UJF26" s="4"/>
      <c r="UJG26" s="4"/>
      <c r="UJH26" s="4"/>
      <c r="UJI26" s="4"/>
      <c r="UJJ26" s="4"/>
      <c r="UJK26" s="4"/>
      <c r="UJL26" s="4"/>
      <c r="UJM26" s="4"/>
      <c r="UJN26" s="4"/>
      <c r="UJO26" s="4"/>
      <c r="UJP26" s="4"/>
      <c r="UJQ26" s="4"/>
      <c r="UJR26" s="4"/>
      <c r="UJS26" s="4"/>
      <c r="UJT26" s="4"/>
      <c r="UJU26" s="4"/>
      <c r="UJV26" s="4"/>
      <c r="UJW26" s="4"/>
      <c r="UJX26" s="5"/>
      <c r="UJY26" s="4"/>
      <c r="UJZ26" s="28"/>
      <c r="UKA26" s="28"/>
      <c r="UKB26" s="4"/>
      <c r="UKC26" s="4"/>
      <c r="UKD26" s="4"/>
      <c r="UKE26" s="4"/>
      <c r="UKF26" s="4"/>
      <c r="UKG26" s="4"/>
      <c r="UKH26" s="4"/>
      <c r="UKI26" s="4"/>
      <c r="UKJ26" s="4"/>
      <c r="UKK26" s="4"/>
      <c r="UKL26" s="4"/>
      <c r="UKM26" s="4"/>
      <c r="UKN26" s="4"/>
      <c r="UKO26" s="4"/>
      <c r="UKP26" s="4"/>
      <c r="UKQ26" s="4"/>
      <c r="UKR26" s="4"/>
      <c r="UKS26" s="4"/>
      <c r="UKT26" s="4"/>
      <c r="UKU26" s="4"/>
      <c r="UKV26" s="4"/>
      <c r="UKW26" s="4"/>
      <c r="UKX26" s="4"/>
      <c r="UKY26" s="5"/>
      <c r="UKZ26" s="4"/>
      <c r="ULA26" s="28"/>
      <c r="ULB26" s="28"/>
      <c r="ULC26" s="4"/>
      <c r="ULD26" s="4"/>
      <c r="ULE26" s="4"/>
      <c r="ULF26" s="4"/>
      <c r="ULG26" s="4"/>
      <c r="ULH26" s="4"/>
      <c r="ULI26" s="4"/>
      <c r="ULJ26" s="4"/>
      <c r="ULK26" s="4"/>
      <c r="ULL26" s="4"/>
      <c r="ULM26" s="4"/>
      <c r="ULN26" s="4"/>
      <c r="ULO26" s="4"/>
      <c r="ULP26" s="4"/>
      <c r="ULQ26" s="4"/>
      <c r="ULR26" s="4"/>
      <c r="ULS26" s="4"/>
      <c r="ULT26" s="4"/>
      <c r="ULU26" s="4"/>
      <c r="ULV26" s="4"/>
      <c r="ULW26" s="4"/>
      <c r="ULX26" s="4"/>
      <c r="ULY26" s="4"/>
      <c r="ULZ26" s="5"/>
      <c r="UMA26" s="4"/>
      <c r="UMB26" s="28"/>
      <c r="UMC26" s="28"/>
      <c r="UMD26" s="4"/>
      <c r="UME26" s="4"/>
      <c r="UMF26" s="4"/>
      <c r="UMG26" s="4"/>
      <c r="UMH26" s="4"/>
      <c r="UMI26" s="4"/>
      <c r="UMJ26" s="4"/>
      <c r="UMK26" s="4"/>
      <c r="UML26" s="4"/>
      <c r="UMM26" s="4"/>
      <c r="UMN26" s="4"/>
      <c r="UMO26" s="4"/>
      <c r="UMP26" s="4"/>
      <c r="UMQ26" s="4"/>
      <c r="UMR26" s="4"/>
      <c r="UMS26" s="4"/>
      <c r="UMT26" s="4"/>
      <c r="UMU26" s="4"/>
      <c r="UMV26" s="4"/>
      <c r="UMW26" s="4"/>
      <c r="UMX26" s="4"/>
      <c r="UMY26" s="4"/>
      <c r="UMZ26" s="4"/>
      <c r="UNA26" s="5"/>
      <c r="UNB26" s="4"/>
      <c r="UNC26" s="28"/>
      <c r="UND26" s="28"/>
      <c r="UNE26" s="4"/>
      <c r="UNF26" s="4"/>
      <c r="UNG26" s="4"/>
      <c r="UNH26" s="4"/>
      <c r="UNI26" s="4"/>
      <c r="UNJ26" s="4"/>
      <c r="UNK26" s="4"/>
      <c r="UNL26" s="4"/>
      <c r="UNM26" s="4"/>
      <c r="UNN26" s="4"/>
      <c r="UNO26" s="4"/>
      <c r="UNP26" s="4"/>
      <c r="UNQ26" s="4"/>
      <c r="UNR26" s="4"/>
      <c r="UNS26" s="4"/>
      <c r="UNT26" s="4"/>
      <c r="UNU26" s="4"/>
      <c r="UNV26" s="4"/>
      <c r="UNW26" s="4"/>
      <c r="UNX26" s="4"/>
      <c r="UNY26" s="4"/>
      <c r="UNZ26" s="4"/>
      <c r="UOA26" s="4"/>
      <c r="UOB26" s="5"/>
      <c r="UOC26" s="4"/>
      <c r="UOD26" s="28"/>
      <c r="UOE26" s="28"/>
      <c r="UOF26" s="4"/>
      <c r="UOG26" s="4"/>
      <c r="UOH26" s="4"/>
      <c r="UOI26" s="4"/>
      <c r="UOJ26" s="4"/>
      <c r="UOK26" s="4"/>
      <c r="UOL26" s="4"/>
      <c r="UOM26" s="4"/>
      <c r="UON26" s="4"/>
      <c r="UOO26" s="4"/>
      <c r="UOP26" s="4"/>
      <c r="UOQ26" s="4"/>
      <c r="UOR26" s="4"/>
      <c r="UOS26" s="4"/>
      <c r="UOT26" s="4"/>
      <c r="UOU26" s="4"/>
      <c r="UOV26" s="4"/>
      <c r="UOW26" s="4"/>
      <c r="UOX26" s="4"/>
      <c r="UOY26" s="4"/>
      <c r="UOZ26" s="4"/>
      <c r="UPA26" s="4"/>
      <c r="UPB26" s="4"/>
      <c r="UPC26" s="5"/>
      <c r="UPD26" s="4"/>
      <c r="UPE26" s="28"/>
      <c r="UPF26" s="28"/>
      <c r="UPG26" s="4"/>
      <c r="UPH26" s="4"/>
      <c r="UPI26" s="4"/>
      <c r="UPJ26" s="4"/>
      <c r="UPK26" s="4"/>
      <c r="UPL26" s="4"/>
      <c r="UPM26" s="4"/>
      <c r="UPN26" s="4"/>
      <c r="UPO26" s="4"/>
      <c r="UPP26" s="4"/>
      <c r="UPQ26" s="4"/>
      <c r="UPR26" s="4"/>
      <c r="UPS26" s="4"/>
      <c r="UPT26" s="4"/>
      <c r="UPU26" s="4"/>
      <c r="UPV26" s="4"/>
      <c r="UPW26" s="4"/>
      <c r="UPX26" s="4"/>
      <c r="UPY26" s="4"/>
      <c r="UPZ26" s="4"/>
      <c r="UQA26" s="4"/>
      <c r="UQB26" s="4"/>
      <c r="UQC26" s="4"/>
      <c r="UQD26" s="5"/>
      <c r="UQE26" s="4"/>
      <c r="UQF26" s="28"/>
      <c r="UQG26" s="28"/>
      <c r="UQH26" s="4"/>
      <c r="UQI26" s="4"/>
      <c r="UQJ26" s="4"/>
      <c r="UQK26" s="4"/>
      <c r="UQL26" s="4"/>
      <c r="UQM26" s="4"/>
      <c r="UQN26" s="4"/>
      <c r="UQO26" s="4"/>
      <c r="UQP26" s="4"/>
      <c r="UQQ26" s="4"/>
      <c r="UQR26" s="4"/>
      <c r="UQS26" s="4"/>
      <c r="UQT26" s="4"/>
      <c r="UQU26" s="4"/>
      <c r="UQV26" s="4"/>
      <c r="UQW26" s="4"/>
      <c r="UQX26" s="4"/>
      <c r="UQY26" s="4"/>
      <c r="UQZ26" s="4"/>
      <c r="URA26" s="4"/>
      <c r="URB26" s="4"/>
      <c r="URC26" s="4"/>
      <c r="URD26" s="4"/>
      <c r="URE26" s="5"/>
      <c r="URF26" s="4"/>
      <c r="URG26" s="28"/>
      <c r="URH26" s="28"/>
      <c r="URI26" s="4"/>
      <c r="URJ26" s="4"/>
      <c r="URK26" s="4"/>
      <c r="URL26" s="4"/>
      <c r="URM26" s="4"/>
      <c r="URN26" s="4"/>
      <c r="URO26" s="4"/>
      <c r="URP26" s="4"/>
      <c r="URQ26" s="4"/>
      <c r="URR26" s="4"/>
      <c r="URS26" s="4"/>
      <c r="URT26" s="4"/>
      <c r="URU26" s="4"/>
      <c r="URV26" s="4"/>
      <c r="URW26" s="4"/>
      <c r="URX26" s="4"/>
      <c r="URY26" s="4"/>
      <c r="URZ26" s="4"/>
      <c r="USA26" s="4"/>
      <c r="USB26" s="4"/>
      <c r="USC26" s="4"/>
      <c r="USD26" s="4"/>
      <c r="USE26" s="4"/>
      <c r="USF26" s="5"/>
      <c r="USG26" s="4"/>
      <c r="USH26" s="28"/>
      <c r="USI26" s="28"/>
      <c r="USJ26" s="4"/>
      <c r="USK26" s="4"/>
      <c r="USL26" s="4"/>
      <c r="USM26" s="4"/>
      <c r="USN26" s="4"/>
      <c r="USO26" s="4"/>
      <c r="USP26" s="4"/>
      <c r="USQ26" s="4"/>
      <c r="USR26" s="4"/>
      <c r="USS26" s="4"/>
      <c r="UST26" s="4"/>
      <c r="USU26" s="4"/>
      <c r="USV26" s="4"/>
      <c r="USW26" s="4"/>
      <c r="USX26" s="4"/>
      <c r="USY26" s="4"/>
      <c r="USZ26" s="4"/>
      <c r="UTA26" s="4"/>
      <c r="UTB26" s="4"/>
      <c r="UTC26" s="4"/>
      <c r="UTD26" s="4"/>
      <c r="UTE26" s="4"/>
      <c r="UTF26" s="4"/>
      <c r="UTG26" s="5"/>
      <c r="UTH26" s="4"/>
      <c r="UTI26" s="28"/>
      <c r="UTJ26" s="28"/>
      <c r="UTK26" s="4"/>
      <c r="UTL26" s="4"/>
      <c r="UTM26" s="4"/>
      <c r="UTN26" s="4"/>
      <c r="UTO26" s="4"/>
      <c r="UTP26" s="4"/>
      <c r="UTQ26" s="4"/>
      <c r="UTR26" s="4"/>
      <c r="UTS26" s="4"/>
      <c r="UTT26" s="4"/>
      <c r="UTU26" s="4"/>
      <c r="UTV26" s="4"/>
      <c r="UTW26" s="4"/>
      <c r="UTX26" s="4"/>
      <c r="UTY26" s="4"/>
      <c r="UTZ26" s="4"/>
      <c r="UUA26" s="4"/>
      <c r="UUB26" s="4"/>
      <c r="UUC26" s="4"/>
      <c r="UUD26" s="4"/>
      <c r="UUE26" s="4"/>
      <c r="UUF26" s="4"/>
      <c r="UUG26" s="4"/>
      <c r="UUH26" s="5"/>
      <c r="UUI26" s="4"/>
      <c r="UUJ26" s="28"/>
      <c r="UUK26" s="28"/>
      <c r="UUL26" s="4"/>
      <c r="UUM26" s="4"/>
      <c r="UUN26" s="4"/>
      <c r="UUO26" s="4"/>
      <c r="UUP26" s="4"/>
      <c r="UUQ26" s="4"/>
      <c r="UUR26" s="4"/>
      <c r="UUS26" s="4"/>
      <c r="UUT26" s="4"/>
      <c r="UUU26" s="4"/>
      <c r="UUV26" s="4"/>
      <c r="UUW26" s="4"/>
      <c r="UUX26" s="4"/>
      <c r="UUY26" s="4"/>
      <c r="UUZ26" s="4"/>
      <c r="UVA26" s="4"/>
      <c r="UVB26" s="4"/>
      <c r="UVC26" s="4"/>
      <c r="UVD26" s="4"/>
      <c r="UVE26" s="4"/>
      <c r="UVF26" s="4"/>
      <c r="UVG26" s="4"/>
      <c r="UVH26" s="4"/>
      <c r="UVI26" s="5"/>
      <c r="UVJ26" s="4"/>
      <c r="UVK26" s="28"/>
      <c r="UVL26" s="28"/>
      <c r="UVM26" s="4"/>
      <c r="UVN26" s="4"/>
      <c r="UVO26" s="4"/>
      <c r="UVP26" s="4"/>
      <c r="UVQ26" s="4"/>
      <c r="UVR26" s="4"/>
      <c r="UVS26" s="4"/>
      <c r="UVT26" s="4"/>
      <c r="UVU26" s="4"/>
      <c r="UVV26" s="4"/>
      <c r="UVW26" s="4"/>
      <c r="UVX26" s="4"/>
      <c r="UVY26" s="4"/>
      <c r="UVZ26" s="4"/>
      <c r="UWA26" s="4"/>
      <c r="UWB26" s="4"/>
      <c r="UWC26" s="4"/>
      <c r="UWD26" s="4"/>
      <c r="UWE26" s="4"/>
      <c r="UWF26" s="4"/>
      <c r="UWG26" s="4"/>
      <c r="UWH26" s="4"/>
      <c r="UWI26" s="4"/>
      <c r="UWJ26" s="5"/>
      <c r="UWK26" s="4"/>
      <c r="UWL26" s="28"/>
      <c r="UWM26" s="28"/>
      <c r="UWN26" s="4"/>
      <c r="UWO26" s="4"/>
      <c r="UWP26" s="4"/>
      <c r="UWQ26" s="4"/>
      <c r="UWR26" s="4"/>
      <c r="UWS26" s="4"/>
      <c r="UWT26" s="4"/>
      <c r="UWU26" s="4"/>
      <c r="UWV26" s="4"/>
      <c r="UWW26" s="4"/>
      <c r="UWX26" s="4"/>
      <c r="UWY26" s="4"/>
      <c r="UWZ26" s="4"/>
      <c r="UXA26" s="4"/>
      <c r="UXB26" s="4"/>
      <c r="UXC26" s="4"/>
      <c r="UXD26" s="4"/>
      <c r="UXE26" s="4"/>
      <c r="UXF26" s="4"/>
      <c r="UXG26" s="4"/>
      <c r="UXH26" s="4"/>
      <c r="UXI26" s="4"/>
      <c r="UXJ26" s="4"/>
      <c r="UXK26" s="5"/>
      <c r="UXL26" s="4"/>
      <c r="UXM26" s="28"/>
      <c r="UXN26" s="28"/>
      <c r="UXO26" s="4"/>
      <c r="UXP26" s="4"/>
      <c r="UXQ26" s="4"/>
      <c r="UXR26" s="4"/>
      <c r="UXS26" s="4"/>
      <c r="UXT26" s="4"/>
      <c r="UXU26" s="4"/>
      <c r="UXV26" s="4"/>
      <c r="UXW26" s="4"/>
      <c r="UXX26" s="4"/>
      <c r="UXY26" s="4"/>
      <c r="UXZ26" s="4"/>
      <c r="UYA26" s="4"/>
      <c r="UYB26" s="4"/>
      <c r="UYC26" s="4"/>
      <c r="UYD26" s="4"/>
      <c r="UYE26" s="4"/>
      <c r="UYF26" s="4"/>
      <c r="UYG26" s="4"/>
      <c r="UYH26" s="4"/>
      <c r="UYI26" s="4"/>
      <c r="UYJ26" s="4"/>
      <c r="UYK26" s="4"/>
      <c r="UYL26" s="5"/>
      <c r="UYM26" s="4"/>
      <c r="UYN26" s="28"/>
      <c r="UYO26" s="28"/>
      <c r="UYP26" s="4"/>
      <c r="UYQ26" s="4"/>
      <c r="UYR26" s="4"/>
      <c r="UYS26" s="4"/>
      <c r="UYT26" s="4"/>
      <c r="UYU26" s="4"/>
      <c r="UYV26" s="4"/>
      <c r="UYW26" s="4"/>
      <c r="UYX26" s="4"/>
      <c r="UYY26" s="4"/>
      <c r="UYZ26" s="4"/>
      <c r="UZA26" s="4"/>
      <c r="UZB26" s="4"/>
      <c r="UZC26" s="4"/>
      <c r="UZD26" s="4"/>
      <c r="UZE26" s="4"/>
      <c r="UZF26" s="4"/>
      <c r="UZG26" s="4"/>
      <c r="UZH26" s="4"/>
      <c r="UZI26" s="4"/>
      <c r="UZJ26" s="4"/>
      <c r="UZK26" s="4"/>
      <c r="UZL26" s="4"/>
      <c r="UZM26" s="5"/>
      <c r="UZN26" s="4"/>
      <c r="UZO26" s="28"/>
      <c r="UZP26" s="28"/>
      <c r="UZQ26" s="4"/>
      <c r="UZR26" s="4"/>
      <c r="UZS26" s="4"/>
      <c r="UZT26" s="4"/>
      <c r="UZU26" s="4"/>
      <c r="UZV26" s="4"/>
      <c r="UZW26" s="4"/>
      <c r="UZX26" s="4"/>
      <c r="UZY26" s="4"/>
      <c r="UZZ26" s="4"/>
      <c r="VAA26" s="4"/>
      <c r="VAB26" s="4"/>
      <c r="VAC26" s="4"/>
      <c r="VAD26" s="4"/>
      <c r="VAE26" s="4"/>
      <c r="VAF26" s="4"/>
      <c r="VAG26" s="4"/>
      <c r="VAH26" s="4"/>
      <c r="VAI26" s="4"/>
      <c r="VAJ26" s="4"/>
      <c r="VAK26" s="4"/>
      <c r="VAL26" s="4"/>
      <c r="VAM26" s="4"/>
      <c r="VAN26" s="5"/>
      <c r="VAO26" s="4"/>
      <c r="VAP26" s="28"/>
      <c r="VAQ26" s="28"/>
      <c r="VAR26" s="4"/>
      <c r="VAS26" s="4"/>
      <c r="VAT26" s="4"/>
      <c r="VAU26" s="4"/>
      <c r="VAV26" s="4"/>
      <c r="VAW26" s="4"/>
      <c r="VAX26" s="4"/>
      <c r="VAY26" s="4"/>
      <c r="VAZ26" s="4"/>
      <c r="VBA26" s="4"/>
      <c r="VBB26" s="4"/>
      <c r="VBC26" s="4"/>
      <c r="VBD26" s="4"/>
      <c r="VBE26" s="4"/>
      <c r="VBF26" s="4"/>
      <c r="VBG26" s="4"/>
      <c r="VBH26" s="4"/>
      <c r="VBI26" s="4"/>
      <c r="VBJ26" s="4"/>
      <c r="VBK26" s="4"/>
      <c r="VBL26" s="4"/>
      <c r="VBM26" s="4"/>
      <c r="VBN26" s="4"/>
      <c r="VBO26" s="5"/>
      <c r="VBP26" s="4"/>
      <c r="VBQ26" s="28"/>
      <c r="VBR26" s="28"/>
      <c r="VBS26" s="4"/>
      <c r="VBT26" s="4"/>
      <c r="VBU26" s="4"/>
      <c r="VBV26" s="4"/>
      <c r="VBW26" s="4"/>
      <c r="VBX26" s="4"/>
      <c r="VBY26" s="4"/>
      <c r="VBZ26" s="4"/>
      <c r="VCA26" s="4"/>
      <c r="VCB26" s="4"/>
      <c r="VCC26" s="4"/>
      <c r="VCD26" s="4"/>
      <c r="VCE26" s="4"/>
      <c r="VCF26" s="4"/>
      <c r="VCG26" s="4"/>
      <c r="VCH26" s="4"/>
      <c r="VCI26" s="4"/>
      <c r="VCJ26" s="4"/>
      <c r="VCK26" s="4"/>
      <c r="VCL26" s="4"/>
      <c r="VCM26" s="4"/>
      <c r="VCN26" s="4"/>
      <c r="VCO26" s="4"/>
      <c r="VCP26" s="5"/>
      <c r="VCQ26" s="4"/>
      <c r="VCR26" s="28"/>
      <c r="VCS26" s="28"/>
      <c r="VCT26" s="4"/>
      <c r="VCU26" s="4"/>
      <c r="VCV26" s="4"/>
      <c r="VCW26" s="4"/>
      <c r="VCX26" s="4"/>
      <c r="VCY26" s="4"/>
      <c r="VCZ26" s="4"/>
      <c r="VDA26" s="4"/>
      <c r="VDB26" s="4"/>
      <c r="VDC26" s="4"/>
      <c r="VDD26" s="4"/>
      <c r="VDE26" s="4"/>
      <c r="VDF26" s="4"/>
      <c r="VDG26" s="4"/>
      <c r="VDH26" s="4"/>
      <c r="VDI26" s="4"/>
      <c r="VDJ26" s="4"/>
      <c r="VDK26" s="4"/>
      <c r="VDL26" s="4"/>
      <c r="VDM26" s="4"/>
      <c r="VDN26" s="4"/>
      <c r="VDO26" s="4"/>
      <c r="VDP26" s="4"/>
      <c r="VDQ26" s="5"/>
      <c r="VDR26" s="4"/>
      <c r="VDS26" s="28"/>
      <c r="VDT26" s="28"/>
      <c r="VDU26" s="4"/>
      <c r="VDV26" s="4"/>
      <c r="VDW26" s="4"/>
      <c r="VDX26" s="4"/>
      <c r="VDY26" s="4"/>
      <c r="VDZ26" s="4"/>
      <c r="VEA26" s="4"/>
      <c r="VEB26" s="4"/>
      <c r="VEC26" s="4"/>
      <c r="VED26" s="4"/>
      <c r="VEE26" s="4"/>
      <c r="VEF26" s="4"/>
      <c r="VEG26" s="4"/>
      <c r="VEH26" s="4"/>
      <c r="VEI26" s="4"/>
      <c r="VEJ26" s="4"/>
      <c r="VEK26" s="4"/>
      <c r="VEL26" s="4"/>
      <c r="VEM26" s="4"/>
      <c r="VEN26" s="4"/>
      <c r="VEO26" s="4"/>
      <c r="VEP26" s="4"/>
      <c r="VEQ26" s="4"/>
      <c r="VER26" s="5"/>
      <c r="VES26" s="4"/>
      <c r="VET26" s="28"/>
      <c r="VEU26" s="28"/>
      <c r="VEV26" s="4"/>
      <c r="VEW26" s="4"/>
      <c r="VEX26" s="4"/>
      <c r="VEY26" s="4"/>
      <c r="VEZ26" s="4"/>
      <c r="VFA26" s="4"/>
      <c r="VFB26" s="4"/>
      <c r="VFC26" s="4"/>
      <c r="VFD26" s="4"/>
      <c r="VFE26" s="4"/>
      <c r="VFF26" s="4"/>
      <c r="VFG26" s="4"/>
      <c r="VFH26" s="4"/>
      <c r="VFI26" s="4"/>
      <c r="VFJ26" s="4"/>
      <c r="VFK26" s="4"/>
      <c r="VFL26" s="4"/>
      <c r="VFM26" s="4"/>
      <c r="VFN26" s="4"/>
      <c r="VFO26" s="4"/>
      <c r="VFP26" s="4"/>
      <c r="VFQ26" s="4"/>
      <c r="VFR26" s="4"/>
      <c r="VFS26" s="5"/>
      <c r="VFT26" s="4"/>
      <c r="VFU26" s="28"/>
      <c r="VFV26" s="28"/>
      <c r="VFW26" s="4"/>
      <c r="VFX26" s="4"/>
      <c r="VFY26" s="4"/>
      <c r="VFZ26" s="4"/>
      <c r="VGA26" s="4"/>
      <c r="VGB26" s="4"/>
      <c r="VGC26" s="4"/>
      <c r="VGD26" s="4"/>
      <c r="VGE26" s="4"/>
      <c r="VGF26" s="4"/>
      <c r="VGG26" s="4"/>
      <c r="VGH26" s="4"/>
      <c r="VGI26" s="4"/>
      <c r="VGJ26" s="4"/>
      <c r="VGK26" s="4"/>
      <c r="VGL26" s="4"/>
      <c r="VGM26" s="4"/>
      <c r="VGN26" s="4"/>
      <c r="VGO26" s="4"/>
      <c r="VGP26" s="4"/>
      <c r="VGQ26" s="4"/>
      <c r="VGR26" s="4"/>
      <c r="VGS26" s="4"/>
      <c r="VGT26" s="5"/>
      <c r="VGU26" s="4"/>
      <c r="VGV26" s="28"/>
      <c r="VGW26" s="28"/>
      <c r="VGX26" s="4"/>
      <c r="VGY26" s="4"/>
      <c r="VGZ26" s="4"/>
      <c r="VHA26" s="4"/>
      <c r="VHB26" s="4"/>
      <c r="VHC26" s="4"/>
      <c r="VHD26" s="4"/>
      <c r="VHE26" s="4"/>
      <c r="VHF26" s="4"/>
      <c r="VHG26" s="4"/>
      <c r="VHH26" s="4"/>
      <c r="VHI26" s="4"/>
      <c r="VHJ26" s="4"/>
      <c r="VHK26" s="4"/>
      <c r="VHL26" s="4"/>
      <c r="VHM26" s="4"/>
      <c r="VHN26" s="4"/>
      <c r="VHO26" s="4"/>
      <c r="VHP26" s="4"/>
      <c r="VHQ26" s="4"/>
      <c r="VHR26" s="4"/>
      <c r="VHS26" s="4"/>
      <c r="VHT26" s="4"/>
      <c r="VHU26" s="5"/>
      <c r="VHV26" s="4"/>
      <c r="VHW26" s="28"/>
      <c r="VHX26" s="28"/>
      <c r="VHY26" s="4"/>
      <c r="VHZ26" s="4"/>
      <c r="VIA26" s="4"/>
      <c r="VIB26" s="4"/>
      <c r="VIC26" s="4"/>
      <c r="VID26" s="4"/>
      <c r="VIE26" s="4"/>
      <c r="VIF26" s="4"/>
      <c r="VIG26" s="4"/>
      <c r="VIH26" s="4"/>
      <c r="VII26" s="4"/>
      <c r="VIJ26" s="4"/>
      <c r="VIK26" s="4"/>
      <c r="VIL26" s="4"/>
      <c r="VIM26" s="4"/>
      <c r="VIN26" s="4"/>
      <c r="VIO26" s="4"/>
      <c r="VIP26" s="4"/>
      <c r="VIQ26" s="4"/>
      <c r="VIR26" s="4"/>
      <c r="VIS26" s="4"/>
      <c r="VIT26" s="4"/>
      <c r="VIU26" s="4"/>
      <c r="VIV26" s="5"/>
      <c r="VIW26" s="4"/>
      <c r="VIX26" s="28"/>
      <c r="VIY26" s="28"/>
      <c r="VIZ26" s="4"/>
      <c r="VJA26" s="4"/>
      <c r="VJB26" s="4"/>
      <c r="VJC26" s="4"/>
      <c r="VJD26" s="4"/>
      <c r="VJE26" s="4"/>
      <c r="VJF26" s="4"/>
      <c r="VJG26" s="4"/>
      <c r="VJH26" s="4"/>
      <c r="VJI26" s="4"/>
      <c r="VJJ26" s="4"/>
      <c r="VJK26" s="4"/>
      <c r="VJL26" s="4"/>
      <c r="VJM26" s="4"/>
      <c r="VJN26" s="4"/>
      <c r="VJO26" s="4"/>
      <c r="VJP26" s="4"/>
      <c r="VJQ26" s="4"/>
      <c r="VJR26" s="4"/>
      <c r="VJS26" s="4"/>
      <c r="VJT26" s="4"/>
      <c r="VJU26" s="4"/>
      <c r="VJV26" s="4"/>
      <c r="VJW26" s="5"/>
      <c r="VJX26" s="4"/>
      <c r="VJY26" s="28"/>
      <c r="VJZ26" s="28"/>
      <c r="VKA26" s="4"/>
      <c r="VKB26" s="4"/>
      <c r="VKC26" s="4"/>
      <c r="VKD26" s="4"/>
      <c r="VKE26" s="4"/>
      <c r="VKF26" s="4"/>
      <c r="VKG26" s="4"/>
      <c r="VKH26" s="4"/>
      <c r="VKI26" s="4"/>
      <c r="VKJ26" s="4"/>
      <c r="VKK26" s="4"/>
      <c r="VKL26" s="4"/>
      <c r="VKM26" s="4"/>
      <c r="VKN26" s="4"/>
      <c r="VKO26" s="4"/>
      <c r="VKP26" s="4"/>
      <c r="VKQ26" s="4"/>
      <c r="VKR26" s="4"/>
      <c r="VKS26" s="4"/>
      <c r="VKT26" s="4"/>
      <c r="VKU26" s="4"/>
      <c r="VKV26" s="4"/>
      <c r="VKW26" s="4"/>
      <c r="VKX26" s="5"/>
      <c r="VKY26" s="4"/>
      <c r="VKZ26" s="28"/>
      <c r="VLA26" s="28"/>
      <c r="VLB26" s="4"/>
      <c r="VLC26" s="4"/>
      <c r="VLD26" s="4"/>
      <c r="VLE26" s="4"/>
      <c r="VLF26" s="4"/>
      <c r="VLG26" s="4"/>
      <c r="VLH26" s="4"/>
      <c r="VLI26" s="4"/>
      <c r="VLJ26" s="4"/>
      <c r="VLK26" s="4"/>
      <c r="VLL26" s="4"/>
      <c r="VLM26" s="4"/>
      <c r="VLN26" s="4"/>
      <c r="VLO26" s="4"/>
      <c r="VLP26" s="4"/>
      <c r="VLQ26" s="4"/>
      <c r="VLR26" s="4"/>
      <c r="VLS26" s="4"/>
      <c r="VLT26" s="4"/>
      <c r="VLU26" s="4"/>
      <c r="VLV26" s="4"/>
      <c r="VLW26" s="4"/>
      <c r="VLX26" s="4"/>
      <c r="VLY26" s="5"/>
      <c r="VLZ26" s="4"/>
      <c r="VMA26" s="28"/>
      <c r="VMB26" s="28"/>
      <c r="VMC26" s="4"/>
      <c r="VMD26" s="4"/>
      <c r="VME26" s="4"/>
      <c r="VMF26" s="4"/>
      <c r="VMG26" s="4"/>
      <c r="VMH26" s="4"/>
      <c r="VMI26" s="4"/>
      <c r="VMJ26" s="4"/>
      <c r="VMK26" s="4"/>
      <c r="VML26" s="4"/>
      <c r="VMM26" s="4"/>
      <c r="VMN26" s="4"/>
      <c r="VMO26" s="4"/>
      <c r="VMP26" s="4"/>
      <c r="VMQ26" s="4"/>
      <c r="VMR26" s="4"/>
      <c r="VMS26" s="4"/>
      <c r="VMT26" s="4"/>
      <c r="VMU26" s="4"/>
      <c r="VMV26" s="4"/>
      <c r="VMW26" s="4"/>
      <c r="VMX26" s="4"/>
      <c r="VMY26" s="4"/>
      <c r="VMZ26" s="5"/>
      <c r="VNA26" s="4"/>
      <c r="VNB26" s="28"/>
      <c r="VNC26" s="28"/>
      <c r="VND26" s="4"/>
      <c r="VNE26" s="4"/>
      <c r="VNF26" s="4"/>
      <c r="VNG26" s="4"/>
      <c r="VNH26" s="4"/>
      <c r="VNI26" s="4"/>
      <c r="VNJ26" s="4"/>
      <c r="VNK26" s="4"/>
      <c r="VNL26" s="4"/>
      <c r="VNM26" s="4"/>
      <c r="VNN26" s="4"/>
      <c r="VNO26" s="4"/>
      <c r="VNP26" s="4"/>
      <c r="VNQ26" s="4"/>
      <c r="VNR26" s="4"/>
      <c r="VNS26" s="4"/>
      <c r="VNT26" s="4"/>
      <c r="VNU26" s="4"/>
      <c r="VNV26" s="4"/>
      <c r="VNW26" s="4"/>
      <c r="VNX26" s="4"/>
      <c r="VNY26" s="4"/>
      <c r="VNZ26" s="4"/>
      <c r="VOA26" s="5"/>
      <c r="VOB26" s="4"/>
      <c r="VOC26" s="28"/>
      <c r="VOD26" s="28"/>
      <c r="VOE26" s="4"/>
      <c r="VOF26" s="4"/>
      <c r="VOG26" s="4"/>
      <c r="VOH26" s="4"/>
      <c r="VOI26" s="4"/>
      <c r="VOJ26" s="4"/>
      <c r="VOK26" s="4"/>
      <c r="VOL26" s="4"/>
      <c r="VOM26" s="4"/>
      <c r="VON26" s="4"/>
      <c r="VOO26" s="4"/>
      <c r="VOP26" s="4"/>
      <c r="VOQ26" s="4"/>
      <c r="VOR26" s="4"/>
      <c r="VOS26" s="4"/>
      <c r="VOT26" s="4"/>
      <c r="VOU26" s="4"/>
      <c r="VOV26" s="4"/>
      <c r="VOW26" s="4"/>
      <c r="VOX26" s="4"/>
      <c r="VOY26" s="4"/>
      <c r="VOZ26" s="4"/>
      <c r="VPA26" s="4"/>
      <c r="VPB26" s="5"/>
      <c r="VPC26" s="4"/>
      <c r="VPD26" s="28"/>
      <c r="VPE26" s="28"/>
      <c r="VPF26" s="4"/>
      <c r="VPG26" s="4"/>
      <c r="VPH26" s="4"/>
      <c r="VPI26" s="4"/>
      <c r="VPJ26" s="4"/>
      <c r="VPK26" s="4"/>
      <c r="VPL26" s="4"/>
      <c r="VPM26" s="4"/>
      <c r="VPN26" s="4"/>
      <c r="VPO26" s="4"/>
      <c r="VPP26" s="4"/>
      <c r="VPQ26" s="4"/>
      <c r="VPR26" s="4"/>
      <c r="VPS26" s="4"/>
      <c r="VPT26" s="4"/>
      <c r="VPU26" s="4"/>
      <c r="VPV26" s="4"/>
      <c r="VPW26" s="4"/>
      <c r="VPX26" s="4"/>
      <c r="VPY26" s="4"/>
      <c r="VPZ26" s="4"/>
      <c r="VQA26" s="4"/>
      <c r="VQB26" s="4"/>
      <c r="VQC26" s="5"/>
      <c r="VQD26" s="4"/>
      <c r="VQE26" s="28"/>
      <c r="VQF26" s="28"/>
      <c r="VQG26" s="4"/>
      <c r="VQH26" s="4"/>
      <c r="VQI26" s="4"/>
      <c r="VQJ26" s="4"/>
      <c r="VQK26" s="4"/>
      <c r="VQL26" s="4"/>
      <c r="VQM26" s="4"/>
      <c r="VQN26" s="4"/>
      <c r="VQO26" s="4"/>
      <c r="VQP26" s="4"/>
      <c r="VQQ26" s="4"/>
      <c r="VQR26" s="4"/>
      <c r="VQS26" s="4"/>
      <c r="VQT26" s="4"/>
      <c r="VQU26" s="4"/>
      <c r="VQV26" s="4"/>
      <c r="VQW26" s="4"/>
      <c r="VQX26" s="4"/>
      <c r="VQY26" s="4"/>
      <c r="VQZ26" s="4"/>
      <c r="VRA26" s="4"/>
      <c r="VRB26" s="4"/>
      <c r="VRC26" s="4"/>
      <c r="VRD26" s="5"/>
      <c r="VRE26" s="4"/>
      <c r="VRF26" s="28"/>
      <c r="VRG26" s="28"/>
      <c r="VRH26" s="4"/>
      <c r="VRI26" s="4"/>
      <c r="VRJ26" s="4"/>
      <c r="VRK26" s="4"/>
      <c r="VRL26" s="4"/>
      <c r="VRM26" s="4"/>
      <c r="VRN26" s="4"/>
      <c r="VRO26" s="4"/>
      <c r="VRP26" s="4"/>
      <c r="VRQ26" s="4"/>
      <c r="VRR26" s="4"/>
      <c r="VRS26" s="4"/>
      <c r="VRT26" s="4"/>
      <c r="VRU26" s="4"/>
      <c r="VRV26" s="4"/>
      <c r="VRW26" s="4"/>
      <c r="VRX26" s="4"/>
      <c r="VRY26" s="4"/>
      <c r="VRZ26" s="4"/>
      <c r="VSA26" s="4"/>
      <c r="VSB26" s="4"/>
      <c r="VSC26" s="4"/>
      <c r="VSD26" s="4"/>
      <c r="VSE26" s="5"/>
      <c r="VSF26" s="4"/>
      <c r="VSG26" s="28"/>
      <c r="VSH26" s="28"/>
      <c r="VSI26" s="4"/>
      <c r="VSJ26" s="4"/>
      <c r="VSK26" s="4"/>
      <c r="VSL26" s="4"/>
      <c r="VSM26" s="4"/>
      <c r="VSN26" s="4"/>
      <c r="VSO26" s="4"/>
      <c r="VSP26" s="4"/>
      <c r="VSQ26" s="4"/>
      <c r="VSR26" s="4"/>
      <c r="VSS26" s="4"/>
      <c r="VST26" s="4"/>
      <c r="VSU26" s="4"/>
      <c r="VSV26" s="4"/>
      <c r="VSW26" s="4"/>
      <c r="VSX26" s="4"/>
      <c r="VSY26" s="4"/>
      <c r="VSZ26" s="4"/>
      <c r="VTA26" s="4"/>
      <c r="VTB26" s="4"/>
      <c r="VTC26" s="4"/>
      <c r="VTD26" s="4"/>
      <c r="VTE26" s="4"/>
      <c r="VTF26" s="5"/>
      <c r="VTG26" s="4"/>
      <c r="VTH26" s="28"/>
      <c r="VTI26" s="28"/>
      <c r="VTJ26" s="4"/>
      <c r="VTK26" s="4"/>
      <c r="VTL26" s="4"/>
      <c r="VTM26" s="4"/>
      <c r="VTN26" s="4"/>
      <c r="VTO26" s="4"/>
      <c r="VTP26" s="4"/>
      <c r="VTQ26" s="4"/>
      <c r="VTR26" s="4"/>
      <c r="VTS26" s="4"/>
      <c r="VTT26" s="4"/>
      <c r="VTU26" s="4"/>
      <c r="VTV26" s="4"/>
      <c r="VTW26" s="4"/>
      <c r="VTX26" s="4"/>
      <c r="VTY26" s="4"/>
      <c r="VTZ26" s="4"/>
      <c r="VUA26" s="4"/>
      <c r="VUB26" s="4"/>
      <c r="VUC26" s="4"/>
      <c r="VUD26" s="4"/>
      <c r="VUE26" s="4"/>
      <c r="VUF26" s="4"/>
      <c r="VUG26" s="5"/>
      <c r="VUH26" s="4"/>
      <c r="VUI26" s="28"/>
      <c r="VUJ26" s="28"/>
      <c r="VUK26" s="4"/>
      <c r="VUL26" s="4"/>
      <c r="VUM26" s="4"/>
      <c r="VUN26" s="4"/>
      <c r="VUO26" s="4"/>
      <c r="VUP26" s="4"/>
      <c r="VUQ26" s="4"/>
      <c r="VUR26" s="4"/>
      <c r="VUS26" s="4"/>
      <c r="VUT26" s="4"/>
      <c r="VUU26" s="4"/>
      <c r="VUV26" s="4"/>
      <c r="VUW26" s="4"/>
      <c r="VUX26" s="4"/>
      <c r="VUY26" s="4"/>
      <c r="VUZ26" s="4"/>
      <c r="VVA26" s="4"/>
      <c r="VVB26" s="4"/>
      <c r="VVC26" s="4"/>
      <c r="VVD26" s="4"/>
      <c r="VVE26" s="4"/>
      <c r="VVF26" s="4"/>
      <c r="VVG26" s="4"/>
      <c r="VVH26" s="5"/>
      <c r="VVI26" s="4"/>
      <c r="VVJ26" s="28"/>
      <c r="VVK26" s="28"/>
      <c r="VVL26" s="4"/>
      <c r="VVM26" s="4"/>
      <c r="VVN26" s="4"/>
      <c r="VVO26" s="4"/>
      <c r="VVP26" s="4"/>
      <c r="VVQ26" s="4"/>
      <c r="VVR26" s="4"/>
      <c r="VVS26" s="4"/>
      <c r="VVT26" s="4"/>
      <c r="VVU26" s="4"/>
      <c r="VVV26" s="4"/>
      <c r="VVW26" s="4"/>
      <c r="VVX26" s="4"/>
      <c r="VVY26" s="4"/>
      <c r="VVZ26" s="4"/>
      <c r="VWA26" s="4"/>
      <c r="VWB26" s="4"/>
      <c r="VWC26" s="4"/>
      <c r="VWD26" s="4"/>
      <c r="VWE26" s="4"/>
      <c r="VWF26" s="4"/>
      <c r="VWG26" s="4"/>
      <c r="VWH26" s="4"/>
      <c r="VWI26" s="5"/>
      <c r="VWJ26" s="4"/>
      <c r="VWK26" s="28"/>
      <c r="VWL26" s="28"/>
      <c r="VWM26" s="4"/>
      <c r="VWN26" s="4"/>
      <c r="VWO26" s="4"/>
      <c r="VWP26" s="4"/>
      <c r="VWQ26" s="4"/>
      <c r="VWR26" s="4"/>
      <c r="VWS26" s="4"/>
      <c r="VWT26" s="4"/>
      <c r="VWU26" s="4"/>
      <c r="VWV26" s="4"/>
      <c r="VWW26" s="4"/>
      <c r="VWX26" s="4"/>
      <c r="VWY26" s="4"/>
      <c r="VWZ26" s="4"/>
      <c r="VXA26" s="4"/>
      <c r="VXB26" s="4"/>
      <c r="VXC26" s="4"/>
      <c r="VXD26" s="4"/>
      <c r="VXE26" s="4"/>
      <c r="VXF26" s="4"/>
      <c r="VXG26" s="4"/>
      <c r="VXH26" s="4"/>
      <c r="VXI26" s="4"/>
      <c r="VXJ26" s="5"/>
      <c r="VXK26" s="4"/>
      <c r="VXL26" s="28"/>
      <c r="VXM26" s="28"/>
      <c r="VXN26" s="4"/>
      <c r="VXO26" s="4"/>
      <c r="VXP26" s="4"/>
      <c r="VXQ26" s="4"/>
      <c r="VXR26" s="4"/>
      <c r="VXS26" s="4"/>
      <c r="VXT26" s="4"/>
      <c r="VXU26" s="4"/>
      <c r="VXV26" s="4"/>
      <c r="VXW26" s="4"/>
      <c r="VXX26" s="4"/>
      <c r="VXY26" s="4"/>
      <c r="VXZ26" s="4"/>
      <c r="VYA26" s="4"/>
      <c r="VYB26" s="4"/>
      <c r="VYC26" s="4"/>
      <c r="VYD26" s="4"/>
      <c r="VYE26" s="4"/>
      <c r="VYF26" s="4"/>
      <c r="VYG26" s="4"/>
      <c r="VYH26" s="4"/>
      <c r="VYI26" s="4"/>
      <c r="VYJ26" s="4"/>
      <c r="VYK26" s="5"/>
      <c r="VYL26" s="4"/>
      <c r="VYM26" s="28"/>
      <c r="VYN26" s="28"/>
      <c r="VYO26" s="4"/>
      <c r="VYP26" s="4"/>
      <c r="VYQ26" s="4"/>
      <c r="VYR26" s="4"/>
      <c r="VYS26" s="4"/>
      <c r="VYT26" s="4"/>
      <c r="VYU26" s="4"/>
      <c r="VYV26" s="4"/>
      <c r="VYW26" s="4"/>
      <c r="VYX26" s="4"/>
      <c r="VYY26" s="4"/>
      <c r="VYZ26" s="4"/>
      <c r="VZA26" s="4"/>
      <c r="VZB26" s="4"/>
      <c r="VZC26" s="4"/>
      <c r="VZD26" s="4"/>
      <c r="VZE26" s="4"/>
      <c r="VZF26" s="4"/>
      <c r="VZG26" s="4"/>
      <c r="VZH26" s="4"/>
      <c r="VZI26" s="4"/>
      <c r="VZJ26" s="4"/>
      <c r="VZK26" s="4"/>
      <c r="VZL26" s="5"/>
      <c r="VZM26" s="4"/>
      <c r="VZN26" s="28"/>
      <c r="VZO26" s="28"/>
      <c r="VZP26" s="4"/>
      <c r="VZQ26" s="4"/>
      <c r="VZR26" s="4"/>
      <c r="VZS26" s="4"/>
      <c r="VZT26" s="4"/>
      <c r="VZU26" s="4"/>
      <c r="VZV26" s="4"/>
      <c r="VZW26" s="4"/>
      <c r="VZX26" s="4"/>
      <c r="VZY26" s="4"/>
      <c r="VZZ26" s="4"/>
      <c r="WAA26" s="4"/>
      <c r="WAB26" s="4"/>
      <c r="WAC26" s="4"/>
      <c r="WAD26" s="4"/>
      <c r="WAE26" s="4"/>
      <c r="WAF26" s="4"/>
      <c r="WAG26" s="4"/>
      <c r="WAH26" s="4"/>
      <c r="WAI26" s="4"/>
      <c r="WAJ26" s="4"/>
      <c r="WAK26" s="4"/>
      <c r="WAL26" s="4"/>
      <c r="WAM26" s="5"/>
      <c r="WAN26" s="4"/>
      <c r="WAO26" s="28"/>
      <c r="WAP26" s="28"/>
      <c r="WAQ26" s="4"/>
      <c r="WAR26" s="4"/>
      <c r="WAS26" s="4"/>
      <c r="WAT26" s="4"/>
      <c r="WAU26" s="4"/>
      <c r="WAV26" s="4"/>
      <c r="WAW26" s="4"/>
      <c r="WAX26" s="4"/>
      <c r="WAY26" s="4"/>
      <c r="WAZ26" s="4"/>
      <c r="WBA26" s="4"/>
      <c r="WBB26" s="4"/>
      <c r="WBC26" s="4"/>
      <c r="WBD26" s="4"/>
      <c r="WBE26" s="4"/>
      <c r="WBF26" s="4"/>
      <c r="WBG26" s="4"/>
      <c r="WBH26" s="4"/>
      <c r="WBI26" s="4"/>
      <c r="WBJ26" s="4"/>
      <c r="WBK26" s="4"/>
      <c r="WBL26" s="4"/>
      <c r="WBM26" s="4"/>
      <c r="WBN26" s="5"/>
      <c r="WBO26" s="4"/>
      <c r="WBP26" s="28"/>
      <c r="WBQ26" s="28"/>
      <c r="WBR26" s="4"/>
      <c r="WBS26" s="4"/>
      <c r="WBT26" s="4"/>
      <c r="WBU26" s="4"/>
      <c r="WBV26" s="4"/>
      <c r="WBW26" s="4"/>
      <c r="WBX26" s="4"/>
      <c r="WBY26" s="4"/>
      <c r="WBZ26" s="4"/>
      <c r="WCA26" s="4"/>
      <c r="WCB26" s="4"/>
      <c r="WCC26" s="4"/>
      <c r="WCD26" s="4"/>
      <c r="WCE26" s="4"/>
      <c r="WCF26" s="4"/>
      <c r="WCG26" s="4"/>
      <c r="WCH26" s="4"/>
      <c r="WCI26" s="4"/>
      <c r="WCJ26" s="4"/>
      <c r="WCK26" s="4"/>
      <c r="WCL26" s="4"/>
      <c r="WCM26" s="4"/>
      <c r="WCN26" s="4"/>
      <c r="WCO26" s="5"/>
      <c r="WCP26" s="4"/>
      <c r="WCQ26" s="28"/>
      <c r="WCR26" s="28"/>
      <c r="WCS26" s="4"/>
      <c r="WCT26" s="4"/>
      <c r="WCU26" s="4"/>
      <c r="WCV26" s="4"/>
      <c r="WCW26" s="4"/>
      <c r="WCX26" s="4"/>
      <c r="WCY26" s="4"/>
      <c r="WCZ26" s="4"/>
      <c r="WDA26" s="4"/>
      <c r="WDB26" s="4"/>
      <c r="WDC26" s="4"/>
      <c r="WDD26" s="4"/>
      <c r="WDE26" s="4"/>
      <c r="WDF26" s="4"/>
      <c r="WDG26" s="4"/>
      <c r="WDH26" s="4"/>
      <c r="WDI26" s="4"/>
      <c r="WDJ26" s="4"/>
      <c r="WDK26" s="4"/>
      <c r="WDL26" s="4"/>
      <c r="WDM26" s="4"/>
      <c r="WDN26" s="4"/>
      <c r="WDO26" s="4"/>
      <c r="WDP26" s="5"/>
      <c r="WDQ26" s="4"/>
      <c r="WDR26" s="28"/>
      <c r="WDS26" s="28"/>
      <c r="WDT26" s="4"/>
      <c r="WDU26" s="4"/>
      <c r="WDV26" s="4"/>
      <c r="WDW26" s="4"/>
      <c r="WDX26" s="4"/>
      <c r="WDY26" s="4"/>
      <c r="WDZ26" s="4"/>
      <c r="WEA26" s="4"/>
      <c r="WEB26" s="4"/>
      <c r="WEC26" s="4"/>
      <c r="WED26" s="4"/>
      <c r="WEE26" s="4"/>
      <c r="WEF26" s="4"/>
      <c r="WEG26" s="4"/>
      <c r="WEH26" s="4"/>
      <c r="WEI26" s="4"/>
      <c r="WEJ26" s="4"/>
      <c r="WEK26" s="4"/>
      <c r="WEL26" s="4"/>
      <c r="WEM26" s="4"/>
      <c r="WEN26" s="4"/>
      <c r="WEO26" s="4"/>
      <c r="WEP26" s="4"/>
      <c r="WEQ26" s="5"/>
      <c r="WER26" s="4"/>
      <c r="WES26" s="28"/>
      <c r="WET26" s="28"/>
      <c r="WEU26" s="4"/>
      <c r="WEV26" s="4"/>
      <c r="WEW26" s="4"/>
      <c r="WEX26" s="4"/>
      <c r="WEY26" s="4"/>
      <c r="WEZ26" s="4"/>
      <c r="WFA26" s="4"/>
      <c r="WFB26" s="4"/>
      <c r="WFC26" s="4"/>
      <c r="WFD26" s="4"/>
      <c r="WFE26" s="4"/>
      <c r="WFF26" s="4"/>
      <c r="WFG26" s="4"/>
      <c r="WFH26" s="4"/>
      <c r="WFI26" s="4"/>
      <c r="WFJ26" s="4"/>
      <c r="WFK26" s="4"/>
      <c r="WFL26" s="4"/>
      <c r="WFM26" s="4"/>
      <c r="WFN26" s="4"/>
      <c r="WFO26" s="4"/>
      <c r="WFP26" s="4"/>
      <c r="WFQ26" s="4"/>
      <c r="WFR26" s="5"/>
      <c r="WFS26" s="4"/>
      <c r="WFT26" s="28"/>
      <c r="WFU26" s="28"/>
      <c r="WFV26" s="4"/>
      <c r="WFW26" s="4"/>
      <c r="WFX26" s="4"/>
      <c r="WFY26" s="4"/>
      <c r="WFZ26" s="4"/>
      <c r="WGA26" s="4"/>
      <c r="WGB26" s="4"/>
      <c r="WGC26" s="4"/>
      <c r="WGD26" s="4"/>
      <c r="WGE26" s="4"/>
      <c r="WGF26" s="4"/>
      <c r="WGG26" s="4"/>
      <c r="WGH26" s="4"/>
      <c r="WGI26" s="4"/>
      <c r="WGJ26" s="4"/>
      <c r="WGK26" s="4"/>
      <c r="WGL26" s="4"/>
      <c r="WGM26" s="4"/>
      <c r="WGN26" s="4"/>
      <c r="WGO26" s="4"/>
      <c r="WGP26" s="4"/>
      <c r="WGQ26" s="4"/>
      <c r="WGR26" s="4"/>
      <c r="WGS26" s="5"/>
      <c r="WGT26" s="4"/>
      <c r="WGU26" s="28"/>
      <c r="WGV26" s="28"/>
      <c r="WGW26" s="4"/>
      <c r="WGX26" s="4"/>
      <c r="WGY26" s="4"/>
      <c r="WGZ26" s="4"/>
      <c r="WHA26" s="4"/>
      <c r="WHB26" s="4"/>
      <c r="WHC26" s="4"/>
      <c r="WHD26" s="4"/>
      <c r="WHE26" s="4"/>
      <c r="WHF26" s="4"/>
      <c r="WHG26" s="4"/>
      <c r="WHH26" s="4"/>
      <c r="WHI26" s="4"/>
      <c r="WHJ26" s="4"/>
      <c r="WHK26" s="4"/>
      <c r="WHL26" s="4"/>
      <c r="WHM26" s="4"/>
      <c r="WHN26" s="4"/>
      <c r="WHO26" s="4"/>
      <c r="WHP26" s="4"/>
      <c r="WHQ26" s="4"/>
      <c r="WHR26" s="4"/>
      <c r="WHS26" s="4"/>
      <c r="WHT26" s="5"/>
      <c r="WHU26" s="4"/>
      <c r="WHV26" s="28"/>
      <c r="WHW26" s="28"/>
      <c r="WHX26" s="4"/>
      <c r="WHY26" s="4"/>
      <c r="WHZ26" s="4"/>
      <c r="WIA26" s="4"/>
      <c r="WIB26" s="4"/>
      <c r="WIC26" s="4"/>
      <c r="WID26" s="4"/>
      <c r="WIE26" s="4"/>
      <c r="WIF26" s="4"/>
      <c r="WIG26" s="4"/>
      <c r="WIH26" s="4"/>
      <c r="WII26" s="4"/>
      <c r="WIJ26" s="4"/>
      <c r="WIK26" s="4"/>
      <c r="WIL26" s="4"/>
      <c r="WIM26" s="4"/>
      <c r="WIN26" s="4"/>
      <c r="WIO26" s="4"/>
      <c r="WIP26" s="4"/>
      <c r="WIQ26" s="4"/>
      <c r="WIR26" s="4"/>
      <c r="WIS26" s="4"/>
      <c r="WIT26" s="4"/>
      <c r="WIU26" s="5"/>
      <c r="WIV26" s="4"/>
      <c r="WIW26" s="28"/>
      <c r="WIX26" s="28"/>
      <c r="WIY26" s="4"/>
      <c r="WIZ26" s="4"/>
      <c r="WJA26" s="4"/>
      <c r="WJB26" s="4"/>
      <c r="WJC26" s="4"/>
      <c r="WJD26" s="4"/>
      <c r="WJE26" s="4"/>
      <c r="WJF26" s="4"/>
      <c r="WJG26" s="4"/>
      <c r="WJH26" s="4"/>
      <c r="WJI26" s="4"/>
      <c r="WJJ26" s="4"/>
      <c r="WJK26" s="4"/>
      <c r="WJL26" s="4"/>
      <c r="WJM26" s="4"/>
      <c r="WJN26" s="4"/>
      <c r="WJO26" s="4"/>
      <c r="WJP26" s="4"/>
      <c r="WJQ26" s="4"/>
      <c r="WJR26" s="4"/>
      <c r="WJS26" s="4"/>
      <c r="WJT26" s="4"/>
      <c r="WJU26" s="4"/>
      <c r="WJV26" s="5"/>
      <c r="WJW26" s="4"/>
      <c r="WJX26" s="28"/>
      <c r="WJY26" s="28"/>
      <c r="WJZ26" s="4"/>
      <c r="WKA26" s="4"/>
      <c r="WKB26" s="4"/>
      <c r="WKC26" s="4"/>
      <c r="WKD26" s="4"/>
      <c r="WKE26" s="4"/>
      <c r="WKF26" s="4"/>
      <c r="WKG26" s="4"/>
      <c r="WKH26" s="4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4"/>
      <c r="WKU26" s="4"/>
      <c r="WKV26" s="4"/>
      <c r="WKW26" s="5"/>
      <c r="WKX26" s="4"/>
      <c r="WKY26" s="28"/>
      <c r="WKZ26" s="28"/>
      <c r="WLA26" s="4"/>
      <c r="WLB26" s="4"/>
      <c r="WLC26" s="4"/>
      <c r="WLD26" s="4"/>
      <c r="WLE26" s="4"/>
      <c r="WLF26" s="4"/>
      <c r="WLG26" s="4"/>
      <c r="WLH26" s="4"/>
      <c r="WLI26" s="4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4"/>
      <c r="WLV26" s="4"/>
      <c r="WLW26" s="4"/>
      <c r="WLX26" s="5"/>
      <c r="WLY26" s="4"/>
      <c r="WLZ26" s="28"/>
      <c r="WMA26" s="28"/>
      <c r="WMB26" s="4"/>
      <c r="WMC26" s="4"/>
      <c r="WMD26" s="4"/>
      <c r="WME26" s="4"/>
      <c r="WMF26" s="4"/>
      <c r="WMG26" s="4"/>
      <c r="WMH26" s="4"/>
      <c r="WMI26" s="4"/>
      <c r="WMJ26" s="4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4"/>
      <c r="WMW26" s="4"/>
      <c r="WMX26" s="4"/>
      <c r="WMY26" s="5"/>
      <c r="WMZ26" s="4"/>
      <c r="WNA26" s="28"/>
      <c r="WNB26" s="28"/>
      <c r="WNC26" s="4"/>
      <c r="WND26" s="4"/>
      <c r="WNE26" s="4"/>
      <c r="WNF26" s="4"/>
      <c r="WNG26" s="4"/>
      <c r="WNH26" s="4"/>
      <c r="WNI26" s="4"/>
      <c r="WNJ26" s="4"/>
      <c r="WNK26" s="4"/>
      <c r="WNL26" s="4"/>
      <c r="WNM26" s="4"/>
      <c r="WNN26" s="4"/>
      <c r="WNO26" s="4"/>
      <c r="WNP26" s="4"/>
      <c r="WNQ26" s="4"/>
      <c r="WNR26" s="4"/>
      <c r="WNS26" s="4"/>
      <c r="WNT26" s="4"/>
      <c r="WNU26" s="4"/>
      <c r="WNV26" s="4"/>
      <c r="WNW26" s="4"/>
      <c r="WNX26" s="4"/>
      <c r="WNY26" s="4"/>
      <c r="WNZ26" s="5"/>
      <c r="WOA26" s="4"/>
      <c r="WOB26" s="28"/>
      <c r="WOC26" s="28"/>
      <c r="WOD26" s="4"/>
      <c r="WOE26" s="4"/>
      <c r="WOF26" s="4"/>
      <c r="WOG26" s="4"/>
      <c r="WOH26" s="4"/>
      <c r="WOI26" s="4"/>
      <c r="WOJ26" s="4"/>
      <c r="WOK26" s="4"/>
      <c r="WOL26" s="4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4"/>
      <c r="WOY26" s="4"/>
      <c r="WOZ26" s="4"/>
      <c r="WPA26" s="5"/>
      <c r="WPB26" s="4"/>
      <c r="WPC26" s="28"/>
      <c r="WPD26" s="28"/>
      <c r="WPE26" s="4"/>
      <c r="WPF26" s="4"/>
      <c r="WPG26" s="4"/>
      <c r="WPH26" s="4"/>
      <c r="WPI26" s="4"/>
      <c r="WPJ26" s="4"/>
      <c r="WPK26" s="4"/>
      <c r="WPL26" s="4"/>
      <c r="WPM26" s="4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4"/>
      <c r="WPZ26" s="4"/>
      <c r="WQA26" s="4"/>
      <c r="WQB26" s="5"/>
      <c r="WQC26" s="4"/>
      <c r="WQD26" s="28"/>
      <c r="WQE26" s="28"/>
      <c r="WQF26" s="4"/>
      <c r="WQG26" s="4"/>
      <c r="WQH26" s="4"/>
      <c r="WQI26" s="4"/>
      <c r="WQJ26" s="4"/>
      <c r="WQK26" s="4"/>
      <c r="WQL26" s="4"/>
      <c r="WQM26" s="4"/>
      <c r="WQN26" s="4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4"/>
      <c r="WRA26" s="4"/>
      <c r="WRB26" s="4"/>
      <c r="WRC26" s="5"/>
      <c r="WRD26" s="4"/>
      <c r="WRE26" s="28"/>
      <c r="WRF26" s="28"/>
      <c r="WRG26" s="4"/>
      <c r="WRH26" s="4"/>
      <c r="WRI26" s="4"/>
      <c r="WRJ26" s="4"/>
      <c r="WRK26" s="4"/>
      <c r="WRL26" s="4"/>
      <c r="WRM26" s="4"/>
      <c r="WRN26" s="4"/>
      <c r="WRO26" s="4"/>
      <c r="WRP26" s="4"/>
      <c r="WRQ26" s="4"/>
      <c r="WRR26" s="4"/>
      <c r="WRS26" s="4"/>
      <c r="WRT26" s="4"/>
      <c r="WRU26" s="4"/>
      <c r="WRV26" s="4"/>
      <c r="WRW26" s="4"/>
      <c r="WRX26" s="4"/>
      <c r="WRY26" s="4"/>
      <c r="WRZ26" s="4"/>
      <c r="WSA26" s="4"/>
      <c r="WSB26" s="4"/>
      <c r="WSC26" s="4"/>
      <c r="WSD26" s="5"/>
      <c r="WSE26" s="4"/>
      <c r="WSF26" s="28"/>
      <c r="WSG26" s="28"/>
      <c r="WSH26" s="4"/>
      <c r="WSI26" s="4"/>
      <c r="WSJ26" s="4"/>
      <c r="WSK26" s="4"/>
      <c r="WSL26" s="4"/>
      <c r="WSM26" s="4"/>
      <c r="WSN26" s="4"/>
      <c r="WSO26" s="4"/>
      <c r="WSP26" s="4"/>
      <c r="WSQ26" s="4"/>
      <c r="WSR26" s="4"/>
      <c r="WSS26" s="4"/>
      <c r="WST26" s="4"/>
      <c r="WSU26" s="4"/>
      <c r="WSV26" s="4"/>
      <c r="WSW26" s="4"/>
      <c r="WSX26" s="4"/>
      <c r="WSY26" s="4"/>
      <c r="WSZ26" s="4"/>
      <c r="WTA26" s="4"/>
      <c r="WTB26" s="4"/>
      <c r="WTC26" s="4"/>
      <c r="WTD26" s="4"/>
      <c r="WTE26" s="5"/>
      <c r="WTF26" s="4"/>
      <c r="WTG26" s="28"/>
      <c r="WTH26" s="28"/>
      <c r="WTI26" s="4"/>
      <c r="WTJ26" s="4"/>
      <c r="WTK26" s="4"/>
      <c r="WTL26" s="4"/>
      <c r="WTM26" s="4"/>
      <c r="WTN26" s="4"/>
      <c r="WTO26" s="4"/>
      <c r="WTP26" s="4"/>
      <c r="WTQ26" s="4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4"/>
      <c r="WUD26" s="4"/>
      <c r="WUE26" s="4"/>
      <c r="WUF26" s="5"/>
      <c r="WUG26" s="4"/>
      <c r="WUH26" s="28"/>
      <c r="WUI26" s="28"/>
      <c r="WUJ26" s="4"/>
      <c r="WUK26" s="4"/>
      <c r="WUL26" s="4"/>
      <c r="WUM26" s="4"/>
      <c r="WUN26" s="4"/>
      <c r="WUO26" s="4"/>
      <c r="WUP26" s="4"/>
      <c r="WUQ26" s="4"/>
      <c r="WUR26" s="4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4"/>
      <c r="WVE26" s="4"/>
      <c r="WVF26" s="4"/>
      <c r="WVG26" s="5"/>
      <c r="WVH26" s="4"/>
      <c r="WVI26" s="28"/>
      <c r="WVJ26" s="28"/>
      <c r="WVK26" s="4"/>
      <c r="WVL26" s="4"/>
      <c r="WVM26" s="4"/>
      <c r="WVN26" s="4"/>
      <c r="WVO26" s="4"/>
      <c r="WVP26" s="4"/>
      <c r="WVQ26" s="4"/>
      <c r="WVR26" s="4"/>
      <c r="WVS26" s="4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4"/>
      <c r="WWF26" s="4"/>
      <c r="WWG26" s="4"/>
      <c r="WWH26" s="5"/>
      <c r="WWI26" s="4"/>
      <c r="WWJ26" s="28"/>
      <c r="WWK26" s="28"/>
      <c r="WWL26" s="4"/>
      <c r="WWM26" s="4"/>
      <c r="WWN26" s="4"/>
      <c r="WWO26" s="4"/>
      <c r="WWP26" s="4"/>
      <c r="WWQ26" s="4"/>
      <c r="WWR26" s="4"/>
      <c r="WWS26" s="4"/>
      <c r="WWT26" s="4"/>
      <c r="WWU26" s="4"/>
      <c r="WWV26" s="4"/>
      <c r="WWW26" s="4"/>
      <c r="WWX26" s="4"/>
      <c r="WWY26" s="4"/>
      <c r="WWZ26" s="4"/>
      <c r="WXA26" s="4"/>
      <c r="WXB26" s="4"/>
      <c r="WXC26" s="4"/>
      <c r="WXD26" s="4"/>
      <c r="WXE26" s="4"/>
      <c r="WXF26" s="4"/>
      <c r="WXG26" s="4"/>
      <c r="WXH26" s="4"/>
      <c r="WXI26" s="5"/>
      <c r="WXJ26" s="4"/>
      <c r="WXK26" s="28"/>
      <c r="WXL26" s="28"/>
      <c r="WXM26" s="4"/>
      <c r="WXN26" s="4"/>
      <c r="WXO26" s="4"/>
      <c r="WXP26" s="4"/>
      <c r="WXQ26" s="4"/>
      <c r="WXR26" s="4"/>
      <c r="WXS26" s="4"/>
      <c r="WXT26" s="4"/>
      <c r="WXU26" s="4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4"/>
      <c r="WYH26" s="4"/>
      <c r="WYI26" s="4"/>
      <c r="WYJ26" s="5"/>
      <c r="WYK26" s="4"/>
      <c r="WYL26" s="28"/>
      <c r="WYM26" s="28"/>
      <c r="WYN26" s="4"/>
      <c r="WYO26" s="4"/>
      <c r="WYP26" s="4"/>
      <c r="WYQ26" s="4"/>
      <c r="WYR26" s="4"/>
      <c r="WYS26" s="4"/>
      <c r="WYT26" s="4"/>
      <c r="WYU26" s="4"/>
      <c r="WYV26" s="4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4"/>
      <c r="WZI26" s="4"/>
      <c r="WZJ26" s="4"/>
      <c r="WZK26" s="5"/>
      <c r="WZL26" s="4"/>
      <c r="WZM26" s="28"/>
      <c r="WZN26" s="28"/>
      <c r="WZO26" s="4"/>
      <c r="WZP26" s="4"/>
      <c r="WZQ26" s="4"/>
      <c r="WZR26" s="4"/>
      <c r="WZS26" s="4"/>
      <c r="WZT26" s="4"/>
      <c r="WZU26" s="4"/>
      <c r="WZV26" s="4"/>
      <c r="WZW26" s="4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4"/>
      <c r="XAJ26" s="4"/>
      <c r="XAK26" s="4"/>
      <c r="XAL26" s="5"/>
      <c r="XAM26" s="4"/>
      <c r="XAN26" s="28"/>
      <c r="XAO26" s="28"/>
      <c r="XAP26" s="4"/>
      <c r="XAQ26" s="4"/>
      <c r="XAR26" s="4"/>
      <c r="XAS26" s="4"/>
      <c r="XAT26" s="4"/>
      <c r="XAU26" s="4"/>
      <c r="XAV26" s="4"/>
      <c r="XAW26" s="4"/>
      <c r="XAX26" s="4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4"/>
      <c r="XBK26" s="4"/>
      <c r="XBL26" s="4"/>
      <c r="XBM26" s="5"/>
      <c r="XBN26" s="4"/>
      <c r="XBO26" s="28"/>
      <c r="XBP26" s="28"/>
      <c r="XBQ26" s="4"/>
      <c r="XBR26" s="4"/>
      <c r="XBS26" s="4"/>
      <c r="XBT26" s="4"/>
      <c r="XBU26" s="4"/>
      <c r="XBV26" s="4"/>
      <c r="XBW26" s="4"/>
      <c r="XBX26" s="4"/>
      <c r="XBY26" s="4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4"/>
      <c r="XCL26" s="4"/>
      <c r="XCM26" s="4"/>
      <c r="XCN26" s="5"/>
      <c r="XCO26" s="4"/>
      <c r="XCP26" s="28"/>
      <c r="XCQ26" s="28"/>
      <c r="XCR26" s="4"/>
      <c r="XCS26" s="4"/>
      <c r="XCT26" s="4"/>
      <c r="XCU26" s="4"/>
      <c r="XCV26" s="4"/>
      <c r="XCW26" s="4"/>
      <c r="XCX26" s="4"/>
      <c r="XCY26" s="4"/>
      <c r="XCZ26" s="4"/>
      <c r="XDA26" s="4"/>
      <c r="XDB26" s="4"/>
      <c r="XDC26" s="4"/>
      <c r="XDD26" s="4"/>
      <c r="XDE26" s="4"/>
      <c r="XDF26" s="4"/>
      <c r="XDG26" s="4"/>
      <c r="XDH26" s="4"/>
    </row>
    <row r="27" spans="1:16336" ht="60.95" customHeight="1" x14ac:dyDescent="0.25">
      <c r="F27" s="17">
        <f t="shared" si="5"/>
        <v>18</v>
      </c>
      <c r="G27" s="31" t="s">
        <v>89</v>
      </c>
      <c r="H27" s="105" t="s">
        <v>90</v>
      </c>
      <c r="I27" s="106" t="s">
        <v>91</v>
      </c>
      <c r="J27" s="103" t="s">
        <v>92</v>
      </c>
      <c r="K27" s="104" t="s">
        <v>93</v>
      </c>
      <c r="M27" s="4"/>
      <c r="V27" s="100" t="s">
        <v>94</v>
      </c>
    </row>
    <row r="28" spans="1:16336" x14ac:dyDescent="0.25">
      <c r="F28" s="17">
        <f t="shared" si="5"/>
        <v>19</v>
      </c>
      <c r="G28" s="12" t="s">
        <v>95</v>
      </c>
      <c r="H28" s="13">
        <v>0</v>
      </c>
      <c r="I28" s="13">
        <v>0</v>
      </c>
      <c r="J28" s="117">
        <v>0</v>
      </c>
      <c r="K28" s="189">
        <f>H66</f>
        <v>13995</v>
      </c>
      <c r="L28" s="189">
        <f t="shared" ref="L28:U28" si="8">$K$28</f>
        <v>13995</v>
      </c>
      <c r="M28" s="189">
        <f t="shared" si="8"/>
        <v>13995</v>
      </c>
      <c r="N28" s="189">
        <f t="shared" si="8"/>
        <v>13995</v>
      </c>
      <c r="O28" s="189">
        <f t="shared" si="8"/>
        <v>13995</v>
      </c>
      <c r="P28" s="189">
        <f t="shared" si="8"/>
        <v>13995</v>
      </c>
      <c r="Q28" s="189">
        <f t="shared" si="8"/>
        <v>13995</v>
      </c>
      <c r="R28" s="189">
        <f t="shared" si="8"/>
        <v>13995</v>
      </c>
      <c r="S28" s="189">
        <f t="shared" si="8"/>
        <v>13995</v>
      </c>
      <c r="T28" s="189">
        <f t="shared" si="8"/>
        <v>13995</v>
      </c>
      <c r="U28" s="189">
        <f t="shared" si="8"/>
        <v>13995</v>
      </c>
      <c r="V28" s="189">
        <f>$K$28*(1+Dados!$C$22)</f>
        <v>14414.85</v>
      </c>
      <c r="W28" s="13"/>
      <c r="X28" s="13"/>
    </row>
    <row r="29" spans="1:16336" x14ac:dyDescent="0.25">
      <c r="F29" s="17">
        <f t="shared" si="5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16336" ht="47.25" x14ac:dyDescent="0.25">
      <c r="F30" s="17">
        <f t="shared" si="5"/>
        <v>21</v>
      </c>
      <c r="G30" s="31" t="s">
        <v>96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100" t="s">
        <v>97</v>
      </c>
    </row>
    <row r="31" spans="1:16336" x14ac:dyDescent="0.25">
      <c r="F31" s="17">
        <f t="shared" si="5"/>
        <v>22</v>
      </c>
      <c r="G31" s="12" t="s">
        <v>98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114">
        <v>0</v>
      </c>
    </row>
    <row r="32" spans="1:16336" x14ac:dyDescent="0.25">
      <c r="F32" s="17">
        <f t="shared" si="5"/>
        <v>23</v>
      </c>
      <c r="G32" s="12" t="s">
        <v>99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114">
        <f>H96</f>
        <v>213451.40520000001</v>
      </c>
    </row>
    <row r="33" spans="6:24" x14ac:dyDescent="0.25">
      <c r="F33" s="17">
        <f t="shared" si="5"/>
        <v>24</v>
      </c>
    </row>
    <row r="34" spans="6:24" x14ac:dyDescent="0.25">
      <c r="F34" s="17">
        <f t="shared" si="5"/>
        <v>25</v>
      </c>
      <c r="G34" s="33" t="s">
        <v>100</v>
      </c>
    </row>
    <row r="35" spans="6:24" x14ac:dyDescent="0.25">
      <c r="F35" s="17">
        <f t="shared" si="5"/>
        <v>26</v>
      </c>
      <c r="G35" s="156" t="s">
        <v>101</v>
      </c>
    </row>
    <row r="36" spans="6:24" x14ac:dyDescent="0.25">
      <c r="F36" s="17">
        <f t="shared" si="5"/>
        <v>27</v>
      </c>
      <c r="G36" s="12" t="s">
        <v>102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510.8175</v>
      </c>
      <c r="L36" s="13">
        <f>Tributos!$B$5*SUM(L28)</f>
        <v>510.8175</v>
      </c>
      <c r="M36" s="13">
        <f>Tributos!$B$5*SUM(M28)</f>
        <v>510.8175</v>
      </c>
      <c r="N36" s="13">
        <f>Tributos!$B$5*SUM(N28)</f>
        <v>510.8175</v>
      </c>
      <c r="O36" s="13">
        <f>Tributos!$B$5*SUM(O28)</f>
        <v>510.8175</v>
      </c>
      <c r="P36" s="13">
        <f>Tributos!$B$5*SUM(P28)</f>
        <v>510.8175</v>
      </c>
      <c r="Q36" s="13">
        <f>Tributos!$B$5*SUM(Q28)</f>
        <v>510.8175</v>
      </c>
      <c r="R36" s="13">
        <f>Tributos!$B$5*SUM(R28)</f>
        <v>510.8175</v>
      </c>
      <c r="S36" s="13">
        <f>Tributos!$B$5*SUM(S28)</f>
        <v>510.8175</v>
      </c>
      <c r="T36" s="13">
        <f>Tributos!$B$5*SUM(T28)</f>
        <v>510.8175</v>
      </c>
      <c r="U36" s="13">
        <f>Tributos!$B$5*SUM(U28)</f>
        <v>510.8175</v>
      </c>
      <c r="V36" s="13">
        <f>Tributos!$B$5*SUM(V28)</f>
        <v>526.14202499999999</v>
      </c>
      <c r="W36" s="13">
        <f>Tributos!$B$5*SUM(W28)</f>
        <v>0</v>
      </c>
      <c r="X36" s="13">
        <f>Tributos!$B$5*SUM(X28)</f>
        <v>0</v>
      </c>
    </row>
    <row r="37" spans="6:24" x14ac:dyDescent="0.25">
      <c r="F37" s="17">
        <f t="shared" si="5"/>
        <v>28</v>
      </c>
    </row>
    <row r="38" spans="6:24" x14ac:dyDescent="0.25">
      <c r="F38" s="17">
        <f t="shared" si="5"/>
        <v>29</v>
      </c>
      <c r="G38" s="160" t="s">
        <v>103</v>
      </c>
    </row>
    <row r="39" spans="6:24" x14ac:dyDescent="0.25">
      <c r="F39" s="17">
        <f t="shared" si="5"/>
        <v>30</v>
      </c>
      <c r="G39" s="31" t="s">
        <v>104</v>
      </c>
    </row>
    <row r="40" spans="6:24" x14ac:dyDescent="0.25">
      <c r="F40" s="17">
        <f t="shared" si="5"/>
        <v>31</v>
      </c>
      <c r="G40" s="12"/>
      <c r="H40" s="25">
        <f t="shared" ref="H40:U40" si="9">SUM(H28)-H36</f>
        <v>0</v>
      </c>
      <c r="I40" s="25">
        <f t="shared" si="9"/>
        <v>0</v>
      </c>
      <c r="J40" s="25">
        <f t="shared" si="9"/>
        <v>0</v>
      </c>
      <c r="K40" s="25">
        <f t="shared" si="9"/>
        <v>13484.182500000001</v>
      </c>
      <c r="L40" s="25">
        <f t="shared" si="9"/>
        <v>13484.182500000001</v>
      </c>
      <c r="M40" s="25">
        <f t="shared" si="9"/>
        <v>13484.182500000001</v>
      </c>
      <c r="N40" s="25">
        <f t="shared" si="9"/>
        <v>13484.182500000001</v>
      </c>
      <c r="O40" s="25">
        <f t="shared" si="9"/>
        <v>13484.182500000001</v>
      </c>
      <c r="P40" s="25">
        <f t="shared" si="9"/>
        <v>13484.182500000001</v>
      </c>
      <c r="Q40" s="25">
        <f t="shared" si="9"/>
        <v>13484.182500000001</v>
      </c>
      <c r="R40" s="25">
        <f t="shared" si="9"/>
        <v>13484.182500000001</v>
      </c>
      <c r="S40" s="25">
        <f t="shared" si="9"/>
        <v>13484.182500000001</v>
      </c>
      <c r="T40" s="25">
        <f t="shared" si="9"/>
        <v>13484.182500000001</v>
      </c>
      <c r="U40" s="25">
        <f t="shared" si="9"/>
        <v>13484.182500000001</v>
      </c>
      <c r="V40" s="25">
        <f>SUM(V28)-V36</f>
        <v>13888.707975000001</v>
      </c>
      <c r="W40" s="25">
        <f>SUM(W28)-W36</f>
        <v>0</v>
      </c>
      <c r="X40" s="25">
        <f>SUM(X28)-X36</f>
        <v>0</v>
      </c>
    </row>
    <row r="41" spans="6:24" x14ac:dyDescent="0.25">
      <c r="F41" s="17">
        <f t="shared" si="5"/>
        <v>32</v>
      </c>
      <c r="G41" s="31" t="s">
        <v>105</v>
      </c>
    </row>
    <row r="42" spans="6:24" x14ac:dyDescent="0.25">
      <c r="F42" s="17">
        <f t="shared" si="5"/>
        <v>33</v>
      </c>
      <c r="G42" s="12"/>
      <c r="H42" s="25">
        <f>SUM(H31:H32)</f>
        <v>0</v>
      </c>
      <c r="I42" s="25">
        <f t="shared" ref="I42:U42" si="10">SUM(I31:I32)</f>
        <v>0</v>
      </c>
      <c r="J42" s="25">
        <f t="shared" si="10"/>
        <v>0</v>
      </c>
      <c r="K42" s="25">
        <f t="shared" si="10"/>
        <v>0</v>
      </c>
      <c r="L42" s="25">
        <f t="shared" si="10"/>
        <v>0</v>
      </c>
      <c r="M42" s="25">
        <f t="shared" si="10"/>
        <v>0</v>
      </c>
      <c r="N42" s="25">
        <f t="shared" si="10"/>
        <v>0</v>
      </c>
      <c r="O42" s="25">
        <f t="shared" si="10"/>
        <v>0</v>
      </c>
      <c r="P42" s="25">
        <f t="shared" si="10"/>
        <v>0</v>
      </c>
      <c r="Q42" s="25">
        <f t="shared" si="10"/>
        <v>0</v>
      </c>
      <c r="R42" s="25">
        <f t="shared" si="10"/>
        <v>0</v>
      </c>
      <c r="S42" s="25">
        <f t="shared" si="10"/>
        <v>0</v>
      </c>
      <c r="T42" s="25">
        <f t="shared" si="10"/>
        <v>0</v>
      </c>
      <c r="U42" s="25">
        <f t="shared" si="10"/>
        <v>0</v>
      </c>
      <c r="V42" s="25">
        <f>SUM(V31:V32)</f>
        <v>0</v>
      </c>
      <c r="W42" s="25">
        <f>SUM(W31:W32)</f>
        <v>0</v>
      </c>
      <c r="X42" s="25">
        <f>SUM(X31:X32)</f>
        <v>213451.40520000001</v>
      </c>
    </row>
    <row r="43" spans="6:24" x14ac:dyDescent="0.25">
      <c r="F43" s="17">
        <f t="shared" si="5"/>
        <v>34</v>
      </c>
    </row>
    <row r="44" spans="6:24" x14ac:dyDescent="0.25">
      <c r="F44" s="17">
        <f t="shared" si="5"/>
        <v>35</v>
      </c>
      <c r="G44" s="32" t="s">
        <v>106</v>
      </c>
    </row>
    <row r="45" spans="6:24" x14ac:dyDescent="0.25">
      <c r="F45" s="17">
        <f t="shared" si="5"/>
        <v>36</v>
      </c>
      <c r="G45" s="27"/>
      <c r="H45" s="27">
        <f>H28-H13-H11</f>
        <v>0</v>
      </c>
      <c r="I45" s="27">
        <f t="shared" ref="I45:S45" si="11">I28-I13-I11</f>
        <v>-31326.115849050653</v>
      </c>
      <c r="J45" s="27">
        <f t="shared" si="11"/>
        <v>-26404.765849050655</v>
      </c>
      <c r="K45" s="27">
        <f t="shared" si="11"/>
        <v>-12409.765849050655</v>
      </c>
      <c r="L45" s="27">
        <f t="shared" si="11"/>
        <v>-12409.765849050655</v>
      </c>
      <c r="M45" s="27">
        <f t="shared" si="11"/>
        <v>-12409.765849050655</v>
      </c>
      <c r="N45" s="27">
        <f t="shared" si="11"/>
        <v>-12409.765849050655</v>
      </c>
      <c r="O45" s="27">
        <f t="shared" si="11"/>
        <v>-12409.765849050655</v>
      </c>
      <c r="P45" s="27">
        <f t="shared" si="11"/>
        <v>-12409.765849050655</v>
      </c>
      <c r="Q45" s="27">
        <f t="shared" si="11"/>
        <v>-12409.765849050655</v>
      </c>
      <c r="R45" s="27">
        <f t="shared" si="11"/>
        <v>-12409.765849050655</v>
      </c>
      <c r="S45" s="27">
        <f t="shared" si="11"/>
        <v>-12409.765849050655</v>
      </c>
      <c r="T45" s="27">
        <f>T28-T13-T11</f>
        <v>-16881.115849050653</v>
      </c>
      <c r="U45" s="27">
        <f>U28-U13-U11</f>
        <v>13995</v>
      </c>
      <c r="V45" s="27">
        <f>V28-V13-V11</f>
        <v>14414.85</v>
      </c>
      <c r="W45" s="27">
        <f>W28-W13-W11</f>
        <v>0</v>
      </c>
      <c r="X45" s="27">
        <f>X28-X13-X11</f>
        <v>0</v>
      </c>
    </row>
    <row r="46" spans="6:24" x14ac:dyDescent="0.25">
      <c r="F46" s="17">
        <f t="shared" si="5"/>
        <v>37</v>
      </c>
    </row>
    <row r="47" spans="6:24" x14ac:dyDescent="0.25">
      <c r="F47" s="17">
        <f t="shared" si="5"/>
        <v>38</v>
      </c>
    </row>
    <row r="48" spans="6:24" x14ac:dyDescent="0.25">
      <c r="F48" s="17">
        <f t="shared" si="5"/>
        <v>39</v>
      </c>
      <c r="G48" s="33" t="s">
        <v>107</v>
      </c>
    </row>
    <row r="49" spans="6:26" x14ac:dyDescent="0.25">
      <c r="F49" s="17">
        <f t="shared" si="5"/>
        <v>40</v>
      </c>
      <c r="G49" s="33" t="s">
        <v>108</v>
      </c>
    </row>
    <row r="50" spans="6:26" x14ac:dyDescent="0.25">
      <c r="F50" s="17">
        <f t="shared" si="5"/>
        <v>41</v>
      </c>
      <c r="G50" s="27" t="s">
        <v>109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671.76</v>
      </c>
      <c r="L50" s="27">
        <f>Tributos!$B$8*SUM(Cashflow!L28)*32%</f>
        <v>671.76</v>
      </c>
      <c r="M50" s="27">
        <f>Tributos!$B$8*SUM(Cashflow!M28)*32%</f>
        <v>671.76</v>
      </c>
      <c r="N50" s="27">
        <f>Tributos!$B$8*SUM(Cashflow!N28)*32%</f>
        <v>671.76</v>
      </c>
      <c r="O50" s="27">
        <f>Tributos!$B$8*SUM(Cashflow!O28)*32%</f>
        <v>671.76</v>
      </c>
      <c r="P50" s="27">
        <f>Tributos!$B$8*SUM(Cashflow!P28)*32%</f>
        <v>671.76</v>
      </c>
      <c r="Q50" s="27">
        <f>Tributos!$B$8*SUM(Cashflow!Q28)*32%</f>
        <v>671.76</v>
      </c>
      <c r="R50" s="27">
        <f>Tributos!$B$8*SUM(Cashflow!R28)*32%</f>
        <v>671.76</v>
      </c>
      <c r="S50" s="27">
        <f>Tributos!$B$8*SUM(Cashflow!S28)*32%</f>
        <v>671.76</v>
      </c>
      <c r="T50" s="27">
        <f>Tributos!$B$8*SUM(Cashflow!T28)*32%</f>
        <v>671.76</v>
      </c>
      <c r="U50" s="27">
        <f>Tributos!$B$8*SUM(Cashflow!U28)*32%</f>
        <v>671.76</v>
      </c>
      <c r="V50" s="27">
        <f>Tributos!$B$8*SUM(Cashflow!V28)*32%</f>
        <v>691.91279999999995</v>
      </c>
      <c r="W50" s="27">
        <f>Tributos!$B$8*SUM(Cashflow!W28)*32%</f>
        <v>0</v>
      </c>
      <c r="X50" s="27">
        <f>Tributos!$B$8*SUM(Cashflow!X28)*32%</f>
        <v>0</v>
      </c>
    </row>
    <row r="51" spans="6:26" x14ac:dyDescent="0.25">
      <c r="F51" s="17">
        <f t="shared" si="5"/>
        <v>42</v>
      </c>
      <c r="G51" s="27" t="s">
        <v>110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403.05599999999998</v>
      </c>
      <c r="L51" s="27">
        <f>Tributos!$B$9*SUM(Cashflow!L28)*32%</f>
        <v>403.05599999999998</v>
      </c>
      <c r="M51" s="27">
        <f>Tributos!$B$9*SUM(Cashflow!M28)*32%</f>
        <v>403.05599999999998</v>
      </c>
      <c r="N51" s="27">
        <f>Tributos!$B$9*SUM(Cashflow!N28)*32%</f>
        <v>403.05599999999998</v>
      </c>
      <c r="O51" s="27">
        <f>Tributos!$B$9*SUM(Cashflow!O28)*32%</f>
        <v>403.05599999999998</v>
      </c>
      <c r="P51" s="27">
        <f>Tributos!$B$9*SUM(Cashflow!P28)*32%</f>
        <v>403.05599999999998</v>
      </c>
      <c r="Q51" s="27">
        <f>Tributos!$B$9*SUM(Cashflow!Q28)*32%</f>
        <v>403.05599999999998</v>
      </c>
      <c r="R51" s="27">
        <f>Tributos!$B$9*SUM(Cashflow!R28)*32%</f>
        <v>403.05599999999998</v>
      </c>
      <c r="S51" s="27">
        <f>Tributos!$B$9*SUM(Cashflow!S28)*32%</f>
        <v>403.05599999999998</v>
      </c>
      <c r="T51" s="27">
        <f>Tributos!$B$9*SUM(Cashflow!T28)*32%</f>
        <v>403.05599999999998</v>
      </c>
      <c r="U51" s="27">
        <f>Tributos!$B$9*SUM(Cashflow!U28)*32%</f>
        <v>403.05599999999998</v>
      </c>
      <c r="V51" s="27">
        <f>Tributos!$B$9*SUM(Cashflow!V28)*32%</f>
        <v>415.14767999999998</v>
      </c>
      <c r="W51" s="27">
        <f>Tributos!$B$9*SUM(Cashflow!W28)*32%</f>
        <v>0</v>
      </c>
      <c r="X51" s="27">
        <f>Tributos!$B$9*SUM(Cashflow!X28)*32%</f>
        <v>0</v>
      </c>
    </row>
    <row r="52" spans="6:26" x14ac:dyDescent="0.25">
      <c r="F52" s="17">
        <f t="shared" si="5"/>
        <v>43</v>
      </c>
      <c r="G52" s="33" t="s">
        <v>111</v>
      </c>
    </row>
    <row r="53" spans="6:26" x14ac:dyDescent="0.25">
      <c r="F53" s="17">
        <f t="shared" si="5"/>
        <v>44</v>
      </c>
      <c r="G53" s="27" t="s">
        <v>112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196"/>
    </row>
    <row r="54" spans="6:26" x14ac:dyDescent="0.25">
      <c r="F54" s="17">
        <f t="shared" si="5"/>
        <v>45</v>
      </c>
      <c r="G54" s="27" t="s">
        <v>113</v>
      </c>
      <c r="H54" s="27">
        <f>H28*3.2%</f>
        <v>0</v>
      </c>
      <c r="I54" s="27">
        <f t="shared" ref="I54:U54" si="12">I28*3.2%</f>
        <v>0</v>
      </c>
      <c r="J54" s="27">
        <f t="shared" si="12"/>
        <v>0</v>
      </c>
      <c r="K54" s="27">
        <f t="shared" si="12"/>
        <v>447.84000000000003</v>
      </c>
      <c r="L54" s="27">
        <f t="shared" si="12"/>
        <v>447.84000000000003</v>
      </c>
      <c r="M54" s="27">
        <f t="shared" si="12"/>
        <v>447.84000000000003</v>
      </c>
      <c r="N54" s="27">
        <f t="shared" si="12"/>
        <v>447.84000000000003</v>
      </c>
      <c r="O54" s="27">
        <f t="shared" si="12"/>
        <v>447.84000000000003</v>
      </c>
      <c r="P54" s="27">
        <f t="shared" si="12"/>
        <v>447.84000000000003</v>
      </c>
      <c r="Q54" s="27">
        <f t="shared" si="12"/>
        <v>447.84000000000003</v>
      </c>
      <c r="R54" s="27">
        <f t="shared" si="12"/>
        <v>447.84000000000003</v>
      </c>
      <c r="S54" s="27">
        <f t="shared" si="12"/>
        <v>447.84000000000003</v>
      </c>
      <c r="T54" s="27">
        <f t="shared" si="12"/>
        <v>447.84000000000003</v>
      </c>
      <c r="U54" s="27">
        <f t="shared" si="12"/>
        <v>447.84000000000003</v>
      </c>
      <c r="V54" s="27">
        <f>V28*3.2%</f>
        <v>461.27520000000004</v>
      </c>
      <c r="W54" s="27">
        <f>W28*3.2%</f>
        <v>0</v>
      </c>
      <c r="X54" s="196"/>
    </row>
    <row r="55" spans="6:26" x14ac:dyDescent="0.25">
      <c r="F55" s="17"/>
      <c r="G55" s="27" t="s">
        <v>102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196"/>
    </row>
    <row r="56" spans="6:26" x14ac:dyDescent="0.25">
      <c r="F56" s="17">
        <f>F54+1</f>
        <v>46</v>
      </c>
      <c r="G56" s="27" t="s">
        <v>114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196"/>
    </row>
    <row r="57" spans="6:26" x14ac:dyDescent="0.25">
      <c r="F57" s="17">
        <f>F56+1</f>
        <v>47</v>
      </c>
    </row>
    <row r="58" spans="6:26" x14ac:dyDescent="0.25">
      <c r="F58" s="17">
        <f t="shared" si="5"/>
        <v>48</v>
      </c>
      <c r="G58" s="165" t="s">
        <v>115</v>
      </c>
    </row>
    <row r="59" spans="6:26" x14ac:dyDescent="0.25">
      <c r="F59" s="17">
        <f t="shared" si="5"/>
        <v>49</v>
      </c>
      <c r="G59" s="27" t="s">
        <v>116</v>
      </c>
      <c r="H59" s="27">
        <f>H45-H50-H51-H54</f>
        <v>0</v>
      </c>
      <c r="I59" s="27">
        <f t="shared" ref="I59:U59" si="13">I45-I50-I51-I54</f>
        <v>-31326.115849050653</v>
      </c>
      <c r="J59" s="27">
        <f t="shared" si="13"/>
        <v>-26404.765849050655</v>
      </c>
      <c r="K59" s="27">
        <f t="shared" si="13"/>
        <v>-13932.421849050656</v>
      </c>
      <c r="L59" s="27">
        <f t="shared" si="13"/>
        <v>-13932.421849050656</v>
      </c>
      <c r="M59" s="27">
        <f t="shared" si="13"/>
        <v>-13932.421849050656</v>
      </c>
      <c r="N59" s="27">
        <f t="shared" si="13"/>
        <v>-13932.421849050656</v>
      </c>
      <c r="O59" s="27">
        <f t="shared" si="13"/>
        <v>-13932.421849050656</v>
      </c>
      <c r="P59" s="27">
        <f t="shared" si="13"/>
        <v>-13932.421849050656</v>
      </c>
      <c r="Q59" s="27">
        <f t="shared" si="13"/>
        <v>-13932.421849050656</v>
      </c>
      <c r="R59" s="27">
        <f t="shared" si="13"/>
        <v>-13932.421849050656</v>
      </c>
      <c r="S59" s="27">
        <f t="shared" si="13"/>
        <v>-13932.421849050656</v>
      </c>
      <c r="T59" s="27">
        <f t="shared" si="13"/>
        <v>-18403.771849050652</v>
      </c>
      <c r="U59" s="27">
        <f t="shared" si="13"/>
        <v>12472.343999999999</v>
      </c>
      <c r="V59" s="27">
        <f>V45-V50-V51-V54</f>
        <v>12846.51432</v>
      </c>
      <c r="W59" s="27">
        <f>W45-W50-W51-W54</f>
        <v>0</v>
      </c>
      <c r="X59" s="27">
        <f>X45-X50-X51-X54</f>
        <v>0</v>
      </c>
    </row>
    <row r="60" spans="6:26" x14ac:dyDescent="0.25">
      <c r="F60" s="17">
        <f t="shared" si="5"/>
        <v>50</v>
      </c>
      <c r="G60" s="27" t="s">
        <v>117</v>
      </c>
      <c r="H60" s="27">
        <f t="shared" ref="H60:U60" si="14">H42-H53-H54-H56</f>
        <v>0</v>
      </c>
      <c r="I60" s="27">
        <f t="shared" si="14"/>
        <v>0</v>
      </c>
      <c r="J60" s="27">
        <f t="shared" si="14"/>
        <v>0</v>
      </c>
      <c r="K60" s="27">
        <f t="shared" si="14"/>
        <v>-447.84000000000003</v>
      </c>
      <c r="L60" s="27">
        <f t="shared" si="14"/>
        <v>-447.84000000000003</v>
      </c>
      <c r="M60" s="27">
        <f t="shared" si="14"/>
        <v>-447.84000000000003</v>
      </c>
      <c r="N60" s="27">
        <f t="shared" si="14"/>
        <v>-447.84000000000003</v>
      </c>
      <c r="O60" s="27">
        <f t="shared" si="14"/>
        <v>-447.84000000000003</v>
      </c>
      <c r="P60" s="27">
        <f t="shared" si="14"/>
        <v>-447.84000000000003</v>
      </c>
      <c r="Q60" s="27">
        <f t="shared" si="14"/>
        <v>-447.84000000000003</v>
      </c>
      <c r="R60" s="27">
        <f t="shared" si="14"/>
        <v>-447.84000000000003</v>
      </c>
      <c r="S60" s="27">
        <f t="shared" si="14"/>
        <v>-447.84000000000003</v>
      </c>
      <c r="T60" s="27">
        <f t="shared" si="14"/>
        <v>-447.84000000000003</v>
      </c>
      <c r="U60" s="27">
        <f t="shared" si="14"/>
        <v>-447.84000000000003</v>
      </c>
      <c r="V60" s="27">
        <f>V42-V53-V54-V56</f>
        <v>-461.27520000000004</v>
      </c>
      <c r="W60" s="27">
        <f>W42-W53-W54-W56</f>
        <v>0</v>
      </c>
      <c r="X60" s="27">
        <f>X42-X53-X54-X56</f>
        <v>213451.40520000001</v>
      </c>
    </row>
    <row r="61" spans="6:26" x14ac:dyDescent="0.25">
      <c r="F61" s="17">
        <f t="shared" si="5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spans="6:26" x14ac:dyDescent="0.25">
      <c r="F62" s="17">
        <f t="shared" si="5"/>
        <v>52</v>
      </c>
      <c r="G62" s="32" t="s">
        <v>118</v>
      </c>
    </row>
    <row r="63" spans="6:26" x14ac:dyDescent="0.25">
      <c r="F63" s="17">
        <f t="shared" si="5"/>
        <v>53</v>
      </c>
      <c r="G63" s="27"/>
      <c r="H63" s="27">
        <f t="shared" ref="H63:W63" si="15">H59+H31+H32</f>
        <v>0</v>
      </c>
      <c r="I63" s="27">
        <f t="shared" si="15"/>
        <v>-31326.115849050653</v>
      </c>
      <c r="J63" s="27">
        <f t="shared" si="15"/>
        <v>-26404.765849050655</v>
      </c>
      <c r="K63" s="27">
        <f t="shared" si="15"/>
        <v>-13932.421849050656</v>
      </c>
      <c r="L63" s="27">
        <f t="shared" si="15"/>
        <v>-13932.421849050656</v>
      </c>
      <c r="M63" s="27">
        <f t="shared" si="15"/>
        <v>-13932.421849050656</v>
      </c>
      <c r="N63" s="27">
        <f t="shared" si="15"/>
        <v>-13932.421849050656</v>
      </c>
      <c r="O63" s="27">
        <f t="shared" si="15"/>
        <v>-13932.421849050656</v>
      </c>
      <c r="P63" s="27">
        <f t="shared" si="15"/>
        <v>-13932.421849050656</v>
      </c>
      <c r="Q63" s="27">
        <f t="shared" si="15"/>
        <v>-13932.421849050656</v>
      </c>
      <c r="R63" s="27">
        <f t="shared" si="15"/>
        <v>-13932.421849050656</v>
      </c>
      <c r="S63" s="27">
        <f t="shared" si="15"/>
        <v>-13932.421849050656</v>
      </c>
      <c r="T63" s="27">
        <f t="shared" si="15"/>
        <v>-18403.771849050652</v>
      </c>
      <c r="U63" s="27">
        <f t="shared" si="15"/>
        <v>12472.343999999999</v>
      </c>
      <c r="V63" s="27">
        <f t="shared" si="15"/>
        <v>12846.51432</v>
      </c>
      <c r="W63" s="27">
        <f t="shared" si="15"/>
        <v>0</v>
      </c>
      <c r="X63" s="27">
        <f t="shared" ref="X63" si="16">X59+X31+X32</f>
        <v>213451.40520000001</v>
      </c>
      <c r="Z63" s="28">
        <f>SUM(H63:X63)</f>
        <v>37243.813331392157</v>
      </c>
    </row>
    <row r="64" spans="6:26" x14ac:dyDescent="0.25">
      <c r="F64" s="17">
        <f t="shared" si="5"/>
        <v>54</v>
      </c>
    </row>
    <row r="65" spans="6:10" x14ac:dyDescent="0.25">
      <c r="F65" s="17">
        <f t="shared" si="5"/>
        <v>55</v>
      </c>
    </row>
    <row r="66" spans="6:10" x14ac:dyDescent="0.25">
      <c r="F66" s="17">
        <f t="shared" si="5"/>
        <v>56</v>
      </c>
      <c r="G66" s="16" t="s">
        <v>119</v>
      </c>
      <c r="H66" s="190">
        <v>13995</v>
      </c>
    </row>
    <row r="67" spans="6:10" x14ac:dyDescent="0.25">
      <c r="F67" s="17">
        <f t="shared" si="5"/>
        <v>57</v>
      </c>
    </row>
    <row r="68" spans="6:10" x14ac:dyDescent="0.25">
      <c r="F68" s="17">
        <f t="shared" si="5"/>
        <v>58</v>
      </c>
      <c r="G68" s="16" t="s">
        <v>120</v>
      </c>
      <c r="H68" s="46">
        <v>0.27</v>
      </c>
    </row>
    <row r="69" spans="6:10" x14ac:dyDescent="0.25">
      <c r="F69" s="17">
        <f t="shared" si="5"/>
        <v>59</v>
      </c>
      <c r="J69">
        <f>3540/3570</f>
        <v>0.99159663865546221</v>
      </c>
    </row>
    <row r="70" spans="6:10" x14ac:dyDescent="0.25">
      <c r="F70" s="17">
        <f t="shared" si="5"/>
        <v>60</v>
      </c>
      <c r="G70" s="16" t="s">
        <v>121</v>
      </c>
      <c r="H70" s="46">
        <f>(1+H68)^(1/12)-1</f>
        <v>2.0117763495523189E-2</v>
      </c>
      <c r="J70">
        <v>3530</v>
      </c>
    </row>
    <row r="71" spans="6:10" x14ac:dyDescent="0.25">
      <c r="F71" s="17">
        <f t="shared" si="5"/>
        <v>61</v>
      </c>
      <c r="J71">
        <f>3530/3570</f>
        <v>0.98879551820728295</v>
      </c>
    </row>
    <row r="72" spans="6:10" x14ac:dyDescent="0.25">
      <c r="F72" s="17">
        <f t="shared" si="5"/>
        <v>62</v>
      </c>
      <c r="G72" s="16" t="s">
        <v>122</v>
      </c>
      <c r="H72" s="34">
        <f>NPV(H70,H63:X63)</f>
        <v>-5138.6784699335913</v>
      </c>
    </row>
    <row r="73" spans="6:10" x14ac:dyDescent="0.25">
      <c r="F73" s="17">
        <f t="shared" si="5"/>
        <v>63</v>
      </c>
    </row>
    <row r="74" spans="6:10" x14ac:dyDescent="0.25">
      <c r="F74" s="17">
        <f t="shared" si="5"/>
        <v>64</v>
      </c>
      <c r="G74" s="16" t="s">
        <v>123</v>
      </c>
      <c r="H74" s="204">
        <f>IRR(H63:X63,0.1)</f>
        <v>1.7137032716583844E-2</v>
      </c>
    </row>
    <row r="75" spans="6:10" x14ac:dyDescent="0.25">
      <c r="F75" s="17">
        <f t="shared" si="5"/>
        <v>65</v>
      </c>
    </row>
    <row r="76" spans="6:10" x14ac:dyDescent="0.25">
      <c r="F76" s="17">
        <f t="shared" si="5"/>
        <v>66</v>
      </c>
      <c r="G76" s="225" t="s">
        <v>124</v>
      </c>
      <c r="H76">
        <v>36</v>
      </c>
      <c r="I76">
        <v>48</v>
      </c>
    </row>
    <row r="77" spans="6:10" x14ac:dyDescent="0.25">
      <c r="F77" s="17">
        <f t="shared" ref="F77" si="17">F76+1</f>
        <v>67</v>
      </c>
      <c r="G77" s="43" t="s">
        <v>125</v>
      </c>
      <c r="H77">
        <v>3950</v>
      </c>
      <c r="I77">
        <v>3570</v>
      </c>
    </row>
    <row r="78" spans="6:10" x14ac:dyDescent="0.25">
      <c r="H78" s="176">
        <v>3570</v>
      </c>
      <c r="I78" s="176">
        <f>H77-H78</f>
        <v>380</v>
      </c>
      <c r="J78" s="176">
        <f>I78*43</f>
        <v>16340</v>
      </c>
    </row>
    <row r="79" spans="6:10" x14ac:dyDescent="0.25">
      <c r="H79" s="26">
        <f>(H78/H77)-1</f>
        <v>-9.6202531645569578E-2</v>
      </c>
      <c r="J79" s="176">
        <f>J78*12</f>
        <v>196080</v>
      </c>
    </row>
    <row r="80" spans="6:10" x14ac:dyDescent="0.25">
      <c r="G80" s="236" t="s">
        <v>126</v>
      </c>
      <c r="H80" s="236"/>
      <c r="J80" s="176">
        <f>J79*3</f>
        <v>588240</v>
      </c>
    </row>
    <row r="81" spans="7:8" x14ac:dyDescent="0.25">
      <c r="G81" t="s">
        <v>127</v>
      </c>
      <c r="H81" s="126">
        <f>SUM(H21:X21)</f>
        <v>92812.5</v>
      </c>
    </row>
    <row r="82" spans="7:8" x14ac:dyDescent="0.25">
      <c r="G82" s="234" t="s">
        <v>128</v>
      </c>
      <c r="H82" s="235"/>
    </row>
    <row r="83" spans="7:8" x14ac:dyDescent="0.25">
      <c r="G83" s="161" t="s">
        <v>129</v>
      </c>
      <c r="H83" s="162">
        <f>Dados!C32</f>
        <v>297000</v>
      </c>
    </row>
    <row r="84" spans="7:8" x14ac:dyDescent="0.25">
      <c r="G84" s="161" t="s">
        <v>130</v>
      </c>
      <c r="H84" s="162">
        <f>SUM(J21:X21)</f>
        <v>92812.5</v>
      </c>
    </row>
    <row r="85" spans="7:8" x14ac:dyDescent="0.25">
      <c r="G85" t="s">
        <v>131</v>
      </c>
      <c r="H85" s="126">
        <f>H83-H84</f>
        <v>204187.5</v>
      </c>
    </row>
    <row r="86" spans="7:8" x14ac:dyDescent="0.25">
      <c r="H86" s="126"/>
    </row>
    <row r="87" spans="7:8" x14ac:dyDescent="0.25">
      <c r="G87" s="161" t="s">
        <v>132</v>
      </c>
      <c r="H87" s="162">
        <f>Dados!C36</f>
        <v>218223.72</v>
      </c>
    </row>
    <row r="88" spans="7:8" x14ac:dyDescent="0.25">
      <c r="H88" s="126"/>
    </row>
    <row r="89" spans="7:8" ht="29.1" customHeight="1" x14ac:dyDescent="0.25">
      <c r="G89" t="s">
        <v>133</v>
      </c>
      <c r="H89" s="126">
        <f>H87-H85</f>
        <v>14036.220000000001</v>
      </c>
    </row>
    <row r="90" spans="7:8" ht="31.5" x14ac:dyDescent="0.25">
      <c r="G90" s="163" t="s">
        <v>134</v>
      </c>
      <c r="H90" s="164">
        <f>IF(H89&gt;0,H89,0)</f>
        <v>14036.220000000001</v>
      </c>
    </row>
    <row r="91" spans="7:8" x14ac:dyDescent="0.25">
      <c r="G91" s="232" t="s">
        <v>135</v>
      </c>
      <c r="H91" s="233"/>
    </row>
    <row r="92" spans="7:8" x14ac:dyDescent="0.25">
      <c r="G92" s="27" t="s">
        <v>112</v>
      </c>
      <c r="H92" s="202">
        <f>$H$90*15%</f>
        <v>2105.433</v>
      </c>
    </row>
    <row r="93" spans="7:8" x14ac:dyDescent="0.25">
      <c r="G93" s="27" t="s">
        <v>113</v>
      </c>
      <c r="H93" s="202">
        <f>H90*10%</f>
        <v>1403.6220000000003</v>
      </c>
    </row>
    <row r="94" spans="7:8" x14ac:dyDescent="0.25">
      <c r="G94" s="27" t="s">
        <v>114</v>
      </c>
      <c r="H94" s="202">
        <f>H90*9%</f>
        <v>1263.2598</v>
      </c>
    </row>
    <row r="95" spans="7:8" x14ac:dyDescent="0.25">
      <c r="G95" s="203" t="s">
        <v>136</v>
      </c>
      <c r="H95" s="202">
        <f>SUM(H92:H94)</f>
        <v>4772.3148000000001</v>
      </c>
    </row>
    <row r="96" spans="7:8" x14ac:dyDescent="0.25">
      <c r="G96" s="203" t="s">
        <v>137</v>
      </c>
      <c r="H96" s="202">
        <f>H87-H95</f>
        <v>213451.40520000001</v>
      </c>
    </row>
  </sheetData>
  <mergeCells count="6">
    <mergeCell ref="G1:H1"/>
    <mergeCell ref="G5:H5"/>
    <mergeCell ref="J5:U5"/>
    <mergeCell ref="G91:H91"/>
    <mergeCell ref="G82:H82"/>
    <mergeCell ref="G80:H80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opLeftCell="A81" workbookViewId="0">
      <selection activeCell="B38" sqref="B38"/>
    </sheetView>
  </sheetViews>
  <sheetFormatPr defaultColWidth="11" defaultRowHeight="15.75" x14ac:dyDescent="0.2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 x14ac:dyDescent="0.25">
      <c r="A1" s="246" t="s">
        <v>138</v>
      </c>
      <c r="B1" s="246"/>
      <c r="C1" s="246"/>
      <c r="D1" s="246"/>
      <c r="E1" s="246"/>
      <c r="F1" s="246"/>
    </row>
    <row r="2" spans="1:34" ht="20.100000000000001" customHeight="1" x14ac:dyDescent="0.25">
      <c r="A2" s="246"/>
      <c r="B2" s="246"/>
      <c r="C2" s="246"/>
      <c r="D2" s="246"/>
      <c r="E2" s="246"/>
      <c r="F2" s="246"/>
    </row>
    <row r="3" spans="1:34" hidden="1" x14ac:dyDescent="0.25">
      <c r="A3" s="247" t="s">
        <v>139</v>
      </c>
      <c r="B3" s="247"/>
      <c r="C3" s="248" t="s">
        <v>140</v>
      </c>
      <c r="D3" s="249">
        <v>12</v>
      </c>
    </row>
    <row r="4" spans="1:34" ht="30.95" hidden="1" customHeight="1" x14ac:dyDescent="0.25">
      <c r="A4" s="247"/>
      <c r="B4" s="247"/>
      <c r="C4" s="248"/>
      <c r="D4" s="249"/>
    </row>
    <row r="5" spans="1:34" ht="30" hidden="1" customHeight="1" x14ac:dyDescent="0.25">
      <c r="A5" s="247"/>
      <c r="B5" s="247"/>
      <c r="C5" s="123" t="s">
        <v>14</v>
      </c>
      <c r="D5" s="124">
        <v>3</v>
      </c>
    </row>
    <row r="6" spans="1:34" ht="44.1" hidden="1" customHeight="1" x14ac:dyDescent="0.25">
      <c r="A6" s="247"/>
      <c r="B6" s="247"/>
      <c r="C6" s="125" t="s">
        <v>141</v>
      </c>
      <c r="D6" s="124">
        <f>D3+D5</f>
        <v>15</v>
      </c>
    </row>
    <row r="7" spans="1:34" ht="30" hidden="1" customHeight="1" thickBot="1" x14ac:dyDescent="0.3"/>
    <row r="8" spans="1:34" hidden="1" x14ac:dyDescent="0.25">
      <c r="A8" s="250" t="s">
        <v>142</v>
      </c>
      <c r="B8" s="25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6.5" hidden="1" thickBot="1" x14ac:dyDescent="0.3">
      <c r="A9" s="7" t="s">
        <v>143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 x14ac:dyDescent="0.25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 x14ac:dyDescent="0.25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 x14ac:dyDescent="0.25">
      <c r="A13" s="12" t="s">
        <v>144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 x14ac:dyDescent="0.25"/>
    <row r="15" spans="1:34" hidden="1" x14ac:dyDescent="0.25">
      <c r="A15" s="252" t="s">
        <v>145</v>
      </c>
      <c r="B15" s="253"/>
      <c r="E15" s="4"/>
      <c r="I15" s="4"/>
      <c r="J15" s="4"/>
      <c r="K15" s="6"/>
      <c r="AH15" s="4"/>
    </row>
    <row r="16" spans="1:34" hidden="1" x14ac:dyDescent="0.25">
      <c r="A16" s="71" t="s">
        <v>146</v>
      </c>
      <c r="B16" s="70">
        <v>1</v>
      </c>
      <c r="E16" s="4"/>
      <c r="I16" s="4"/>
      <c r="J16" s="4"/>
      <c r="K16" s="6"/>
      <c r="AH16" s="4"/>
    </row>
    <row r="17" spans="1:34" ht="16.5" hidden="1" thickBot="1" x14ac:dyDescent="0.3">
      <c r="A17" s="9" t="s">
        <v>147</v>
      </c>
      <c r="B17" s="10">
        <f>B16*B9</f>
        <v>260000</v>
      </c>
      <c r="AH17" s="4"/>
    </row>
    <row r="18" spans="1:34" hidden="1" x14ac:dyDescent="0.25"/>
    <row r="19" spans="1:34" hidden="1" x14ac:dyDescent="0.25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 x14ac:dyDescent="0.25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 x14ac:dyDescent="0.25">
      <c r="A21" s="12" t="s">
        <v>144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 x14ac:dyDescent="0.25">
      <c r="A22" s="198" t="s">
        <v>148</v>
      </c>
      <c r="B22" s="131" t="s">
        <v>149</v>
      </c>
      <c r="C22" s="131" t="s">
        <v>150</v>
      </c>
      <c r="D22" s="131" t="s">
        <v>151</v>
      </c>
      <c r="E22" s="132" t="s">
        <v>152</v>
      </c>
      <c r="F22" s="132" t="s">
        <v>153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199" t="s">
        <v>154</v>
      </c>
      <c r="B23" s="136">
        <v>1</v>
      </c>
      <c r="C23" s="136">
        <v>9.9000000000000008E-3</v>
      </c>
      <c r="D23" s="200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199" t="s">
        <v>155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178"/>
      <c r="B25" s="135" t="s">
        <v>156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127" t="s">
        <v>157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139" t="s">
        <v>158</v>
      </c>
      <c r="B27" s="140">
        <v>0</v>
      </c>
      <c r="C27" s="141" t="s">
        <v>159</v>
      </c>
      <c r="D27" s="141" t="s">
        <v>159</v>
      </c>
      <c r="E27" s="142" t="s">
        <v>159</v>
      </c>
      <c r="F27" s="142" t="s">
        <v>159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55" t="s">
        <v>160</v>
      </c>
      <c r="B28" s="138">
        <f>Dados!C29</f>
        <v>275000</v>
      </c>
      <c r="C28" s="138"/>
      <c r="D28" s="138"/>
      <c r="E28" s="138"/>
      <c r="F28" s="138"/>
    </row>
    <row r="29" spans="1:34" x14ac:dyDescent="0.25">
      <c r="A29" s="55" t="s">
        <v>161</v>
      </c>
      <c r="B29" s="138">
        <f>Dados!C30</f>
        <v>22000</v>
      </c>
      <c r="C29" s="138"/>
      <c r="D29" s="138"/>
      <c r="E29" s="138"/>
      <c r="F29" s="138"/>
    </row>
    <row r="30" spans="1:34" ht="15" customHeight="1" x14ac:dyDescent="0.25">
      <c r="A30" s="247" t="str">
        <f>Dados!A29</f>
        <v>express</v>
      </c>
      <c r="B30" s="247"/>
      <c r="C30" s="255" t="s">
        <v>140</v>
      </c>
      <c r="D30" s="254">
        <f>Dados!C13</f>
        <v>12</v>
      </c>
    </row>
    <row r="31" spans="1:34" ht="32.1" customHeight="1" x14ac:dyDescent="0.25">
      <c r="A31" s="247"/>
      <c r="B31" s="247"/>
      <c r="C31" s="255"/>
      <c r="D31" s="254"/>
    </row>
    <row r="32" spans="1:34" ht="51.95" customHeight="1" x14ac:dyDescent="0.25">
      <c r="A32" s="247"/>
      <c r="B32" s="247"/>
      <c r="C32" s="110" t="s">
        <v>14</v>
      </c>
      <c r="D32" s="109">
        <f>Dados!C9</f>
        <v>2</v>
      </c>
    </row>
    <row r="33" spans="1:65" ht="78.75" x14ac:dyDescent="0.25">
      <c r="A33" s="247"/>
      <c r="B33" s="247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 x14ac:dyDescent="0.25">
      <c r="A34" s="247"/>
      <c r="B34" s="247"/>
      <c r="C34" s="108" t="s">
        <v>141</v>
      </c>
      <c r="D34" s="109">
        <f>Dados!C13+Dados!C9+Dados!C11</f>
        <v>16</v>
      </c>
    </row>
    <row r="35" spans="1:65" ht="24" customHeight="1" thickBot="1" x14ac:dyDescent="0.3"/>
    <row r="36" spans="1:65" x14ac:dyDescent="0.25">
      <c r="A36" s="250" t="s">
        <v>162</v>
      </c>
      <c r="B36" s="251"/>
      <c r="C36" s="5"/>
      <c r="D36" s="5">
        <f>B37/4</f>
        <v>74250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6.5" thickBot="1" x14ac:dyDescent="0.3">
      <c r="A37" s="7" t="s">
        <v>143</v>
      </c>
      <c r="B37" s="8">
        <f>((B28+B29)*B23)-B58-B78</f>
        <v>297000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 x14ac:dyDescent="0.25">
      <c r="A38" s="5" t="s">
        <v>163</v>
      </c>
      <c r="B38" s="35">
        <v>1.01E-2</v>
      </c>
      <c r="C38" s="5"/>
      <c r="D38" s="22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 x14ac:dyDescent="0.25">
      <c r="A39" s="5"/>
      <c r="B39" s="14">
        <f>Cashflow!H7</f>
        <v>43466</v>
      </c>
      <c r="C39" s="14">
        <f>EDATE(B39,1)</f>
        <v>43497</v>
      </c>
      <c r="D39" s="14">
        <f t="shared" ref="D39:AP39" si="3">EDATE(C39,1)</f>
        <v>43525</v>
      </c>
      <c r="E39" s="14">
        <f t="shared" si="3"/>
        <v>43556</v>
      </c>
      <c r="F39" s="14">
        <f t="shared" si="3"/>
        <v>43586</v>
      </c>
      <c r="G39" s="14">
        <f t="shared" si="3"/>
        <v>43617</v>
      </c>
      <c r="H39" s="14">
        <f t="shared" si="3"/>
        <v>43647</v>
      </c>
      <c r="I39" s="14">
        <f t="shared" si="3"/>
        <v>43678</v>
      </c>
      <c r="J39" s="14">
        <f t="shared" si="3"/>
        <v>43709</v>
      </c>
      <c r="K39" s="14">
        <f t="shared" si="3"/>
        <v>43739</v>
      </c>
      <c r="L39" s="14">
        <f t="shared" si="3"/>
        <v>43770</v>
      </c>
      <c r="M39" s="14">
        <f t="shared" si="3"/>
        <v>43800</v>
      </c>
      <c r="N39" s="14">
        <f t="shared" si="3"/>
        <v>43831</v>
      </c>
      <c r="O39" s="14">
        <f t="shared" si="3"/>
        <v>43862</v>
      </c>
      <c r="P39" s="14">
        <f t="shared" si="3"/>
        <v>43891</v>
      </c>
      <c r="Q39" s="14">
        <f t="shared" si="3"/>
        <v>43922</v>
      </c>
      <c r="R39" s="14">
        <f t="shared" si="3"/>
        <v>43952</v>
      </c>
      <c r="S39" s="14">
        <f t="shared" si="3"/>
        <v>43983</v>
      </c>
      <c r="T39" s="14">
        <f t="shared" si="3"/>
        <v>44013</v>
      </c>
      <c r="U39" s="14">
        <f t="shared" si="3"/>
        <v>44044</v>
      </c>
      <c r="V39" s="14">
        <f t="shared" si="3"/>
        <v>44075</v>
      </c>
      <c r="W39" s="14">
        <f t="shared" si="3"/>
        <v>44105</v>
      </c>
      <c r="X39" s="14">
        <f t="shared" si="3"/>
        <v>44136</v>
      </c>
      <c r="Y39" s="14">
        <f t="shared" si="3"/>
        <v>44166</v>
      </c>
      <c r="Z39" s="14">
        <f t="shared" si="3"/>
        <v>44197</v>
      </c>
      <c r="AA39" s="14">
        <f t="shared" si="3"/>
        <v>44228</v>
      </c>
      <c r="AB39" s="14">
        <f t="shared" si="3"/>
        <v>44256</v>
      </c>
      <c r="AC39" s="14">
        <f t="shared" si="3"/>
        <v>44287</v>
      </c>
      <c r="AD39" s="14">
        <f t="shared" si="3"/>
        <v>44317</v>
      </c>
      <c r="AE39" s="14">
        <f t="shared" si="3"/>
        <v>44348</v>
      </c>
      <c r="AF39" s="14">
        <f t="shared" si="3"/>
        <v>44378</v>
      </c>
      <c r="AG39" s="14">
        <f t="shared" si="3"/>
        <v>44409</v>
      </c>
      <c r="AH39" s="14">
        <f>EDATE(AG39,1)</f>
        <v>44440</v>
      </c>
      <c r="AI39" s="14">
        <f t="shared" si="3"/>
        <v>44470</v>
      </c>
      <c r="AJ39" s="14">
        <f t="shared" si="3"/>
        <v>44501</v>
      </c>
      <c r="AK39" s="14">
        <f t="shared" si="3"/>
        <v>44531</v>
      </c>
      <c r="AL39" s="14">
        <f t="shared" si="3"/>
        <v>44562</v>
      </c>
      <c r="AM39" s="14">
        <f t="shared" si="3"/>
        <v>44593</v>
      </c>
      <c r="AN39" s="14">
        <f t="shared" si="3"/>
        <v>44621</v>
      </c>
      <c r="AO39" s="14">
        <f t="shared" si="3"/>
        <v>44652</v>
      </c>
      <c r="AP39" s="14">
        <f t="shared" si="3"/>
        <v>44682</v>
      </c>
      <c r="AQ39" s="14">
        <f t="shared" ref="AQ39" si="4">EDATE(AP39,1)</f>
        <v>44713</v>
      </c>
      <c r="AR39" s="14">
        <f t="shared" ref="AR39" si="5">EDATE(AQ39,1)</f>
        <v>44743</v>
      </c>
      <c r="AS39" s="14">
        <f t="shared" ref="AS39" si="6">EDATE(AR39,1)</f>
        <v>44774</v>
      </c>
      <c r="AT39" s="14">
        <f t="shared" ref="AT39" si="7">EDATE(AS39,1)</f>
        <v>44805</v>
      </c>
      <c r="AU39" s="14">
        <f t="shared" ref="AU39" si="8">EDATE(AT39,1)</f>
        <v>44835</v>
      </c>
      <c r="AV39" s="14">
        <f t="shared" ref="AV39" si="9">EDATE(AU39,1)</f>
        <v>44866</v>
      </c>
      <c r="AW39" s="14">
        <f t="shared" ref="AW39" si="10">EDATE(AV39,1)</f>
        <v>44896</v>
      </c>
      <c r="AX39" s="14">
        <f t="shared" ref="AX39" si="11">EDATE(AW39,1)</f>
        <v>44927</v>
      </c>
      <c r="AY39" s="14">
        <f t="shared" ref="AY39" si="12">EDATE(AX39,1)</f>
        <v>44958</v>
      </c>
      <c r="AZ39" s="14">
        <f t="shared" ref="AZ39" si="13">EDATE(AY39,1)</f>
        <v>44986</v>
      </c>
      <c r="BA39" s="14">
        <f t="shared" ref="BA39" si="14">EDATE(AZ39,1)</f>
        <v>45017</v>
      </c>
      <c r="BB39" s="211">
        <f t="shared" ref="BB39" si="15">EDATE(BA39,1)</f>
        <v>45047</v>
      </c>
      <c r="BC39" s="14">
        <f t="shared" ref="BC39" si="16">EDATE(BB39,1)</f>
        <v>45078</v>
      </c>
      <c r="BD39" s="14">
        <f t="shared" ref="BD39" si="17">EDATE(BC39,1)</f>
        <v>45108</v>
      </c>
      <c r="BE39" s="14">
        <f t="shared" ref="BE39" si="18">EDATE(BD39,1)</f>
        <v>45139</v>
      </c>
      <c r="BF39" s="14">
        <f t="shared" ref="BF39" si="19">EDATE(BE39,1)</f>
        <v>45170</v>
      </c>
      <c r="BG39" s="14">
        <f t="shared" ref="BG39" si="20">EDATE(BF39,1)</f>
        <v>45200</v>
      </c>
      <c r="BH39" s="14">
        <f t="shared" ref="BH39" si="21">EDATE(BG39,1)</f>
        <v>45231</v>
      </c>
      <c r="BI39" s="14">
        <f t="shared" ref="BI39" si="22">EDATE(BH39,1)</f>
        <v>45261</v>
      </c>
      <c r="BJ39" s="14">
        <f t="shared" ref="BJ39" si="23">EDATE(BI39,1)</f>
        <v>45292</v>
      </c>
      <c r="BK39" s="14">
        <f t="shared" ref="BK39" si="24">EDATE(BJ39,1)</f>
        <v>45323</v>
      </c>
    </row>
    <row r="40" spans="1:65" x14ac:dyDescent="0.2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2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 x14ac:dyDescent="0.25">
      <c r="A41" s="12" t="s">
        <v>144</v>
      </c>
      <c r="B41" s="217"/>
      <c r="C41" s="227">
        <f>-PMT($B$38,12,$B$37,,)</f>
        <v>26404.765849050655</v>
      </c>
      <c r="D41" s="227">
        <f t="shared" ref="D41:N41" si="47">-PMT($B$38,12,$B$37,,)</f>
        <v>26404.765849050655</v>
      </c>
      <c r="E41" s="227">
        <f t="shared" si="47"/>
        <v>26404.765849050655</v>
      </c>
      <c r="F41" s="227">
        <f t="shared" si="47"/>
        <v>26404.765849050655</v>
      </c>
      <c r="G41" s="227">
        <f t="shared" si="47"/>
        <v>26404.765849050655</v>
      </c>
      <c r="H41" s="227">
        <f t="shared" si="47"/>
        <v>26404.765849050655</v>
      </c>
      <c r="I41" s="227">
        <f t="shared" si="47"/>
        <v>26404.765849050655</v>
      </c>
      <c r="J41" s="227">
        <f t="shared" si="47"/>
        <v>26404.765849050655</v>
      </c>
      <c r="K41" s="227">
        <f t="shared" si="47"/>
        <v>26404.765849050655</v>
      </c>
      <c r="L41" s="227">
        <f t="shared" si="47"/>
        <v>26404.765849050655</v>
      </c>
      <c r="M41" s="227">
        <f t="shared" si="47"/>
        <v>26404.765849050655</v>
      </c>
      <c r="N41" s="227">
        <f t="shared" si="47"/>
        <v>26404.765849050655</v>
      </c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</row>
    <row r="42" spans="1:65" ht="16.5" thickBot="1" x14ac:dyDescent="0.3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 x14ac:dyDescent="0.25">
      <c r="A43" s="250" t="s">
        <v>148</v>
      </c>
      <c r="B43" s="251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6.5" thickBot="1" x14ac:dyDescent="0.3">
      <c r="A44" s="7" t="s">
        <v>143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 x14ac:dyDescent="0.25">
      <c r="A46" s="5"/>
      <c r="B46" s="14">
        <f>Cashflow!H7</f>
        <v>43466</v>
      </c>
      <c r="C46" s="14">
        <f>EDATE(B46,1)</f>
        <v>43497</v>
      </c>
      <c r="D46" s="14">
        <f t="shared" ref="D46" si="48">EDATE(C46,1)</f>
        <v>43525</v>
      </c>
      <c r="E46" s="14">
        <f t="shared" ref="E46" si="49">EDATE(D46,1)</f>
        <v>43556</v>
      </c>
      <c r="F46" s="14">
        <f t="shared" ref="F46" si="50">EDATE(E46,1)</f>
        <v>43586</v>
      </c>
      <c r="G46" s="14">
        <f t="shared" ref="G46" si="51">EDATE(F46,1)</f>
        <v>43617</v>
      </c>
      <c r="H46" s="14">
        <f t="shared" ref="H46" si="52">EDATE(G46,1)</f>
        <v>43647</v>
      </c>
      <c r="I46" s="14">
        <f t="shared" ref="I46" si="53">EDATE(H46,1)</f>
        <v>43678</v>
      </c>
      <c r="J46" s="14">
        <f t="shared" ref="J46" si="54">EDATE(I46,1)</f>
        <v>43709</v>
      </c>
      <c r="K46" s="14">
        <f t="shared" ref="K46" si="55">EDATE(J46,1)</f>
        <v>43739</v>
      </c>
      <c r="L46" s="14">
        <f t="shared" ref="L46" si="56">EDATE(K46,1)</f>
        <v>43770</v>
      </c>
      <c r="M46" s="14">
        <f t="shared" ref="M46" si="57">EDATE(L46,1)</f>
        <v>43800</v>
      </c>
      <c r="N46" s="14">
        <f t="shared" ref="N46" si="58">EDATE(M46,1)</f>
        <v>43831</v>
      </c>
      <c r="O46" s="14">
        <f t="shared" ref="O46" si="59">EDATE(N46,1)</f>
        <v>43862</v>
      </c>
      <c r="P46" s="14">
        <f t="shared" ref="P46" si="60">EDATE(O46,1)</f>
        <v>43891</v>
      </c>
      <c r="Q46" s="14">
        <f t="shared" ref="Q46" si="61">EDATE(P46,1)</f>
        <v>43922</v>
      </c>
      <c r="R46" s="14">
        <f t="shared" ref="R46" si="62">EDATE(Q46,1)</f>
        <v>43952</v>
      </c>
      <c r="S46" s="14">
        <f t="shared" ref="S46" si="63">EDATE(R46,1)</f>
        <v>43983</v>
      </c>
      <c r="T46" s="14">
        <f t="shared" ref="T46" si="64">EDATE(S46,1)</f>
        <v>44013</v>
      </c>
      <c r="U46" s="14">
        <f t="shared" ref="U46" si="65">EDATE(T46,1)</f>
        <v>44044</v>
      </c>
      <c r="V46" s="14">
        <f t="shared" ref="V46" si="66">EDATE(U46,1)</f>
        <v>44075</v>
      </c>
      <c r="W46" s="14">
        <f t="shared" ref="W46" si="67">EDATE(V46,1)</f>
        <v>44105</v>
      </c>
      <c r="X46" s="14">
        <f t="shared" ref="X46" si="68">EDATE(W46,1)</f>
        <v>44136</v>
      </c>
      <c r="Y46" s="14">
        <f t="shared" ref="Y46" si="69">EDATE(X46,1)</f>
        <v>44166</v>
      </c>
      <c r="Z46" s="14">
        <f t="shared" ref="Z46" si="70">EDATE(Y46,1)</f>
        <v>44197</v>
      </c>
      <c r="AA46" s="14">
        <f t="shared" ref="AA46" si="71">EDATE(Z46,1)</f>
        <v>44228</v>
      </c>
      <c r="AB46" s="14">
        <f t="shared" ref="AB46" si="72">EDATE(AA46,1)</f>
        <v>44256</v>
      </c>
      <c r="AC46" s="14">
        <f t="shared" ref="AC46" si="73">EDATE(AB46,1)</f>
        <v>44287</v>
      </c>
      <c r="AD46" s="14">
        <f t="shared" ref="AD46" si="74">EDATE(AC46,1)</f>
        <v>44317</v>
      </c>
      <c r="AE46" s="14">
        <f t="shared" ref="AE46" si="75">EDATE(AD46,1)</f>
        <v>44348</v>
      </c>
      <c r="AF46" s="14">
        <f t="shared" ref="AF46" si="76">EDATE(AE46,1)</f>
        <v>44378</v>
      </c>
      <c r="AG46" s="14">
        <f t="shared" ref="AG46" si="77">EDATE(AF46,1)</f>
        <v>44409</v>
      </c>
      <c r="AH46" s="14">
        <f>EDATE(AG46,1)</f>
        <v>44440</v>
      </c>
      <c r="AI46" s="14">
        <f t="shared" ref="AI46" si="78">EDATE(AH46,1)</f>
        <v>44470</v>
      </c>
      <c r="AJ46" s="14">
        <f t="shared" ref="AJ46" si="79">EDATE(AI46,1)</f>
        <v>44501</v>
      </c>
      <c r="AK46" s="14">
        <f t="shared" ref="AK46" si="80">EDATE(AJ46,1)</f>
        <v>44531</v>
      </c>
      <c r="AL46" s="14">
        <f t="shared" ref="AL46" si="81">EDATE(AK46,1)</f>
        <v>44562</v>
      </c>
      <c r="AM46" s="14">
        <f t="shared" ref="AM46" si="82">EDATE(AL46,1)</f>
        <v>44593</v>
      </c>
      <c r="AN46" s="14">
        <f t="shared" ref="AN46" si="83">EDATE(AM46,1)</f>
        <v>44621</v>
      </c>
      <c r="AO46" s="14">
        <f t="shared" ref="AO46" si="84">EDATE(AN46,1)</f>
        <v>44652</v>
      </c>
      <c r="AP46" s="14">
        <f t="shared" ref="AP46" si="85">EDATE(AO46,1)</f>
        <v>44682</v>
      </c>
      <c r="AQ46" s="14">
        <f t="shared" ref="AQ46" si="86">EDATE(AP46,1)</f>
        <v>44713</v>
      </c>
      <c r="AR46" s="14">
        <f t="shared" ref="AR46" si="87">EDATE(AQ46,1)</f>
        <v>44743</v>
      </c>
      <c r="AS46" s="14">
        <f t="shared" ref="AS46" si="88">EDATE(AR46,1)</f>
        <v>44774</v>
      </c>
      <c r="AT46" s="14">
        <f t="shared" ref="AT46" si="89">EDATE(AS46,1)</f>
        <v>44805</v>
      </c>
      <c r="AU46" s="14">
        <f t="shared" ref="AU46" si="90">EDATE(AT46,1)</f>
        <v>44835</v>
      </c>
      <c r="AV46" s="14">
        <f t="shared" ref="AV46" si="91">EDATE(AU46,1)</f>
        <v>44866</v>
      </c>
      <c r="AW46" s="14">
        <f t="shared" ref="AW46" si="92">EDATE(AV46,1)</f>
        <v>44896</v>
      </c>
      <c r="AX46" s="14">
        <f t="shared" ref="AX46" si="93">EDATE(AW46,1)</f>
        <v>44927</v>
      </c>
      <c r="AY46" s="14">
        <f t="shared" ref="AY46" si="94">EDATE(AX46,1)</f>
        <v>44958</v>
      </c>
      <c r="AZ46" s="14">
        <f t="shared" ref="AZ46" si="95">EDATE(AY46,1)</f>
        <v>44986</v>
      </c>
      <c r="BA46" s="14">
        <f t="shared" ref="BA46" si="96">EDATE(AZ46,1)</f>
        <v>45017</v>
      </c>
      <c r="BB46" s="14">
        <f t="shared" ref="BB46" si="97">EDATE(BA46,1)</f>
        <v>45047</v>
      </c>
      <c r="BC46" s="14">
        <f t="shared" ref="BC46" si="98">EDATE(BB46,1)</f>
        <v>45078</v>
      </c>
      <c r="BD46" s="14">
        <f t="shared" ref="BD46" si="99">EDATE(BC46,1)</f>
        <v>45108</v>
      </c>
      <c r="BE46" s="14">
        <f t="shared" ref="BE46" si="100">EDATE(BD46,1)</f>
        <v>45139</v>
      </c>
      <c r="BF46" s="14">
        <f t="shared" ref="BF46" si="101">EDATE(BE46,1)</f>
        <v>45170</v>
      </c>
      <c r="BG46" s="14">
        <f t="shared" ref="BG46" si="102">EDATE(BF46,1)</f>
        <v>45200</v>
      </c>
      <c r="BH46" s="14">
        <f t="shared" ref="BH46" si="103">EDATE(BG46,1)</f>
        <v>45231</v>
      </c>
      <c r="BI46" s="14">
        <f t="shared" ref="BI46" si="104">EDATE(BH46,1)</f>
        <v>45261</v>
      </c>
      <c r="BJ46" s="14">
        <f t="shared" ref="BJ46" si="105">EDATE(BI46,1)</f>
        <v>45292</v>
      </c>
      <c r="BK46" s="14">
        <f t="shared" ref="BK46" si="106">EDATE(BJ46,1)</f>
        <v>45323</v>
      </c>
      <c r="BL46" s="14">
        <f t="shared" ref="BL46" si="107">EDATE(BK46,1)</f>
        <v>45352</v>
      </c>
      <c r="BM46" s="14">
        <f t="shared" ref="BM46" si="108">EDATE(BL46,1)</f>
        <v>45383</v>
      </c>
    </row>
    <row r="47" spans="1:65" x14ac:dyDescent="0.2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 x14ac:dyDescent="0.25">
      <c r="A48" s="12" t="s">
        <v>144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6.5" thickBot="1" x14ac:dyDescent="0.3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78.75" x14ac:dyDescent="0.25">
      <c r="A50" s="250" t="s">
        <v>157</v>
      </c>
      <c r="B50" s="251"/>
      <c r="C50" s="144" t="s">
        <v>164</v>
      </c>
      <c r="D50" s="145" t="s">
        <v>165</v>
      </c>
      <c r="E50" s="82" t="s">
        <v>166</v>
      </c>
      <c r="F50" s="146" t="s">
        <v>167</v>
      </c>
      <c r="G50" s="147" t="s">
        <v>168</v>
      </c>
      <c r="H50" s="147" t="s">
        <v>169</v>
      </c>
      <c r="I50" s="147" t="s">
        <v>170</v>
      </c>
      <c r="J50" s="147" t="s">
        <v>171</v>
      </c>
      <c r="K50" s="147" t="s">
        <v>172</v>
      </c>
      <c r="L50" s="148" t="s">
        <v>173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6.5" thickBot="1" x14ac:dyDescent="0.3">
      <c r="A51" s="7" t="s">
        <v>143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 x14ac:dyDescent="0.25">
      <c r="A53" s="5"/>
      <c r="B53" s="14">
        <f>Cashflow!H7</f>
        <v>43466</v>
      </c>
      <c r="C53" s="14">
        <f>EDATE(B53,1)</f>
        <v>43497</v>
      </c>
      <c r="D53" s="14">
        <f t="shared" ref="D53:AP53" si="170">EDATE(C53,1)</f>
        <v>43525</v>
      </c>
      <c r="E53" s="14">
        <f t="shared" si="170"/>
        <v>43556</v>
      </c>
      <c r="F53" s="14">
        <f t="shared" si="170"/>
        <v>43586</v>
      </c>
      <c r="G53" s="14">
        <f t="shared" si="170"/>
        <v>43617</v>
      </c>
      <c r="H53" s="14">
        <f t="shared" si="170"/>
        <v>43647</v>
      </c>
      <c r="I53" s="14">
        <f t="shared" si="170"/>
        <v>43678</v>
      </c>
      <c r="J53" s="14">
        <f t="shared" si="170"/>
        <v>43709</v>
      </c>
      <c r="K53" s="14">
        <f t="shared" si="170"/>
        <v>43739</v>
      </c>
      <c r="L53" s="14">
        <f t="shared" si="170"/>
        <v>43770</v>
      </c>
      <c r="M53" s="14">
        <f t="shared" si="170"/>
        <v>43800</v>
      </c>
      <c r="N53" s="14">
        <f t="shared" si="170"/>
        <v>43831</v>
      </c>
      <c r="O53" s="14">
        <f t="shared" si="170"/>
        <v>43862</v>
      </c>
      <c r="P53" s="14">
        <f t="shared" si="170"/>
        <v>43891</v>
      </c>
      <c r="Q53" s="14">
        <f t="shared" si="170"/>
        <v>43922</v>
      </c>
      <c r="R53" s="14">
        <f t="shared" si="170"/>
        <v>43952</v>
      </c>
      <c r="S53" s="14">
        <f t="shared" si="170"/>
        <v>43983</v>
      </c>
      <c r="T53" s="14">
        <f t="shared" si="170"/>
        <v>44013</v>
      </c>
      <c r="U53" s="14">
        <f t="shared" si="170"/>
        <v>44044</v>
      </c>
      <c r="V53" s="14">
        <f t="shared" si="170"/>
        <v>44075</v>
      </c>
      <c r="W53" s="14">
        <f t="shared" si="170"/>
        <v>44105</v>
      </c>
      <c r="X53" s="14">
        <f t="shared" si="170"/>
        <v>44136</v>
      </c>
      <c r="Y53" s="14">
        <f t="shared" si="170"/>
        <v>44166</v>
      </c>
      <c r="Z53" s="14">
        <f t="shared" si="170"/>
        <v>44197</v>
      </c>
      <c r="AA53" s="14">
        <f t="shared" si="170"/>
        <v>44228</v>
      </c>
      <c r="AB53" s="14">
        <f t="shared" si="170"/>
        <v>44256</v>
      </c>
      <c r="AC53" s="14">
        <f t="shared" si="170"/>
        <v>44287</v>
      </c>
      <c r="AD53" s="14">
        <f t="shared" si="170"/>
        <v>44317</v>
      </c>
      <c r="AE53" s="14">
        <f t="shared" si="170"/>
        <v>44348</v>
      </c>
      <c r="AF53" s="14">
        <f t="shared" si="170"/>
        <v>44378</v>
      </c>
      <c r="AG53" s="14">
        <f t="shared" si="170"/>
        <v>44409</v>
      </c>
      <c r="AH53" s="14">
        <f>EDATE(AG53,1)</f>
        <v>44440</v>
      </c>
      <c r="AI53" s="14">
        <f t="shared" si="170"/>
        <v>44470</v>
      </c>
      <c r="AJ53" s="14">
        <f t="shared" si="170"/>
        <v>44501</v>
      </c>
      <c r="AK53" s="14">
        <f t="shared" si="170"/>
        <v>44531</v>
      </c>
      <c r="AL53" s="14">
        <f t="shared" si="170"/>
        <v>44562</v>
      </c>
      <c r="AM53" s="14">
        <f t="shared" si="170"/>
        <v>44593</v>
      </c>
      <c r="AN53" s="14">
        <f t="shared" si="170"/>
        <v>44621</v>
      </c>
      <c r="AO53" s="14">
        <f t="shared" si="170"/>
        <v>44652</v>
      </c>
      <c r="AP53" s="14">
        <f t="shared" si="170"/>
        <v>44682</v>
      </c>
      <c r="AQ53" s="14">
        <f t="shared" ref="AQ53" si="171">EDATE(AP53,1)</f>
        <v>44713</v>
      </c>
      <c r="AR53" s="14">
        <f t="shared" ref="AR53" si="172">EDATE(AQ53,1)</f>
        <v>44743</v>
      </c>
      <c r="AS53" s="14">
        <f t="shared" ref="AS53" si="173">EDATE(AR53,1)</f>
        <v>44774</v>
      </c>
      <c r="AT53" s="14">
        <f t="shared" ref="AT53" si="174">EDATE(AS53,1)</f>
        <v>44805</v>
      </c>
      <c r="AU53" s="14">
        <f t="shared" ref="AU53" si="175">EDATE(AT53,1)</f>
        <v>44835</v>
      </c>
      <c r="AV53" s="14">
        <f t="shared" ref="AV53" si="176">EDATE(AU53,1)</f>
        <v>44866</v>
      </c>
      <c r="AW53" s="14">
        <f t="shared" ref="AW53" si="177">EDATE(AV53,1)</f>
        <v>44896</v>
      </c>
      <c r="AX53" s="14">
        <f t="shared" ref="AX53" si="178">EDATE(AW53,1)</f>
        <v>44927</v>
      </c>
      <c r="AY53" s="14">
        <f t="shared" ref="AY53" si="179">EDATE(AX53,1)</f>
        <v>44958</v>
      </c>
      <c r="AZ53" s="14">
        <f t="shared" ref="AZ53" si="180">EDATE(AY53,1)</f>
        <v>44986</v>
      </c>
      <c r="BA53" s="14">
        <f t="shared" ref="BA53" si="181">EDATE(AZ53,1)</f>
        <v>45017</v>
      </c>
      <c r="BB53" s="14">
        <f t="shared" ref="BB53" si="182">EDATE(BA53,1)</f>
        <v>45047</v>
      </c>
      <c r="BC53" s="14">
        <f t="shared" ref="BC53" si="183">EDATE(BB53,1)</f>
        <v>45078</v>
      </c>
      <c r="BD53" s="14">
        <f t="shared" ref="BD53" si="184">EDATE(BC53,1)</f>
        <v>45108</v>
      </c>
      <c r="BE53" s="14">
        <f t="shared" ref="BE53" si="185">EDATE(BD53,1)</f>
        <v>45139</v>
      </c>
      <c r="BF53" s="14">
        <f t="shared" ref="BF53" si="186">EDATE(BE53,1)</f>
        <v>45170</v>
      </c>
      <c r="BG53" s="14">
        <f t="shared" ref="BG53" si="187">EDATE(BF53,1)</f>
        <v>45200</v>
      </c>
      <c r="BH53" s="14">
        <f t="shared" ref="BH53" si="188">EDATE(BG53,1)</f>
        <v>45231</v>
      </c>
      <c r="BI53" s="14">
        <f t="shared" ref="BI53" si="189">EDATE(BH53,1)</f>
        <v>45261</v>
      </c>
      <c r="BJ53" s="14">
        <f t="shared" ref="BJ53" si="190">EDATE(BI53,1)</f>
        <v>45292</v>
      </c>
      <c r="BK53" s="14">
        <f t="shared" ref="BK53" si="191">EDATE(BJ53,1)</f>
        <v>45323</v>
      </c>
      <c r="BL53" s="14">
        <f t="shared" ref="BL53" si="192">EDATE(BK53,1)</f>
        <v>45352</v>
      </c>
      <c r="BM53" s="14">
        <f t="shared" ref="BM53" si="193">EDATE(BL53,1)</f>
        <v>45383</v>
      </c>
    </row>
    <row r="54" spans="1:75" x14ac:dyDescent="0.2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 x14ac:dyDescent="0.25">
      <c r="A55" s="12" t="s">
        <v>144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6.5" thickBot="1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 x14ac:dyDescent="0.25">
      <c r="A57" s="250" t="s">
        <v>174</v>
      </c>
      <c r="B57" s="251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6.5" thickBot="1" x14ac:dyDescent="0.3">
      <c r="A58" s="7" t="s">
        <v>175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 x14ac:dyDescent="0.25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 x14ac:dyDescent="0.25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 x14ac:dyDescent="0.25">
      <c r="A62" s="12" t="s">
        <v>144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 x14ac:dyDescent="0.2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 x14ac:dyDescent="0.25">
      <c r="A64" s="252" t="s">
        <v>176</v>
      </c>
      <c r="B64" s="253"/>
      <c r="E64" s="4"/>
      <c r="I64" s="4"/>
      <c r="J64" s="4"/>
      <c r="K64" s="6"/>
      <c r="AE64" s="4"/>
      <c r="AF64" s="4"/>
      <c r="AG64" s="4"/>
      <c r="AH64" s="4"/>
    </row>
    <row r="65" spans="1:65" ht="16.5" hidden="1" thickBot="1" x14ac:dyDescent="0.3">
      <c r="A65" s="9" t="s">
        <v>147</v>
      </c>
      <c r="B65" s="10">
        <f>B51+B37</f>
        <v>297000</v>
      </c>
    </row>
    <row r="66" spans="1:65" hidden="1" x14ac:dyDescent="0.25"/>
    <row r="67" spans="1:65" hidden="1" x14ac:dyDescent="0.25">
      <c r="B67" s="14">
        <f>B39</f>
        <v>43466</v>
      </c>
      <c r="C67" s="14">
        <f>EDATE(B67,1)</f>
        <v>43497</v>
      </c>
      <c r="D67" s="14">
        <f t="shared" ref="D67:AC67" si="268">EDATE(C67,1)</f>
        <v>43525</v>
      </c>
      <c r="E67" s="14">
        <f t="shared" si="268"/>
        <v>43556</v>
      </c>
      <c r="F67" s="14">
        <f t="shared" si="268"/>
        <v>43586</v>
      </c>
      <c r="G67" s="14">
        <f t="shared" si="268"/>
        <v>43617</v>
      </c>
      <c r="H67" s="14">
        <f t="shared" si="268"/>
        <v>43647</v>
      </c>
      <c r="I67" s="14">
        <f t="shared" si="268"/>
        <v>43678</v>
      </c>
      <c r="J67" s="14">
        <f t="shared" si="268"/>
        <v>43709</v>
      </c>
      <c r="K67" s="14">
        <f t="shared" si="268"/>
        <v>43739</v>
      </c>
      <c r="L67" s="14">
        <f t="shared" si="268"/>
        <v>43770</v>
      </c>
      <c r="M67" s="14">
        <f t="shared" si="268"/>
        <v>43800</v>
      </c>
      <c r="N67" s="14">
        <f t="shared" si="268"/>
        <v>43831</v>
      </c>
      <c r="O67" s="14">
        <f t="shared" si="268"/>
        <v>43862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43891</v>
      </c>
      <c r="Y67" s="14">
        <f t="shared" si="268"/>
        <v>43922</v>
      </c>
      <c r="Z67" s="14">
        <f t="shared" si="268"/>
        <v>43952</v>
      </c>
      <c r="AA67" s="14">
        <f t="shared" si="268"/>
        <v>43983</v>
      </c>
      <c r="AB67" s="14">
        <f t="shared" si="268"/>
        <v>44013</v>
      </c>
      <c r="AC67" s="72">
        <f t="shared" si="268"/>
        <v>44044</v>
      </c>
      <c r="AD67" s="72">
        <f>EDATE(AC67,1)</f>
        <v>44075</v>
      </c>
    </row>
    <row r="68" spans="1:65" hidden="1" x14ac:dyDescent="0.25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 x14ac:dyDescent="0.25">
      <c r="A69" s="12" t="s">
        <v>144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 x14ac:dyDescent="0.25">
      <c r="AE70" s="5"/>
      <c r="AF70" s="5"/>
      <c r="AG70" s="5"/>
      <c r="AH70" s="5"/>
    </row>
    <row r="71" spans="1:65" hidden="1" x14ac:dyDescent="0.25">
      <c r="A71" s="247" t="s">
        <v>139</v>
      </c>
      <c r="B71" s="247"/>
      <c r="C71" s="256" t="s">
        <v>140</v>
      </c>
      <c r="D71" s="257">
        <v>24</v>
      </c>
      <c r="AE71" s="5"/>
      <c r="AF71" s="5"/>
      <c r="AG71" s="5"/>
      <c r="AH71" s="5"/>
    </row>
    <row r="72" spans="1:65" hidden="1" x14ac:dyDescent="0.25">
      <c r="A72" s="247"/>
      <c r="B72" s="247"/>
      <c r="C72" s="256"/>
      <c r="D72" s="257"/>
      <c r="AE72" s="5"/>
      <c r="AF72" s="5"/>
      <c r="AG72" s="5"/>
      <c r="AH72" s="5"/>
    </row>
    <row r="73" spans="1:65" ht="47.25" hidden="1" x14ac:dyDescent="0.25">
      <c r="A73" s="247"/>
      <c r="B73" s="247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0" hidden="1" x14ac:dyDescent="0.25">
      <c r="A74" s="247"/>
      <c r="B74" s="247"/>
      <c r="C74" s="108" t="s">
        <v>141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 x14ac:dyDescent="0.25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 x14ac:dyDescent="0.25">
      <c r="A76" s="250" t="s">
        <v>142</v>
      </c>
      <c r="B76" s="25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6.5" hidden="1" thickBot="1" x14ac:dyDescent="0.3">
      <c r="A77" s="7" t="s">
        <v>143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6.5" thickBot="1" x14ac:dyDescent="0.3">
      <c r="A78" s="180" t="s">
        <v>177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 x14ac:dyDescent="0.25">
      <c r="A79" s="5"/>
      <c r="B79" s="80">
        <f>Cashflow!H7</f>
        <v>43466</v>
      </c>
      <c r="C79" s="80">
        <f t="shared" ref="C79:AP79" si="270">EDATE(B79,1)</f>
        <v>43497</v>
      </c>
      <c r="D79" s="80">
        <f t="shared" si="270"/>
        <v>43525</v>
      </c>
      <c r="E79" s="80">
        <f t="shared" si="270"/>
        <v>43556</v>
      </c>
      <c r="F79" s="80">
        <f t="shared" si="270"/>
        <v>43586</v>
      </c>
      <c r="G79" s="80">
        <f t="shared" si="270"/>
        <v>43617</v>
      </c>
      <c r="H79" s="80">
        <f t="shared" si="270"/>
        <v>43647</v>
      </c>
      <c r="I79" s="80">
        <f t="shared" si="270"/>
        <v>43678</v>
      </c>
      <c r="J79" s="80">
        <f t="shared" si="270"/>
        <v>43709</v>
      </c>
      <c r="K79" s="80">
        <f t="shared" si="270"/>
        <v>43739</v>
      </c>
      <c r="L79" s="80">
        <f t="shared" si="270"/>
        <v>43770</v>
      </c>
      <c r="M79" s="80">
        <f t="shared" si="270"/>
        <v>43800</v>
      </c>
      <c r="N79" s="80">
        <f t="shared" si="270"/>
        <v>43831</v>
      </c>
      <c r="O79" s="80">
        <f t="shared" si="270"/>
        <v>43862</v>
      </c>
      <c r="P79" s="80">
        <f t="shared" si="270"/>
        <v>43891</v>
      </c>
      <c r="Q79" s="80">
        <f t="shared" si="270"/>
        <v>43922</v>
      </c>
      <c r="R79" s="80">
        <f t="shared" si="270"/>
        <v>43952</v>
      </c>
      <c r="S79" s="80">
        <f t="shared" si="270"/>
        <v>43983</v>
      </c>
      <c r="T79" s="80">
        <f t="shared" si="270"/>
        <v>44013</v>
      </c>
      <c r="U79" s="80">
        <f t="shared" si="270"/>
        <v>44044</v>
      </c>
      <c r="V79" s="80">
        <f t="shared" si="270"/>
        <v>44075</v>
      </c>
      <c r="W79" s="80">
        <f t="shared" si="270"/>
        <v>44105</v>
      </c>
      <c r="X79" s="80">
        <f t="shared" si="270"/>
        <v>44136</v>
      </c>
      <c r="Y79" s="80">
        <f t="shared" si="270"/>
        <v>44166</v>
      </c>
      <c r="Z79" s="80">
        <f t="shared" si="270"/>
        <v>44197</v>
      </c>
      <c r="AA79" s="80">
        <f t="shared" si="270"/>
        <v>44228</v>
      </c>
      <c r="AB79" s="80">
        <f t="shared" si="270"/>
        <v>44256</v>
      </c>
      <c r="AC79" s="80">
        <f t="shared" si="270"/>
        <v>44287</v>
      </c>
      <c r="AD79" s="80">
        <f t="shared" si="270"/>
        <v>44317</v>
      </c>
      <c r="AE79" s="80">
        <f t="shared" si="270"/>
        <v>44348</v>
      </c>
      <c r="AF79" s="80">
        <f t="shared" si="270"/>
        <v>44378</v>
      </c>
      <c r="AG79" s="80">
        <f t="shared" si="270"/>
        <v>44409</v>
      </c>
      <c r="AH79" s="80">
        <f t="shared" si="270"/>
        <v>44440</v>
      </c>
      <c r="AI79" s="80">
        <f t="shared" si="270"/>
        <v>44470</v>
      </c>
      <c r="AJ79" s="80">
        <f t="shared" si="270"/>
        <v>44501</v>
      </c>
      <c r="AK79" s="80">
        <f t="shared" si="270"/>
        <v>44531</v>
      </c>
      <c r="AL79" s="80">
        <f t="shared" si="270"/>
        <v>44562</v>
      </c>
      <c r="AM79" s="80">
        <f t="shared" si="270"/>
        <v>44593</v>
      </c>
      <c r="AN79" s="80">
        <f t="shared" si="270"/>
        <v>44621</v>
      </c>
      <c r="AO79" s="80">
        <f t="shared" si="270"/>
        <v>44652</v>
      </c>
      <c r="AP79" s="80">
        <f t="shared" si="270"/>
        <v>44682</v>
      </c>
      <c r="AQ79" s="80">
        <f t="shared" ref="AQ79" si="271">EDATE(AP79,1)</f>
        <v>44713</v>
      </c>
      <c r="AR79" s="80">
        <f t="shared" ref="AR79" si="272">EDATE(AQ79,1)</f>
        <v>44743</v>
      </c>
      <c r="AS79" s="80">
        <f t="shared" ref="AS79" si="273">EDATE(AR79,1)</f>
        <v>44774</v>
      </c>
      <c r="AT79" s="80">
        <f t="shared" ref="AT79" si="274">EDATE(AS79,1)</f>
        <v>44805</v>
      </c>
      <c r="AU79" s="80">
        <f t="shared" ref="AU79" si="275">EDATE(AT79,1)</f>
        <v>44835</v>
      </c>
      <c r="AV79" s="80">
        <f t="shared" ref="AV79" si="276">EDATE(AU79,1)</f>
        <v>44866</v>
      </c>
      <c r="AW79" s="80">
        <f t="shared" ref="AW79" si="277">EDATE(AV79,1)</f>
        <v>44896</v>
      </c>
      <c r="AX79" s="80">
        <f t="shared" ref="AX79" si="278">EDATE(AW79,1)</f>
        <v>44927</v>
      </c>
      <c r="AY79" s="80">
        <f t="shared" ref="AY79" si="279">EDATE(AX79,1)</f>
        <v>44958</v>
      </c>
      <c r="AZ79" s="80">
        <f t="shared" ref="AZ79" si="280">EDATE(AY79,1)</f>
        <v>44986</v>
      </c>
      <c r="BA79" s="80">
        <f t="shared" ref="BA79" si="281">EDATE(AZ79,1)</f>
        <v>45017</v>
      </c>
      <c r="BB79" s="80">
        <f t="shared" ref="BB79" si="282">EDATE(BA79,1)</f>
        <v>45047</v>
      </c>
      <c r="BC79" s="80">
        <f t="shared" ref="BC79" si="283">EDATE(BB79,1)</f>
        <v>45078</v>
      </c>
      <c r="BD79" s="80">
        <f t="shared" ref="BD79" si="284">EDATE(BC79,1)</f>
        <v>45108</v>
      </c>
      <c r="BE79" s="80">
        <f t="shared" ref="BE79" si="285">EDATE(BD79,1)</f>
        <v>45139</v>
      </c>
      <c r="BF79" s="80">
        <f t="shared" ref="BF79" si="286">EDATE(BE79,1)</f>
        <v>45170</v>
      </c>
      <c r="BG79" s="80">
        <f t="shared" ref="BG79" si="287">EDATE(BF79,1)</f>
        <v>45200</v>
      </c>
      <c r="BH79" s="80">
        <f t="shared" ref="BH79" si="288">EDATE(BG79,1)</f>
        <v>45231</v>
      </c>
      <c r="BI79" s="80">
        <f t="shared" ref="BI79" si="289">EDATE(BH79,1)</f>
        <v>45261</v>
      </c>
      <c r="BJ79" s="80">
        <f t="shared" ref="BJ79" si="290">EDATE(BI79,1)</f>
        <v>45292</v>
      </c>
      <c r="BK79" s="80">
        <f t="shared" ref="BK79" si="291">EDATE(BJ79,1)</f>
        <v>45323</v>
      </c>
      <c r="BL79" s="80">
        <f t="shared" ref="BL79" si="292">EDATE(BK79,1)</f>
        <v>45352</v>
      </c>
      <c r="BM79" s="80">
        <f t="shared" ref="BM79" si="293">EDATE(BL79,1)</f>
        <v>45383</v>
      </c>
    </row>
    <row r="80" spans="1:65" x14ac:dyDescent="0.2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 x14ac:dyDescent="0.25">
      <c r="A81" s="12" t="s">
        <v>144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6.5" thickBot="1" x14ac:dyDescent="0.3"/>
    <row r="83" spans="1:65" x14ac:dyDescent="0.25">
      <c r="A83" s="252" t="s">
        <v>178</v>
      </c>
      <c r="B83" s="253"/>
      <c r="E83" s="4"/>
      <c r="I83" s="4"/>
      <c r="J83" s="4"/>
      <c r="K83" s="6"/>
    </row>
    <row r="84" spans="1:65" ht="16.5" thickBot="1" x14ac:dyDescent="0.3">
      <c r="A84" s="9" t="s">
        <v>179</v>
      </c>
      <c r="B84" s="10">
        <f>B28+B29</f>
        <v>297000</v>
      </c>
    </row>
    <row r="86" spans="1:65" x14ac:dyDescent="0.25">
      <c r="B86" s="173">
        <f>Cashflow!H7</f>
        <v>43466</v>
      </c>
      <c r="C86" s="173">
        <f>EDATE(B86,1)</f>
        <v>43497</v>
      </c>
      <c r="D86" s="173">
        <f t="shared" ref="D86:AP86" si="318">EDATE(C86,1)</f>
        <v>43525</v>
      </c>
      <c r="E86" s="173">
        <f t="shared" si="318"/>
        <v>43556</v>
      </c>
      <c r="F86" s="173">
        <f t="shared" si="318"/>
        <v>43586</v>
      </c>
      <c r="G86" s="173">
        <f t="shared" si="318"/>
        <v>43617</v>
      </c>
      <c r="H86" s="173">
        <f t="shared" si="318"/>
        <v>43647</v>
      </c>
      <c r="I86" s="173">
        <f t="shared" si="318"/>
        <v>43678</v>
      </c>
      <c r="J86" s="173">
        <f t="shared" si="318"/>
        <v>43709</v>
      </c>
      <c r="K86" s="173">
        <f t="shared" si="318"/>
        <v>43739</v>
      </c>
      <c r="L86" s="173">
        <f t="shared" si="318"/>
        <v>43770</v>
      </c>
      <c r="M86" s="173">
        <f t="shared" si="318"/>
        <v>43800</v>
      </c>
      <c r="N86" s="173">
        <f t="shared" si="318"/>
        <v>43831</v>
      </c>
      <c r="O86" s="173">
        <f t="shared" si="318"/>
        <v>43862</v>
      </c>
      <c r="P86" s="173">
        <f t="shared" si="318"/>
        <v>43891</v>
      </c>
      <c r="Q86" s="173">
        <f t="shared" si="318"/>
        <v>43922</v>
      </c>
      <c r="R86" s="173">
        <f t="shared" si="318"/>
        <v>43952</v>
      </c>
      <c r="S86" s="173">
        <f t="shared" si="318"/>
        <v>43983</v>
      </c>
      <c r="T86" s="173">
        <f t="shared" si="318"/>
        <v>44013</v>
      </c>
      <c r="U86" s="173">
        <f t="shared" si="318"/>
        <v>44044</v>
      </c>
      <c r="V86" s="173">
        <f t="shared" si="318"/>
        <v>44075</v>
      </c>
      <c r="W86" s="173">
        <f t="shared" si="318"/>
        <v>44105</v>
      </c>
      <c r="X86" s="173">
        <f t="shared" si="318"/>
        <v>44136</v>
      </c>
      <c r="Y86" s="173">
        <f t="shared" si="318"/>
        <v>44166</v>
      </c>
      <c r="Z86" s="173">
        <f t="shared" si="318"/>
        <v>44197</v>
      </c>
      <c r="AA86" s="173">
        <f t="shared" si="318"/>
        <v>44228</v>
      </c>
      <c r="AB86" s="173">
        <f t="shared" si="318"/>
        <v>44256</v>
      </c>
      <c r="AC86" s="173">
        <f t="shared" si="318"/>
        <v>44287</v>
      </c>
      <c r="AD86" s="173">
        <f t="shared" si="318"/>
        <v>44317</v>
      </c>
      <c r="AE86" s="173">
        <f t="shared" si="318"/>
        <v>44348</v>
      </c>
      <c r="AF86" s="173">
        <f t="shared" si="318"/>
        <v>44378</v>
      </c>
      <c r="AG86" s="173">
        <f t="shared" si="318"/>
        <v>44409</v>
      </c>
      <c r="AH86" s="173">
        <f>EDATE(AG86,1)</f>
        <v>44440</v>
      </c>
      <c r="AI86" s="173">
        <f t="shared" si="318"/>
        <v>44470</v>
      </c>
      <c r="AJ86" s="173">
        <f t="shared" si="318"/>
        <v>44501</v>
      </c>
      <c r="AK86" s="173">
        <f t="shared" si="318"/>
        <v>44531</v>
      </c>
      <c r="AL86" s="173">
        <f t="shared" si="318"/>
        <v>44562</v>
      </c>
      <c r="AM86" s="173">
        <f t="shared" si="318"/>
        <v>44593</v>
      </c>
      <c r="AN86" s="173">
        <f t="shared" si="318"/>
        <v>44621</v>
      </c>
      <c r="AO86" s="173">
        <f t="shared" si="318"/>
        <v>44652</v>
      </c>
      <c r="AP86" s="173">
        <f t="shared" si="318"/>
        <v>44682</v>
      </c>
      <c r="AQ86" s="173">
        <f t="shared" ref="AQ86" si="319">EDATE(AP86,1)</f>
        <v>44713</v>
      </c>
      <c r="AR86" s="173">
        <f t="shared" ref="AR86" si="320">EDATE(AQ86,1)</f>
        <v>44743</v>
      </c>
      <c r="AS86" s="173">
        <f t="shared" ref="AS86" si="321">EDATE(AR86,1)</f>
        <v>44774</v>
      </c>
      <c r="AT86" s="173">
        <f t="shared" ref="AT86" si="322">EDATE(AS86,1)</f>
        <v>44805</v>
      </c>
      <c r="AU86" s="173">
        <f t="shared" ref="AU86" si="323">EDATE(AT86,1)</f>
        <v>44835</v>
      </c>
      <c r="AV86" s="173">
        <f t="shared" ref="AV86" si="324">EDATE(AU86,1)</f>
        <v>44866</v>
      </c>
      <c r="AW86" s="173">
        <f t="shared" ref="AW86" si="325">EDATE(AV86,1)</f>
        <v>44896</v>
      </c>
      <c r="AX86" s="173">
        <f t="shared" ref="AX86" si="326">EDATE(AW86,1)</f>
        <v>44927</v>
      </c>
      <c r="AY86" s="173">
        <f t="shared" ref="AY86" si="327">EDATE(AX86,1)</f>
        <v>44958</v>
      </c>
      <c r="AZ86" s="173">
        <f t="shared" ref="AZ86" si="328">EDATE(AY86,1)</f>
        <v>44986</v>
      </c>
      <c r="BA86" s="173">
        <f t="shared" ref="BA86" si="329">EDATE(AZ86,1)</f>
        <v>45017</v>
      </c>
      <c r="BB86" s="173">
        <f t="shared" ref="BB86" si="330">EDATE(BA86,1)</f>
        <v>45047</v>
      </c>
      <c r="BC86" s="173">
        <f t="shared" ref="BC86" si="331">EDATE(BB86,1)</f>
        <v>45078</v>
      </c>
      <c r="BD86" s="173">
        <f t="shared" ref="BD86" si="332">EDATE(BC86,1)</f>
        <v>45108</v>
      </c>
      <c r="BE86" s="173">
        <f t="shared" ref="BE86" si="333">EDATE(BD86,1)</f>
        <v>45139</v>
      </c>
      <c r="BF86" s="173">
        <f t="shared" ref="BF86" si="334">EDATE(BE86,1)</f>
        <v>45170</v>
      </c>
      <c r="BG86" s="173">
        <f t="shared" ref="BG86" si="335">EDATE(BF86,1)</f>
        <v>45200</v>
      </c>
      <c r="BH86" s="173">
        <f t="shared" ref="BH86" si="336">EDATE(BG86,1)</f>
        <v>45231</v>
      </c>
      <c r="BI86" s="173">
        <f t="shared" ref="BI86" si="337">EDATE(BH86,1)</f>
        <v>45261</v>
      </c>
      <c r="BJ86" s="173">
        <f t="shared" ref="BJ86" si="338">EDATE(BI86,1)</f>
        <v>45292</v>
      </c>
      <c r="BK86" s="173">
        <f t="shared" ref="BK86" si="339">EDATE(BJ86,1)</f>
        <v>45323</v>
      </c>
      <c r="BL86" s="173">
        <f t="shared" ref="BL86" si="340">EDATE(BK86,1)</f>
        <v>45352</v>
      </c>
      <c r="BM86" s="173">
        <f t="shared" ref="BM86" si="341">EDATE(BL86,1)</f>
        <v>45383</v>
      </c>
    </row>
    <row r="87" spans="1:65" x14ac:dyDescent="0.2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 x14ac:dyDescent="0.25">
      <c r="A88" s="12" t="s">
        <v>144</v>
      </c>
      <c r="B88" s="13">
        <f>B81+B55+B48+B41</f>
        <v>0</v>
      </c>
      <c r="C88" s="13">
        <f t="shared" ref="C88:BM88" si="366">C81+C55+C48+C41</f>
        <v>26404.765849050655</v>
      </c>
      <c r="D88" s="13">
        <f t="shared" si="366"/>
        <v>26404.765849050655</v>
      </c>
      <c r="E88" s="13">
        <f t="shared" si="366"/>
        <v>26404.765849050655</v>
      </c>
      <c r="F88" s="13">
        <f t="shared" si="366"/>
        <v>26404.765849050655</v>
      </c>
      <c r="G88" s="13">
        <f t="shared" si="366"/>
        <v>26404.765849050655</v>
      </c>
      <c r="H88" s="13">
        <f t="shared" si="366"/>
        <v>26404.765849050655</v>
      </c>
      <c r="I88" s="13">
        <f t="shared" si="366"/>
        <v>26404.765849050655</v>
      </c>
      <c r="J88" s="13">
        <f t="shared" si="366"/>
        <v>26404.765849050655</v>
      </c>
      <c r="K88" s="13">
        <f t="shared" si="366"/>
        <v>26404.765849050655</v>
      </c>
      <c r="L88" s="13">
        <f t="shared" si="366"/>
        <v>26404.765849050655</v>
      </c>
      <c r="M88" s="13">
        <f t="shared" si="366"/>
        <v>26404.765849050655</v>
      </c>
      <c r="N88" s="13">
        <f t="shared" si="366"/>
        <v>26404.765849050655</v>
      </c>
      <c r="O88" s="13">
        <f t="shared" si="366"/>
        <v>0</v>
      </c>
      <c r="P88" s="13">
        <f t="shared" si="366"/>
        <v>0</v>
      </c>
      <c r="Q88" s="13">
        <f t="shared" si="366"/>
        <v>0</v>
      </c>
      <c r="R88" s="13">
        <f t="shared" si="366"/>
        <v>0</v>
      </c>
      <c r="S88" s="13">
        <f t="shared" si="366"/>
        <v>0</v>
      </c>
      <c r="T88" s="13">
        <f t="shared" si="366"/>
        <v>0</v>
      </c>
      <c r="U88" s="13">
        <f t="shared" si="366"/>
        <v>0</v>
      </c>
      <c r="V88" s="13">
        <f t="shared" si="366"/>
        <v>0</v>
      </c>
      <c r="W88" s="13">
        <f t="shared" si="366"/>
        <v>0</v>
      </c>
      <c r="X88" s="13">
        <f t="shared" si="366"/>
        <v>0</v>
      </c>
      <c r="Y88" s="13">
        <f t="shared" si="366"/>
        <v>0</v>
      </c>
      <c r="Z88" s="13">
        <f t="shared" si="366"/>
        <v>0</v>
      </c>
      <c r="AA88" s="13">
        <f t="shared" si="366"/>
        <v>0</v>
      </c>
      <c r="AB88" s="13">
        <f t="shared" si="366"/>
        <v>0</v>
      </c>
      <c r="AC88" s="13">
        <f t="shared" si="366"/>
        <v>0</v>
      </c>
      <c r="AD88" s="13">
        <f t="shared" si="366"/>
        <v>0</v>
      </c>
      <c r="AE88" s="13">
        <f t="shared" si="366"/>
        <v>0</v>
      </c>
      <c r="AF88" s="13">
        <f t="shared" si="366"/>
        <v>0</v>
      </c>
      <c r="AG88" s="13">
        <f t="shared" si="366"/>
        <v>0</v>
      </c>
      <c r="AH88" s="13">
        <f t="shared" si="366"/>
        <v>0</v>
      </c>
      <c r="AI88" s="13">
        <f t="shared" si="366"/>
        <v>0</v>
      </c>
      <c r="AJ88" s="13">
        <f t="shared" si="366"/>
        <v>0</v>
      </c>
      <c r="AK88" s="13">
        <f t="shared" si="366"/>
        <v>0</v>
      </c>
      <c r="AL88" s="13">
        <f t="shared" si="366"/>
        <v>0</v>
      </c>
      <c r="AM88" s="13">
        <f t="shared" si="366"/>
        <v>0</v>
      </c>
      <c r="AN88" s="13">
        <f t="shared" si="366"/>
        <v>0</v>
      </c>
      <c r="AO88" s="13">
        <f t="shared" si="366"/>
        <v>0</v>
      </c>
      <c r="AP88" s="13">
        <f t="shared" si="366"/>
        <v>0</v>
      </c>
      <c r="AQ88" s="13">
        <f t="shared" si="366"/>
        <v>0</v>
      </c>
      <c r="AR88" s="13">
        <f t="shared" si="366"/>
        <v>0</v>
      </c>
      <c r="AS88" s="13">
        <f t="shared" si="366"/>
        <v>0</v>
      </c>
      <c r="AT88" s="13">
        <f t="shared" si="366"/>
        <v>0</v>
      </c>
      <c r="AU88" s="13">
        <f t="shared" si="366"/>
        <v>0</v>
      </c>
      <c r="AV88" s="13">
        <f t="shared" si="366"/>
        <v>0</v>
      </c>
      <c r="AW88" s="13">
        <f t="shared" si="366"/>
        <v>0</v>
      </c>
      <c r="AX88" s="13">
        <f t="shared" si="366"/>
        <v>0</v>
      </c>
      <c r="AY88" s="13">
        <f t="shared" si="366"/>
        <v>0</v>
      </c>
      <c r="AZ88" s="13">
        <f t="shared" si="366"/>
        <v>0</v>
      </c>
      <c r="BA88" s="13">
        <f t="shared" si="366"/>
        <v>0</v>
      </c>
      <c r="BB88" s="13">
        <f t="shared" si="366"/>
        <v>0</v>
      </c>
      <c r="BC88" s="13">
        <f t="shared" si="366"/>
        <v>0</v>
      </c>
      <c r="BD88" s="13">
        <f t="shared" si="366"/>
        <v>0</v>
      </c>
      <c r="BE88" s="13">
        <f t="shared" si="366"/>
        <v>0</v>
      </c>
      <c r="BF88" s="13">
        <f t="shared" si="366"/>
        <v>0</v>
      </c>
      <c r="BG88" s="13">
        <f t="shared" si="366"/>
        <v>0</v>
      </c>
      <c r="BH88" s="13">
        <f t="shared" si="366"/>
        <v>0</v>
      </c>
      <c r="BI88" s="13">
        <f t="shared" si="366"/>
        <v>0</v>
      </c>
      <c r="BJ88" s="13">
        <f t="shared" si="366"/>
        <v>0</v>
      </c>
      <c r="BK88" s="13">
        <f t="shared" si="366"/>
        <v>0</v>
      </c>
      <c r="BL88" s="13">
        <f t="shared" si="366"/>
        <v>0</v>
      </c>
      <c r="BM88" s="13">
        <f t="shared" si="366"/>
        <v>0</v>
      </c>
    </row>
  </sheetData>
  <mergeCells count="19">
    <mergeCell ref="A83:B83"/>
    <mergeCell ref="C71:C72"/>
    <mergeCell ref="D71:D72"/>
    <mergeCell ref="A76:B76"/>
    <mergeCell ref="A71:B74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1:F2"/>
    <mergeCell ref="A3:B6"/>
    <mergeCell ref="C3:C4"/>
    <mergeCell ref="D3:D4"/>
    <mergeCell ref="A8:B8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75" x14ac:dyDescent="0.2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 x14ac:dyDescent="0.25">
      <c r="B1" s="258" t="s">
        <v>180</v>
      </c>
      <c r="C1" s="258"/>
      <c r="D1" s="258"/>
      <c r="E1" s="258"/>
      <c r="F1" s="258"/>
    </row>
    <row r="2" spans="1:8" ht="15" customHeight="1" x14ac:dyDescent="0.25">
      <c r="B2" s="258"/>
      <c r="C2" s="258"/>
      <c r="D2" s="258"/>
      <c r="E2" s="258"/>
      <c r="F2" s="258"/>
    </row>
    <row r="3" spans="1:8" ht="15" customHeight="1" x14ac:dyDescent="0.25">
      <c r="A3" s="264" t="s">
        <v>181</v>
      </c>
      <c r="B3" s="56" t="s">
        <v>182</v>
      </c>
      <c r="C3" s="56"/>
      <c r="D3" s="56"/>
      <c r="E3" s="56"/>
      <c r="F3" s="55"/>
      <c r="H3" s="225" t="s">
        <v>183</v>
      </c>
    </row>
    <row r="4" spans="1:8" x14ac:dyDescent="0.25">
      <c r="A4" s="264"/>
      <c r="B4" s="21" t="s">
        <v>184</v>
      </c>
      <c r="C4" s="22" t="s">
        <v>185</v>
      </c>
      <c r="D4" t="s">
        <v>186</v>
      </c>
      <c r="E4" t="s">
        <v>179</v>
      </c>
      <c r="H4" s="58" t="s">
        <v>187</v>
      </c>
    </row>
    <row r="5" spans="1:8" x14ac:dyDescent="0.25">
      <c r="A5" s="264"/>
      <c r="B5" t="s">
        <v>188</v>
      </c>
      <c r="C5" s="45">
        <v>1</v>
      </c>
      <c r="D5" s="4">
        <v>9600</v>
      </c>
      <c r="E5" s="4">
        <f t="shared" ref="E5:E10" si="0">C5*D5</f>
        <v>9600</v>
      </c>
      <c r="H5" s="59" t="s">
        <v>189</v>
      </c>
    </row>
    <row r="6" spans="1:8" x14ac:dyDescent="0.25">
      <c r="A6" s="264"/>
      <c r="B6" t="s">
        <v>190</v>
      </c>
      <c r="C6" s="45">
        <v>1</v>
      </c>
      <c r="D6" s="4">
        <v>10000</v>
      </c>
      <c r="E6" s="4">
        <f t="shared" si="0"/>
        <v>10000</v>
      </c>
      <c r="H6" s="61" t="s">
        <v>191</v>
      </c>
    </row>
    <row r="7" spans="1:8" x14ac:dyDescent="0.25">
      <c r="A7" s="264"/>
      <c r="B7" t="s">
        <v>192</v>
      </c>
      <c r="C7" s="45">
        <v>1</v>
      </c>
      <c r="D7" s="4">
        <v>10250</v>
      </c>
      <c r="E7" s="4">
        <f t="shared" si="0"/>
        <v>10250</v>
      </c>
      <c r="H7" s="66" t="s">
        <v>193</v>
      </c>
    </row>
    <row r="8" spans="1:8" x14ac:dyDescent="0.25">
      <c r="A8" s="264"/>
      <c r="B8" t="s">
        <v>194</v>
      </c>
      <c r="C8" s="45"/>
      <c r="D8" s="4"/>
      <c r="E8" s="4">
        <f t="shared" si="0"/>
        <v>0</v>
      </c>
    </row>
    <row r="9" spans="1:8" x14ac:dyDescent="0.25">
      <c r="A9" s="264"/>
      <c r="C9" s="45"/>
      <c r="D9" s="52"/>
      <c r="E9" s="4">
        <f t="shared" si="0"/>
        <v>0</v>
      </c>
    </row>
    <row r="10" spans="1:8" x14ac:dyDescent="0.25">
      <c r="A10" s="264"/>
      <c r="C10" s="45"/>
      <c r="D10" s="4"/>
      <c r="E10" s="4">
        <f t="shared" si="0"/>
        <v>0</v>
      </c>
    </row>
    <row r="11" spans="1:8" x14ac:dyDescent="0.25">
      <c r="B11" s="67" t="s">
        <v>195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 x14ac:dyDescent="0.25">
      <c r="B12" s="62"/>
      <c r="C12" s="62"/>
      <c r="D12" s="62"/>
      <c r="E12" s="62"/>
      <c r="F12" s="62"/>
    </row>
    <row r="13" spans="1:8" x14ac:dyDescent="0.25">
      <c r="B13" s="57" t="s">
        <v>196</v>
      </c>
      <c r="C13" s="57"/>
      <c r="D13" s="57"/>
      <c r="E13" s="57"/>
      <c r="F13" s="57"/>
    </row>
    <row r="14" spans="1:8" x14ac:dyDescent="0.25">
      <c r="A14" s="267" t="s">
        <v>197</v>
      </c>
      <c r="B14" s="21" t="s">
        <v>184</v>
      </c>
      <c r="C14" s="22" t="s">
        <v>185</v>
      </c>
      <c r="D14" s="59" t="s">
        <v>198</v>
      </c>
      <c r="E14" t="s">
        <v>186</v>
      </c>
      <c r="F14" t="s">
        <v>179</v>
      </c>
    </row>
    <row r="15" spans="1:8" x14ac:dyDescent="0.25">
      <c r="A15" s="267"/>
      <c r="B15" t="s">
        <v>188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 x14ac:dyDescent="0.25">
      <c r="A16" s="267"/>
      <c r="B16" t="s">
        <v>199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 x14ac:dyDescent="0.25">
      <c r="A17" s="267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 x14ac:dyDescent="0.25">
      <c r="A18" s="267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 x14ac:dyDescent="0.25">
      <c r="A19" s="267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 x14ac:dyDescent="0.25">
      <c r="A20" s="267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 x14ac:dyDescent="0.25">
      <c r="B21" s="67" t="s">
        <v>195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6.5" thickBot="1" x14ac:dyDescent="0.3">
      <c r="B22" s="65"/>
      <c r="C22" s="65"/>
      <c r="D22" s="65"/>
      <c r="E22" s="65"/>
      <c r="F22" s="65"/>
    </row>
    <row r="23" spans="1:7" ht="48.95" customHeight="1" thickBot="1" x14ac:dyDescent="0.3">
      <c r="B23" s="265" t="s">
        <v>200</v>
      </c>
      <c r="C23" s="266"/>
      <c r="D23" s="262">
        <f>(F21/E11)-1</f>
        <v>3.5516750418760346E-2</v>
      </c>
      <c r="E23" s="263"/>
    </row>
    <row r="24" spans="1:7" ht="18.75" x14ac:dyDescent="0.3">
      <c r="B24" s="63"/>
      <c r="C24" s="63"/>
      <c r="D24" s="64"/>
      <c r="E24" s="64"/>
      <c r="F24" s="65"/>
    </row>
    <row r="25" spans="1:7" x14ac:dyDescent="0.25">
      <c r="A25" s="259" t="s">
        <v>201</v>
      </c>
      <c r="B25" s="56" t="s">
        <v>202</v>
      </c>
      <c r="C25" s="56"/>
      <c r="D25" s="56"/>
      <c r="E25" s="56"/>
      <c r="F25" s="55"/>
    </row>
    <row r="26" spans="1:7" x14ac:dyDescent="0.25">
      <c r="A26" s="259"/>
      <c r="B26" s="21" t="s">
        <v>184</v>
      </c>
      <c r="C26" s="22" t="s">
        <v>185</v>
      </c>
      <c r="D26" t="s">
        <v>186</v>
      </c>
      <c r="E26" t="s">
        <v>179</v>
      </c>
    </row>
    <row r="27" spans="1:7" x14ac:dyDescent="0.25">
      <c r="A27" s="259"/>
      <c r="B27" t="s">
        <v>203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 x14ac:dyDescent="0.25">
      <c r="A28" s="259"/>
      <c r="B28" t="s">
        <v>199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 x14ac:dyDescent="0.25">
      <c r="A29" s="259"/>
      <c r="C29" s="45">
        <f t="shared" si="4"/>
        <v>1</v>
      </c>
      <c r="D29" s="4"/>
      <c r="E29" s="4">
        <f t="shared" si="5"/>
        <v>0</v>
      </c>
    </row>
    <row r="30" spans="1:7" x14ac:dyDescent="0.25">
      <c r="A30" s="259"/>
      <c r="C30" s="45">
        <f t="shared" si="4"/>
        <v>0</v>
      </c>
      <c r="D30" s="4"/>
      <c r="E30" s="4">
        <f t="shared" si="5"/>
        <v>0</v>
      </c>
    </row>
    <row r="31" spans="1:7" x14ac:dyDescent="0.25">
      <c r="A31" s="259"/>
      <c r="C31" s="45">
        <f t="shared" si="4"/>
        <v>0</v>
      </c>
      <c r="D31" s="52"/>
      <c r="E31" s="4">
        <f t="shared" si="5"/>
        <v>0</v>
      </c>
    </row>
    <row r="32" spans="1:7" x14ac:dyDescent="0.25">
      <c r="A32" s="259"/>
      <c r="C32" s="45">
        <f t="shared" si="4"/>
        <v>0</v>
      </c>
      <c r="D32" s="4"/>
      <c r="E32" s="4">
        <f t="shared" si="5"/>
        <v>0</v>
      </c>
    </row>
    <row r="33" spans="2:6" x14ac:dyDescent="0.25">
      <c r="B33" s="67" t="s">
        <v>195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6.5" thickBot="1" x14ac:dyDescent="0.3">
      <c r="B34" s="65"/>
      <c r="C34" s="65"/>
      <c r="D34" s="65"/>
      <c r="E34" s="65"/>
      <c r="F34" s="65"/>
    </row>
    <row r="35" spans="2:6" ht="48.95" customHeight="1" thickBot="1" x14ac:dyDescent="0.35">
      <c r="B35" s="260" t="s">
        <v>204</v>
      </c>
      <c r="C35" s="261"/>
      <c r="D35" s="262">
        <f>(E33/E11)-1</f>
        <v>-0.27303182579564489</v>
      </c>
      <c r="E35" s="263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75" x14ac:dyDescent="0.25"/>
  <cols>
    <col min="1" max="1" width="35.125" bestFit="1" customWidth="1"/>
    <col min="2" max="2" width="8.375" customWidth="1"/>
  </cols>
  <sheetData>
    <row r="1" spans="1:3" x14ac:dyDescent="0.25">
      <c r="A1" s="239" t="s">
        <v>205</v>
      </c>
      <c r="B1" s="239"/>
      <c r="C1" s="239"/>
    </row>
    <row r="2" spans="1:3" x14ac:dyDescent="0.25">
      <c r="B2" s="223" t="s">
        <v>66</v>
      </c>
      <c r="C2" s="223" t="s">
        <v>206</v>
      </c>
    </row>
    <row r="3" spans="1:3" x14ac:dyDescent="0.25">
      <c r="A3" s="37" t="s">
        <v>67</v>
      </c>
      <c r="B3" s="39">
        <v>6.4999999999999997E-3</v>
      </c>
      <c r="C3" s="39">
        <v>1.6500000000000001E-2</v>
      </c>
    </row>
    <row r="4" spans="1:3" x14ac:dyDescent="0.25">
      <c r="A4" s="223" t="s">
        <v>68</v>
      </c>
      <c r="B4" s="40">
        <v>0.03</v>
      </c>
      <c r="C4" s="40">
        <v>7.5999999999999998E-2</v>
      </c>
    </row>
    <row r="5" spans="1:3" x14ac:dyDescent="0.25">
      <c r="A5" s="37" t="s">
        <v>69</v>
      </c>
      <c r="B5" s="155">
        <f>SUM(B3:B4)</f>
        <v>3.6499999999999998E-2</v>
      </c>
      <c r="C5" s="41">
        <f>SUM(C3:C4)</f>
        <v>9.2499999999999999E-2</v>
      </c>
    </row>
    <row r="7" spans="1:3" x14ac:dyDescent="0.25">
      <c r="A7" s="239" t="s">
        <v>207</v>
      </c>
      <c r="B7" s="239"/>
    </row>
    <row r="8" spans="1:3" x14ac:dyDescent="0.25">
      <c r="A8" t="s">
        <v>208</v>
      </c>
      <c r="B8" s="42">
        <v>0.15</v>
      </c>
    </row>
    <row r="9" spans="1:3" x14ac:dyDescent="0.25">
      <c r="A9" s="38" t="s">
        <v>209</v>
      </c>
      <c r="B9" s="43">
        <v>0.09</v>
      </c>
    </row>
    <row r="10" spans="1:3" x14ac:dyDescent="0.25">
      <c r="A10" t="s">
        <v>210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75" x14ac:dyDescent="0.2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 x14ac:dyDescent="0.25">
      <c r="A1" s="268" t="s">
        <v>211</v>
      </c>
      <c r="B1" s="268"/>
      <c r="C1" s="268"/>
      <c r="D1" s="268"/>
      <c r="E1" s="268"/>
    </row>
    <row r="2" spans="1:9" ht="15" customHeight="1" x14ac:dyDescent="0.25">
      <c r="A2" s="268"/>
      <c r="B2" s="268"/>
      <c r="C2" s="268"/>
      <c r="D2" s="268"/>
      <c r="E2" s="268"/>
    </row>
    <row r="3" spans="1:9" x14ac:dyDescent="0.25">
      <c r="A3" s="62" t="s">
        <v>212</v>
      </c>
      <c r="B3" s="54" t="s">
        <v>213</v>
      </c>
      <c r="C3" s="54" t="s">
        <v>36</v>
      </c>
      <c r="D3" s="54" t="s">
        <v>214</v>
      </c>
      <c r="E3" s="54" t="s">
        <v>215</v>
      </c>
    </row>
    <row r="4" spans="1:9" ht="16.5" thickBot="1" x14ac:dyDescent="0.3">
      <c r="A4" t="s">
        <v>216</v>
      </c>
      <c r="B4" s="53"/>
      <c r="C4">
        <v>1</v>
      </c>
      <c r="D4">
        <v>1</v>
      </c>
      <c r="E4" s="84">
        <f>B4*D4</f>
        <v>0</v>
      </c>
    </row>
    <row r="5" spans="1:9" x14ac:dyDescent="0.25">
      <c r="B5" s="53"/>
      <c r="C5">
        <v>2</v>
      </c>
      <c r="D5">
        <v>1</v>
      </c>
      <c r="E5" s="84">
        <f>E4*(1+$I$6)</f>
        <v>0</v>
      </c>
      <c r="I5" s="183" t="s">
        <v>217</v>
      </c>
    </row>
    <row r="6" spans="1:9" ht="16.5" thickBot="1" x14ac:dyDescent="0.3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 x14ac:dyDescent="0.25">
      <c r="B7" s="53"/>
      <c r="D7" s="53"/>
      <c r="E7" s="182"/>
    </row>
    <row r="9" spans="1:9" ht="15" customHeight="1" x14ac:dyDescent="0.25">
      <c r="A9" s="268" t="s">
        <v>218</v>
      </c>
      <c r="B9" s="268"/>
      <c r="C9" s="268"/>
      <c r="D9" s="268"/>
      <c r="E9" s="268"/>
      <c r="F9" s="268"/>
      <c r="G9" s="268"/>
    </row>
    <row r="10" spans="1:9" ht="15" customHeight="1" x14ac:dyDescent="0.25">
      <c r="A10" s="268"/>
      <c r="B10" s="268"/>
      <c r="C10" s="268"/>
      <c r="D10" s="268"/>
      <c r="E10" s="268"/>
      <c r="F10" s="268"/>
      <c r="G10" s="268"/>
    </row>
    <row r="11" spans="1:9" x14ac:dyDescent="0.25">
      <c r="A11" s="62" t="s">
        <v>219</v>
      </c>
      <c r="B11" s="62" t="s">
        <v>220</v>
      </c>
      <c r="C11" s="62" t="s">
        <v>36</v>
      </c>
      <c r="D11" s="62" t="s">
        <v>221</v>
      </c>
      <c r="E11" s="62" t="s">
        <v>222</v>
      </c>
      <c r="F11" s="62" t="s">
        <v>223</v>
      </c>
      <c r="G11" s="62" t="s">
        <v>224</v>
      </c>
    </row>
    <row r="12" spans="1:9" x14ac:dyDescent="0.25">
      <c r="A12" s="166" t="s">
        <v>225</v>
      </c>
      <c r="B12" t="str">
        <f>Dados!A29</f>
        <v>express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 x14ac:dyDescent="0.25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 x14ac:dyDescent="0.25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75" x14ac:dyDescent="0.2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 x14ac:dyDescent="0.25">
      <c r="A1" s="278" t="s">
        <v>226</v>
      </c>
      <c r="B1" s="278"/>
      <c r="C1" s="278"/>
      <c r="D1" s="278"/>
    </row>
    <row r="2" spans="1:4" ht="16.5" thickBot="1" x14ac:dyDescent="0.3">
      <c r="A2" s="278"/>
      <c r="B2" s="278"/>
      <c r="C2" s="278"/>
      <c r="D2" s="278"/>
    </row>
    <row r="3" spans="1:4" ht="16.5" hidden="1" thickBot="1" x14ac:dyDescent="0.3">
      <c r="A3" s="88" t="s">
        <v>73</v>
      </c>
      <c r="B3" s="88">
        <v>4000</v>
      </c>
    </row>
    <row r="4" spans="1:4" ht="15" hidden="1" customHeight="1" x14ac:dyDescent="0.25">
      <c r="C4" s="83" t="s">
        <v>227</v>
      </c>
      <c r="D4" s="276" t="s">
        <v>228</v>
      </c>
    </row>
    <row r="5" spans="1:4" ht="59.1" hidden="1" customHeight="1" x14ac:dyDescent="0.25">
      <c r="A5" s="48" t="s">
        <v>220</v>
      </c>
      <c r="B5" s="50" t="s">
        <v>214</v>
      </c>
      <c r="C5" s="99" t="s">
        <v>229</v>
      </c>
      <c r="D5" s="276"/>
    </row>
    <row r="6" spans="1:4" ht="16.5" hidden="1" thickBot="1" x14ac:dyDescent="0.3">
      <c r="A6" s="49" t="s">
        <v>139</v>
      </c>
      <c r="B6" s="11">
        <v>1</v>
      </c>
      <c r="C6" s="45">
        <v>0.13619999999999999</v>
      </c>
      <c r="D6" s="45">
        <f>C6*$B$3</f>
        <v>544.79999999999995</v>
      </c>
    </row>
    <row r="7" spans="1:4" ht="16.5" hidden="1" thickBot="1" x14ac:dyDescent="0.3">
      <c r="A7" s="49" t="s">
        <v>230</v>
      </c>
      <c r="B7" s="11">
        <v>1</v>
      </c>
      <c r="C7" s="45">
        <v>0.13619999999999999</v>
      </c>
      <c r="D7" s="45">
        <f>C7*$B$3</f>
        <v>544.79999999999995</v>
      </c>
    </row>
    <row r="8" spans="1:4" ht="16.5" hidden="1" thickBot="1" x14ac:dyDescent="0.3">
      <c r="A8" t="s">
        <v>69</v>
      </c>
      <c r="B8" s="11">
        <f>SUM(B6:B7)</f>
        <v>2</v>
      </c>
      <c r="C8" s="45"/>
      <c r="D8" s="45"/>
    </row>
    <row r="9" spans="1:4" ht="16.5" hidden="1" thickBot="1" x14ac:dyDescent="0.3"/>
    <row r="10" spans="1:4" ht="16.5" hidden="1" thickBot="1" x14ac:dyDescent="0.3"/>
    <row r="11" spans="1:4" ht="16.5" hidden="1" thickBot="1" x14ac:dyDescent="0.3">
      <c r="A11" t="s">
        <v>231</v>
      </c>
    </row>
    <row r="12" spans="1:4" ht="16.5" hidden="1" thickBot="1" x14ac:dyDescent="0.3">
      <c r="A12" t="s">
        <v>232</v>
      </c>
    </row>
    <row r="13" spans="1:4" ht="16.5" hidden="1" thickBot="1" x14ac:dyDescent="0.3"/>
    <row r="14" spans="1:4" ht="16.5" hidden="1" thickBot="1" x14ac:dyDescent="0.3"/>
    <row r="15" spans="1:4" ht="16.5" hidden="1" thickBot="1" x14ac:dyDescent="0.3">
      <c r="A15" s="51" t="s">
        <v>73</v>
      </c>
      <c r="B15" s="51">
        <v>6000</v>
      </c>
    </row>
    <row r="16" spans="1:4" ht="15" hidden="1" customHeight="1" x14ac:dyDescent="0.25">
      <c r="C16" s="83" t="s">
        <v>227</v>
      </c>
      <c r="D16" s="276" t="s">
        <v>228</v>
      </c>
    </row>
    <row r="17" spans="1:10" ht="56.1" hidden="1" customHeight="1" x14ac:dyDescent="0.25">
      <c r="A17" s="48" t="s">
        <v>220</v>
      </c>
      <c r="B17" s="50" t="s">
        <v>214</v>
      </c>
      <c r="C17" s="99" t="s">
        <v>229</v>
      </c>
      <c r="D17" s="276"/>
    </row>
    <row r="18" spans="1:10" ht="16.5" hidden="1" thickBot="1" x14ac:dyDescent="0.3">
      <c r="A18" s="49" t="s">
        <v>139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6.5" hidden="1" thickBot="1" x14ac:dyDescent="0.3">
      <c r="A19" s="49" t="s">
        <v>230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6.5" hidden="1" thickBot="1" x14ac:dyDescent="0.3">
      <c r="A20" t="s">
        <v>69</v>
      </c>
      <c r="B20" s="11">
        <f>SUM(B18:B19)</f>
        <v>2</v>
      </c>
      <c r="C20" s="45"/>
      <c r="D20" s="45"/>
    </row>
    <row r="21" spans="1:10" ht="16.5" hidden="1" thickBot="1" x14ac:dyDescent="0.3"/>
    <row r="22" spans="1:10" ht="16.5" hidden="1" thickBot="1" x14ac:dyDescent="0.3"/>
    <row r="23" spans="1:10" ht="16.5" hidden="1" thickBot="1" x14ac:dyDescent="0.3"/>
    <row r="24" spans="1:10" ht="16.5" hidden="1" thickBot="1" x14ac:dyDescent="0.3">
      <c r="A24" s="89" t="s">
        <v>73</v>
      </c>
      <c r="B24" s="89">
        <v>8000</v>
      </c>
    </row>
    <row r="25" spans="1:10" ht="15" hidden="1" customHeight="1" x14ac:dyDescent="0.25">
      <c r="C25" s="83" t="s">
        <v>227</v>
      </c>
      <c r="D25" s="276" t="s">
        <v>228</v>
      </c>
    </row>
    <row r="26" spans="1:10" ht="56.1" hidden="1" customHeight="1" x14ac:dyDescent="0.25">
      <c r="A26" s="48" t="s">
        <v>220</v>
      </c>
      <c r="B26" s="50" t="s">
        <v>214</v>
      </c>
      <c r="C26" s="99" t="s">
        <v>229</v>
      </c>
      <c r="D26" s="276"/>
    </row>
    <row r="27" spans="1:10" ht="16.5" hidden="1" thickBot="1" x14ac:dyDescent="0.3">
      <c r="A27" s="49" t="s">
        <v>139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6.5" hidden="1" thickBot="1" x14ac:dyDescent="0.3">
      <c r="A28" s="49" t="s">
        <v>230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6.5" hidden="1" thickBot="1" x14ac:dyDescent="0.3">
      <c r="A29" t="s">
        <v>69</v>
      </c>
      <c r="B29" s="11">
        <f>SUM(B27:B28)</f>
        <v>2</v>
      </c>
      <c r="C29" s="45"/>
      <c r="D29" s="45"/>
    </row>
    <row r="30" spans="1:10" ht="16.5" hidden="1" thickBot="1" x14ac:dyDescent="0.3"/>
    <row r="31" spans="1:10" ht="16.5" hidden="1" thickBot="1" x14ac:dyDescent="0.3"/>
    <row r="32" spans="1:10" ht="16.5" thickBot="1" x14ac:dyDescent="0.3">
      <c r="A32" s="279" t="s">
        <v>73</v>
      </c>
      <c r="B32" s="281">
        <f>Dados!C14</f>
        <v>0</v>
      </c>
      <c r="C32" s="244" t="s">
        <v>233</v>
      </c>
      <c r="D32" s="245"/>
      <c r="E32" s="244" t="s">
        <v>234</v>
      </c>
      <c r="F32" s="245"/>
      <c r="G32" s="244" t="s">
        <v>235</v>
      </c>
      <c r="H32" s="271"/>
      <c r="I32" s="244" t="s">
        <v>236</v>
      </c>
      <c r="J32" s="271"/>
    </row>
    <row r="33" spans="1:10" ht="16.5" thickBot="1" x14ac:dyDescent="0.3">
      <c r="A33" s="280"/>
      <c r="B33" s="282"/>
      <c r="C33" s="272"/>
      <c r="D33" s="277"/>
      <c r="E33" s="272"/>
      <c r="F33" s="277"/>
      <c r="G33" s="272"/>
      <c r="H33" s="273"/>
      <c r="I33" s="272"/>
      <c r="J33" s="273"/>
    </row>
    <row r="34" spans="1:10" ht="15" customHeight="1" x14ac:dyDescent="0.25">
      <c r="A34" s="283" t="s">
        <v>220</v>
      </c>
      <c r="B34" s="284"/>
      <c r="C34" s="274" t="s">
        <v>227</v>
      </c>
      <c r="D34" s="276" t="s">
        <v>237</v>
      </c>
      <c r="E34" s="274" t="s">
        <v>227</v>
      </c>
      <c r="F34" s="276" t="s">
        <v>237</v>
      </c>
      <c r="G34" s="274" t="s">
        <v>227</v>
      </c>
      <c r="H34" s="275" t="s">
        <v>237</v>
      </c>
      <c r="I34" s="274" t="s">
        <v>227</v>
      </c>
      <c r="J34" s="275" t="s">
        <v>237</v>
      </c>
    </row>
    <row r="35" spans="1:10" x14ac:dyDescent="0.25">
      <c r="A35" s="285"/>
      <c r="B35" s="286"/>
      <c r="C35" s="274"/>
      <c r="D35" s="276"/>
      <c r="E35" s="274"/>
      <c r="F35" s="276"/>
      <c r="G35" s="274"/>
      <c r="H35" s="275"/>
      <c r="I35" s="274"/>
      <c r="J35" s="275"/>
    </row>
    <row r="36" spans="1:10" ht="16.5" thickBot="1" x14ac:dyDescent="0.3">
      <c r="A36" s="269" t="str">
        <f>Dados!A29</f>
        <v>express</v>
      </c>
      <c r="B36" s="270"/>
      <c r="C36" s="193">
        <v>0</v>
      </c>
      <c r="D36" s="191">
        <f>C36*B32</f>
        <v>0</v>
      </c>
      <c r="E36" s="193">
        <v>0</v>
      </c>
      <c r="F36" s="191">
        <f>E36*B32</f>
        <v>0</v>
      </c>
      <c r="G36" s="193">
        <v>0</v>
      </c>
      <c r="H36" s="192">
        <f>G36*B32</f>
        <v>0</v>
      </c>
      <c r="I36" s="193">
        <v>0</v>
      </c>
      <c r="J36" s="192">
        <f>I36*B32</f>
        <v>0</v>
      </c>
    </row>
  </sheetData>
  <mergeCells count="24">
    <mergeCell ref="I32:J32"/>
    <mergeCell ref="I33:J33"/>
    <mergeCell ref="I34:I35"/>
    <mergeCell ref="J34:J35"/>
    <mergeCell ref="D25:D26"/>
    <mergeCell ref="D34:D35"/>
    <mergeCell ref="A1:D2"/>
    <mergeCell ref="D4:D5"/>
    <mergeCell ref="D16:D17"/>
    <mergeCell ref="C34:C35"/>
    <mergeCell ref="C32:D32"/>
    <mergeCell ref="A32:A33"/>
    <mergeCell ref="B32:B33"/>
    <mergeCell ref="A34:B35"/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8"/>
  <sheetViews>
    <sheetView showGridLines="0" workbookViewId="0">
      <selection activeCell="G7" sqref="G7"/>
    </sheetView>
  </sheetViews>
  <sheetFormatPr defaultColWidth="11" defaultRowHeight="15.75" x14ac:dyDescent="0.25"/>
  <cols>
    <col min="2" max="2" width="15.125" bestFit="1" customWidth="1"/>
    <col min="6" max="6" width="21" bestFit="1" customWidth="1"/>
    <col min="7" max="7" width="8" bestFit="1" customWidth="1"/>
    <col min="11" max="11" width="13.875" bestFit="1" customWidth="1"/>
  </cols>
  <sheetData>
    <row r="1" spans="1:23" ht="41.1" customHeight="1" x14ac:dyDescent="0.25">
      <c r="A1" s="290" t="s">
        <v>238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</row>
    <row r="2" spans="1:23" x14ac:dyDescent="0.25">
      <c r="A2" s="239" t="s">
        <v>239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</row>
    <row r="3" spans="1:23" x14ac:dyDescent="0.25">
      <c r="A3" s="239" t="s">
        <v>240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</row>
    <row r="4" spans="1:23" x14ac:dyDescent="0.25">
      <c r="A4" s="291" t="s">
        <v>241</v>
      </c>
      <c r="B4" s="291"/>
      <c r="C4" s="291"/>
      <c r="D4" s="291"/>
      <c r="E4" s="291"/>
      <c r="F4" s="291"/>
      <c r="G4" s="291"/>
      <c r="H4" s="291"/>
      <c r="I4" s="291"/>
      <c r="J4" s="291"/>
      <c r="K4" s="291"/>
    </row>
    <row r="5" spans="1:23" ht="30" customHeight="1" x14ac:dyDescent="0.25">
      <c r="A5" s="47"/>
      <c r="B5" s="47"/>
      <c r="C5" s="287" t="s">
        <v>242</v>
      </c>
      <c r="D5" s="288"/>
      <c r="E5" s="289"/>
      <c r="F5" s="288" t="s">
        <v>243</v>
      </c>
      <c r="G5" s="288"/>
      <c r="H5" s="289"/>
      <c r="I5" s="287" t="s">
        <v>243</v>
      </c>
      <c r="J5" s="288"/>
      <c r="K5" s="289"/>
      <c r="L5" s="287" t="s">
        <v>244</v>
      </c>
      <c r="M5" s="288"/>
      <c r="N5" s="289"/>
      <c r="O5" s="287" t="s">
        <v>245</v>
      </c>
      <c r="P5" s="288"/>
      <c r="Q5" s="289"/>
      <c r="R5" s="287" t="s">
        <v>246</v>
      </c>
      <c r="S5" s="288"/>
      <c r="T5" s="289"/>
      <c r="U5" s="287" t="s">
        <v>247</v>
      </c>
      <c r="V5" s="288"/>
      <c r="W5" s="289"/>
    </row>
    <row r="6" spans="1:23" x14ac:dyDescent="0.25">
      <c r="A6" s="21" t="s">
        <v>220</v>
      </c>
      <c r="B6" s="21" t="s">
        <v>248</v>
      </c>
      <c r="C6" s="22" t="s">
        <v>81</v>
      </c>
      <c r="D6" s="23" t="s">
        <v>249</v>
      </c>
      <c r="E6" s="23" t="s">
        <v>250</v>
      </c>
      <c r="F6" s="21" t="s">
        <v>81</v>
      </c>
      <c r="G6" s="21" t="s">
        <v>249</v>
      </c>
      <c r="H6" s="21" t="s">
        <v>250</v>
      </c>
      <c r="I6" s="22" t="s">
        <v>81</v>
      </c>
      <c r="J6" s="23" t="s">
        <v>249</v>
      </c>
      <c r="K6" s="23" t="s">
        <v>251</v>
      </c>
      <c r="L6" s="22" t="s">
        <v>81</v>
      </c>
      <c r="M6" s="23" t="s">
        <v>249</v>
      </c>
      <c r="N6" s="23" t="s">
        <v>251</v>
      </c>
      <c r="O6" s="22" t="s">
        <v>81</v>
      </c>
      <c r="P6" s="23" t="s">
        <v>249</v>
      </c>
      <c r="Q6" s="23" t="s">
        <v>251</v>
      </c>
      <c r="R6" s="22" t="s">
        <v>81</v>
      </c>
      <c r="S6" s="23" t="s">
        <v>249</v>
      </c>
      <c r="T6" s="23" t="s">
        <v>251</v>
      </c>
      <c r="U6" s="22" t="s">
        <v>81</v>
      </c>
      <c r="V6" s="23" t="s">
        <v>249</v>
      </c>
      <c r="W6" s="23" t="s">
        <v>251</v>
      </c>
    </row>
    <row r="7" spans="1:23" x14ac:dyDescent="0.25">
      <c r="A7" t="str">
        <f>Dados!A29</f>
        <v>express</v>
      </c>
      <c r="B7" s="90">
        <f>Dados!C32</f>
        <v>297000</v>
      </c>
      <c r="C7" s="18">
        <f>((B7*0.015)*0.97)</f>
        <v>4321.3499999999995</v>
      </c>
      <c r="D7" s="19">
        <v>600</v>
      </c>
      <c r="E7" s="19">
        <f>C7+D7</f>
        <v>4921.3499999999995</v>
      </c>
      <c r="F7" s="2">
        <f>(B7*0.015)*0.97</f>
        <v>4321.3499999999995</v>
      </c>
      <c r="G7" s="1">
        <v>150</v>
      </c>
      <c r="H7" s="1">
        <f>F7+G7</f>
        <v>4471.3499999999995</v>
      </c>
      <c r="I7" s="18">
        <f>((B7*0.85)*0.015)*0.97</f>
        <v>3673.1475</v>
      </c>
      <c r="J7" s="19">
        <v>150</v>
      </c>
      <c r="K7" s="19">
        <f>I7+J7</f>
        <v>3823.1475</v>
      </c>
      <c r="L7" s="18">
        <f>(((B7*0.85)*0.85)*0.015)*0.97</f>
        <v>3122.1753749999998</v>
      </c>
      <c r="M7" s="19">
        <v>150</v>
      </c>
      <c r="N7" s="19">
        <f>L7+M7</f>
        <v>3272.1753749999998</v>
      </c>
      <c r="O7" s="18">
        <f>((((B7*0.85)*0.85)*0.85)*0.015)*0.97</f>
        <v>2653.8490687500002</v>
      </c>
      <c r="P7" s="19">
        <v>150</v>
      </c>
      <c r="Q7" s="19">
        <f>O7+P7</f>
        <v>2803.8490687500002</v>
      </c>
      <c r="R7" s="18">
        <f>(((((B7*0.85)*0.85)*0.85)*0.85)*0.015)*0.97</f>
        <v>2255.7717084374999</v>
      </c>
      <c r="S7" s="19">
        <v>150</v>
      </c>
      <c r="T7" s="19">
        <f>R7+S7</f>
        <v>2405.7717084374999</v>
      </c>
      <c r="U7" s="18">
        <f>((((((B7*0.85)*0.85)*0.85)*0.85)*0.85)*0.015)*0.97</f>
        <v>1917.4059521718743</v>
      </c>
      <c r="V7" s="19">
        <v>150</v>
      </c>
      <c r="W7" s="19">
        <f>U7+V7</f>
        <v>2067.4059521718746</v>
      </c>
    </row>
    <row r="8" spans="1:23" x14ac:dyDescent="0.25">
      <c r="B8" s="84"/>
    </row>
  </sheetData>
  <mergeCells count="11">
    <mergeCell ref="R5:T5"/>
    <mergeCell ref="U5:W5"/>
    <mergeCell ref="O5:Q5"/>
    <mergeCell ref="L5:N5"/>
    <mergeCell ref="A1:K1"/>
    <mergeCell ref="I5:K5"/>
    <mergeCell ref="C5:E5"/>
    <mergeCell ref="A3:K3"/>
    <mergeCell ref="A4:K4"/>
    <mergeCell ref="A2:K2"/>
    <mergeCell ref="F5:H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75" x14ac:dyDescent="0.2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 x14ac:dyDescent="0.25">
      <c r="E8">
        <v>2.2540000000000001E-2</v>
      </c>
    </row>
    <row r="9" spans="4:9" x14ac:dyDescent="0.25">
      <c r="D9" t="s">
        <v>252</v>
      </c>
      <c r="E9">
        <f>E8*(1-4.3%)</f>
        <v>2.1570780000000001E-2</v>
      </c>
    </row>
    <row r="10" spans="4:9" x14ac:dyDescent="0.25">
      <c r="E10">
        <v>179700</v>
      </c>
      <c r="G10" s="240" t="s">
        <v>253</v>
      </c>
      <c r="H10" s="240"/>
      <c r="I10" s="240"/>
    </row>
    <row r="11" spans="4:9" x14ac:dyDescent="0.25">
      <c r="E11">
        <f>E9*E10</f>
        <v>3876.269166</v>
      </c>
      <c r="I11" t="s">
        <v>254</v>
      </c>
    </row>
    <row r="12" spans="4:9" x14ac:dyDescent="0.25">
      <c r="G12" t="s">
        <v>255</v>
      </c>
      <c r="H12">
        <v>30</v>
      </c>
      <c r="I12" s="182">
        <v>8.0000000000000002E-3</v>
      </c>
    </row>
    <row r="13" spans="4:9" x14ac:dyDescent="0.25">
      <c r="G13" t="s">
        <v>256</v>
      </c>
      <c r="H13">
        <v>1</v>
      </c>
      <c r="I13" s="215">
        <f>I12/30</f>
        <v>2.6666666666666668E-4</v>
      </c>
    </row>
    <row r="15" spans="4:9" x14ac:dyDescent="0.25">
      <c r="G15" t="s">
        <v>257</v>
      </c>
      <c r="H15">
        <v>10</v>
      </c>
      <c r="I15" s="195">
        <v>0</v>
      </c>
    </row>
    <row r="16" spans="4:9" x14ac:dyDescent="0.25">
      <c r="G16" t="s">
        <v>258</v>
      </c>
      <c r="H16">
        <v>90</v>
      </c>
    </row>
    <row r="17" spans="3:11" x14ac:dyDescent="0.25">
      <c r="H17">
        <v>30</v>
      </c>
      <c r="I17" s="182">
        <f>I13*20</f>
        <v>5.333333333333334E-3</v>
      </c>
    </row>
    <row r="18" spans="3:11" x14ac:dyDescent="0.25">
      <c r="H18">
        <v>60</v>
      </c>
      <c r="I18" s="182">
        <f>(I17)+I12</f>
        <v>1.3333333333333334E-2</v>
      </c>
    </row>
    <row r="19" spans="3:11" x14ac:dyDescent="0.25">
      <c r="H19">
        <v>90</v>
      </c>
      <c r="I19" s="182">
        <f>I18+0.8%</f>
        <v>2.1333333333333336E-2</v>
      </c>
    </row>
    <row r="20" spans="3:11" x14ac:dyDescent="0.25">
      <c r="G20" t="s">
        <v>259</v>
      </c>
      <c r="H20">
        <f>H16-H15</f>
        <v>80</v>
      </c>
    </row>
    <row r="25" spans="3:11" x14ac:dyDescent="0.25">
      <c r="C25" t="s">
        <v>260</v>
      </c>
      <c r="D25" t="s">
        <v>261</v>
      </c>
      <c r="E25" s="219">
        <v>1</v>
      </c>
      <c r="F25" s="4">
        <v>79700</v>
      </c>
    </row>
    <row r="26" spans="3:11" x14ac:dyDescent="0.25">
      <c r="C26" t="s">
        <v>262</v>
      </c>
      <c r="D26" t="s">
        <v>263</v>
      </c>
      <c r="E26" t="s">
        <v>264</v>
      </c>
      <c r="F26" t="s">
        <v>265</v>
      </c>
      <c r="G26" t="s">
        <v>266</v>
      </c>
      <c r="H26" t="s">
        <v>267</v>
      </c>
      <c r="I26" t="s">
        <v>268</v>
      </c>
      <c r="J26" t="s">
        <v>269</v>
      </c>
      <c r="K26" t="s">
        <v>270</v>
      </c>
    </row>
    <row r="27" spans="3:11" x14ac:dyDescent="0.25">
      <c r="C27">
        <v>0</v>
      </c>
      <c r="D27" t="s">
        <v>271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 x14ac:dyDescent="0.25">
      <c r="C28">
        <v>0</v>
      </c>
      <c r="D28" t="s">
        <v>272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 x14ac:dyDescent="0.25">
      <c r="C29">
        <v>0</v>
      </c>
      <c r="D29" t="s">
        <v>273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 x14ac:dyDescent="0.25">
      <c r="C30">
        <v>1</v>
      </c>
      <c r="D30" t="s">
        <v>274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 x14ac:dyDescent="0.25">
      <c r="C31">
        <v>3</v>
      </c>
      <c r="D31" t="s">
        <v>275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 x14ac:dyDescent="0.25">
      <c r="C32">
        <v>4</v>
      </c>
      <c r="D32" t="s">
        <v>276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 x14ac:dyDescent="0.25">
      <c r="C33">
        <v>5</v>
      </c>
      <c r="D33" t="s">
        <v>277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 x14ac:dyDescent="0.25">
      <c r="C34">
        <v>6</v>
      </c>
      <c r="D34" t="s">
        <v>278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 x14ac:dyDescent="0.25">
      <c r="C35">
        <v>7</v>
      </c>
      <c r="D35" t="s">
        <v>279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 x14ac:dyDescent="0.25">
      <c r="C36">
        <v>8</v>
      </c>
      <c r="D36" t="s">
        <v>280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 x14ac:dyDescent="0.25">
      <c r="C37">
        <v>10</v>
      </c>
      <c r="D37" t="s">
        <v>273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 x14ac:dyDescent="0.25">
      <c r="C38">
        <v>11</v>
      </c>
      <c r="D38" t="s">
        <v>281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 x14ac:dyDescent="0.25">
      <c r="C39">
        <v>12</v>
      </c>
      <c r="D39" t="s">
        <v>282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 x14ac:dyDescent="0.25">
      <c r="C40">
        <v>13</v>
      </c>
      <c r="D40" t="s">
        <v>283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 x14ac:dyDescent="0.25">
      <c r="C41">
        <v>14</v>
      </c>
      <c r="D41" t="s">
        <v>284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 x14ac:dyDescent="0.25">
      <c r="C42">
        <v>15</v>
      </c>
      <c r="D42" t="s">
        <v>275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 x14ac:dyDescent="0.25">
      <c r="C43">
        <v>17</v>
      </c>
      <c r="D43" t="s">
        <v>285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 x14ac:dyDescent="0.25">
      <c r="C44">
        <v>18</v>
      </c>
      <c r="D44" t="s">
        <v>278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 x14ac:dyDescent="0.25">
      <c r="C45">
        <v>19</v>
      </c>
      <c r="D45" t="s">
        <v>286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 x14ac:dyDescent="0.25">
      <c r="C46">
        <v>20</v>
      </c>
      <c r="D46" t="s">
        <v>287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 x14ac:dyDescent="0.25">
      <c r="C47">
        <v>21</v>
      </c>
      <c r="D47" t="s">
        <v>272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 x14ac:dyDescent="0.25">
      <c r="C48">
        <v>23</v>
      </c>
      <c r="D48" t="s">
        <v>274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 x14ac:dyDescent="0.25">
      <c r="C49">
        <v>24</v>
      </c>
      <c r="D49" t="s">
        <v>282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 x14ac:dyDescent="0.25">
      <c r="C50">
        <v>25</v>
      </c>
      <c r="D50" t="s">
        <v>288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 x14ac:dyDescent="0.25">
      <c r="C51">
        <v>26</v>
      </c>
      <c r="D51" t="s">
        <v>289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 x14ac:dyDescent="0.25">
      <c r="C52">
        <v>27</v>
      </c>
      <c r="D52" t="s">
        <v>275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 x14ac:dyDescent="0.25">
      <c r="C53">
        <v>28</v>
      </c>
      <c r="D53" t="s">
        <v>276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 x14ac:dyDescent="0.25">
      <c r="C54">
        <v>30</v>
      </c>
      <c r="D54" t="s">
        <v>278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 x14ac:dyDescent="0.25">
      <c r="C55">
        <v>31</v>
      </c>
      <c r="D55" t="s">
        <v>286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 x14ac:dyDescent="0.25">
      <c r="C56">
        <v>32</v>
      </c>
      <c r="D56" t="s">
        <v>280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 x14ac:dyDescent="0.25">
      <c r="C57">
        <v>33</v>
      </c>
      <c r="D57" t="s">
        <v>272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 x14ac:dyDescent="0.25">
      <c r="C58">
        <v>34</v>
      </c>
      <c r="D58" t="s">
        <v>290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 x14ac:dyDescent="0.25">
      <c r="C59">
        <v>35</v>
      </c>
      <c r="D59" t="s">
        <v>274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 x14ac:dyDescent="0.25">
      <c r="C60">
        <v>37</v>
      </c>
      <c r="D60" t="s">
        <v>291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 x14ac:dyDescent="0.25">
      <c r="C61">
        <v>38</v>
      </c>
      <c r="D61" t="s">
        <v>289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 x14ac:dyDescent="0.25">
      <c r="C62">
        <v>39</v>
      </c>
      <c r="D62" t="s">
        <v>275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 x14ac:dyDescent="0.25">
      <c r="C63">
        <v>40</v>
      </c>
      <c r="D63" t="s">
        <v>276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 x14ac:dyDescent="0.25">
      <c r="C64">
        <v>41</v>
      </c>
      <c r="D64" t="s">
        <v>292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 x14ac:dyDescent="0.25">
      <c r="C65">
        <v>43</v>
      </c>
      <c r="D65" t="s">
        <v>279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 x14ac:dyDescent="0.25">
      <c r="C66">
        <v>44</v>
      </c>
      <c r="D66" t="s">
        <v>280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 x14ac:dyDescent="0.25">
      <c r="C67">
        <v>45</v>
      </c>
      <c r="D67" t="s">
        <v>293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 x14ac:dyDescent="0.25">
      <c r="C68">
        <v>46</v>
      </c>
      <c r="D68" t="s">
        <v>294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 x14ac:dyDescent="0.25">
      <c r="C69">
        <v>47</v>
      </c>
      <c r="D69" t="s">
        <v>274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 x14ac:dyDescent="0.25">
      <c r="C70">
        <v>48</v>
      </c>
      <c r="D70" t="s">
        <v>282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 x14ac:dyDescent="0.25">
      <c r="C71">
        <v>50</v>
      </c>
      <c r="D71" t="s">
        <v>289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 x14ac:dyDescent="0.25">
      <c r="C72">
        <v>51</v>
      </c>
      <c r="D72" t="s">
        <v>295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 x14ac:dyDescent="0.25">
      <c r="C73">
        <v>52</v>
      </c>
      <c r="D73" t="s">
        <v>276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 x14ac:dyDescent="0.25">
      <c r="C74">
        <v>53</v>
      </c>
      <c r="D74" t="s">
        <v>292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 x14ac:dyDescent="0.25">
      <c r="C75">
        <v>54</v>
      </c>
      <c r="D75" t="s">
        <v>296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 x14ac:dyDescent="0.25">
      <c r="C76">
        <v>55</v>
      </c>
      <c r="D76" t="s">
        <v>279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 x14ac:dyDescent="0.25">
      <c r="C77" t="s">
        <v>297</v>
      </c>
      <c r="D77" t="s">
        <v>298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 x14ac:dyDescent="0.25">
      <c r="C83">
        <v>0</v>
      </c>
      <c r="D83" t="s">
        <v>271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 x14ac:dyDescent="0.25">
      <c r="C84">
        <v>0</v>
      </c>
      <c r="D84" t="s">
        <v>272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 x14ac:dyDescent="0.25">
      <c r="C85">
        <v>0</v>
      </c>
      <c r="D85" t="s">
        <v>273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 x14ac:dyDescent="0.25">
      <c r="C86">
        <v>1</v>
      </c>
      <c r="D86" t="s">
        <v>274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 x14ac:dyDescent="0.25">
      <c r="C87">
        <v>3</v>
      </c>
      <c r="D87" t="s">
        <v>275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 x14ac:dyDescent="0.25">
      <c r="C88">
        <v>4</v>
      </c>
      <c r="D88" t="s">
        <v>276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 x14ac:dyDescent="0.25">
      <c r="C89">
        <v>5</v>
      </c>
      <c r="D89" t="s">
        <v>277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 x14ac:dyDescent="0.25">
      <c r="C90">
        <v>6</v>
      </c>
      <c r="D90" t="s">
        <v>278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 x14ac:dyDescent="0.25">
      <c r="C91">
        <v>7</v>
      </c>
      <c r="D91" t="s">
        <v>279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 x14ac:dyDescent="0.25">
      <c r="C92">
        <v>8</v>
      </c>
      <c r="D92" t="s">
        <v>280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 x14ac:dyDescent="0.25">
      <c r="C93">
        <v>10</v>
      </c>
      <c r="D93" t="s">
        <v>273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 x14ac:dyDescent="0.25">
      <c r="C94">
        <v>11</v>
      </c>
      <c r="D94" t="s">
        <v>281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 x14ac:dyDescent="0.25">
      <c r="C95">
        <v>12</v>
      </c>
      <c r="D95" t="s">
        <v>282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 x14ac:dyDescent="0.25">
      <c r="C96">
        <v>13</v>
      </c>
      <c r="D96" t="s">
        <v>283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 x14ac:dyDescent="0.25">
      <c r="C97">
        <v>14</v>
      </c>
      <c r="D97" t="s">
        <v>284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 x14ac:dyDescent="0.25">
      <c r="C98">
        <v>15</v>
      </c>
      <c r="D98" t="s">
        <v>275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 x14ac:dyDescent="0.25">
      <c r="C99">
        <v>17</v>
      </c>
      <c r="D99" t="s">
        <v>285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 x14ac:dyDescent="0.25">
      <c r="C100">
        <v>18</v>
      </c>
      <c r="D100" t="s">
        <v>278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 x14ac:dyDescent="0.25">
      <c r="C101">
        <v>19</v>
      </c>
      <c r="D101" t="s">
        <v>286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 x14ac:dyDescent="0.25">
      <c r="C102">
        <v>20</v>
      </c>
      <c r="D102" t="s">
        <v>287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 x14ac:dyDescent="0.25">
      <c r="C103">
        <v>21</v>
      </c>
      <c r="D103" t="s">
        <v>272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 x14ac:dyDescent="0.25">
      <c r="C104">
        <v>23</v>
      </c>
      <c r="D104" t="s">
        <v>274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 x14ac:dyDescent="0.25">
      <c r="C105">
        <v>24</v>
      </c>
      <c r="D105" t="s">
        <v>282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 x14ac:dyDescent="0.25">
      <c r="C106">
        <v>25</v>
      </c>
      <c r="D106" t="s">
        <v>288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 x14ac:dyDescent="0.25">
      <c r="C107">
        <v>26</v>
      </c>
      <c r="D107" t="s">
        <v>289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 x14ac:dyDescent="0.25">
      <c r="C108">
        <v>27</v>
      </c>
      <c r="D108" t="s">
        <v>275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 x14ac:dyDescent="0.25">
      <c r="C109">
        <v>28</v>
      </c>
      <c r="D109" t="s">
        <v>276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 x14ac:dyDescent="0.25">
      <c r="C110">
        <v>30</v>
      </c>
      <c r="D110" t="s">
        <v>278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 x14ac:dyDescent="0.25">
      <c r="C111">
        <v>31</v>
      </c>
      <c r="D111" t="s">
        <v>286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 x14ac:dyDescent="0.25">
      <c r="C112">
        <v>32</v>
      </c>
      <c r="D112" t="s">
        <v>280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 x14ac:dyDescent="0.25">
      <c r="C113">
        <v>33</v>
      </c>
      <c r="D113" t="s">
        <v>272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 x14ac:dyDescent="0.25">
      <c r="C114">
        <v>34</v>
      </c>
      <c r="D114" t="s">
        <v>290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 x14ac:dyDescent="0.25">
      <c r="C115">
        <v>35</v>
      </c>
      <c r="D115" t="s">
        <v>274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 x14ac:dyDescent="0.25">
      <c r="C116">
        <v>37</v>
      </c>
      <c r="D116" t="s">
        <v>291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 x14ac:dyDescent="0.25">
      <c r="C117">
        <v>38</v>
      </c>
      <c r="D117" t="s">
        <v>289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 x14ac:dyDescent="0.25">
      <c r="C118">
        <v>39</v>
      </c>
      <c r="D118" t="s">
        <v>275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 x14ac:dyDescent="0.25">
      <c r="C119">
        <v>40</v>
      </c>
      <c r="D119" t="s">
        <v>276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 x14ac:dyDescent="0.25">
      <c r="C120">
        <v>41</v>
      </c>
      <c r="D120" t="s">
        <v>292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 x14ac:dyDescent="0.25">
      <c r="C121">
        <v>43</v>
      </c>
      <c r="D121" t="s">
        <v>279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 x14ac:dyDescent="0.25">
      <c r="C122">
        <v>44</v>
      </c>
      <c r="D122" t="s">
        <v>280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 x14ac:dyDescent="0.25">
      <c r="C123">
        <v>45</v>
      </c>
      <c r="D123" t="s">
        <v>293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 x14ac:dyDescent="0.25">
      <c r="C124">
        <v>46</v>
      </c>
      <c r="D124" t="s">
        <v>294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 x14ac:dyDescent="0.25">
      <c r="C125">
        <v>47</v>
      </c>
      <c r="D125" t="s">
        <v>274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 x14ac:dyDescent="0.25">
      <c r="C126">
        <v>48</v>
      </c>
      <c r="D126" t="s">
        <v>282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 x14ac:dyDescent="0.25">
      <c r="C127">
        <v>50</v>
      </c>
      <c r="D127" t="s">
        <v>289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 x14ac:dyDescent="0.25">
      <c r="C128">
        <v>51</v>
      </c>
      <c r="D128" t="s">
        <v>295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 x14ac:dyDescent="0.25">
      <c r="C129">
        <v>52</v>
      </c>
      <c r="D129" t="s">
        <v>276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 x14ac:dyDescent="0.25">
      <c r="C130">
        <v>53</v>
      </c>
      <c r="D130" t="s">
        <v>292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 x14ac:dyDescent="0.25">
      <c r="C131">
        <v>54</v>
      </c>
      <c r="D131" t="s">
        <v>296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 x14ac:dyDescent="0.25">
      <c r="C132">
        <v>55</v>
      </c>
      <c r="D132" t="s">
        <v>279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Cashflow</vt:lpstr>
      <vt:lpstr>Financ </vt:lpstr>
      <vt:lpstr>Receita</vt:lpstr>
      <vt:lpstr>Tributos</vt:lpstr>
      <vt:lpstr>Seguros-Rastreamento</vt:lpstr>
      <vt:lpstr>Manutenção</vt:lpstr>
      <vt:lpstr>Licenciamento</vt:lpstr>
      <vt:lpstr>Sheet1</vt:lpstr>
    </vt:vector>
  </TitlesOfParts>
  <Manager/>
  <Company>VSI Transportes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Samuel Fernandes</cp:lastModifiedBy>
  <cp:revision/>
  <dcterms:created xsi:type="dcterms:W3CDTF">2014-07-29T11:47:19Z</dcterms:created>
  <dcterms:modified xsi:type="dcterms:W3CDTF">2026-07-17T01:13:59Z</dcterms:modified>
  <cp:category/>
  <cp:contentStatus/>
</cp:coreProperties>
</file>