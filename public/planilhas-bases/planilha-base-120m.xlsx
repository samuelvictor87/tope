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C:\Users\Administrador\Downloads\planilhas bases\"/>
    </mc:Choice>
  </mc:AlternateContent>
  <xr:revisionPtr revIDLastSave="0" documentId="13_ncr:1_{7BF947C8-B861-4D20-8C5D-6C4C1A57F11A}" xr6:coauthVersionLast="47" xr6:coauthVersionMax="47" xr10:uidLastSave="{00000000-0000-0000-0000-000000000000}"/>
  <bookViews>
    <workbookView xWindow="11568" yWindow="12984" windowWidth="23256" windowHeight="12456" tabRatio="806" firstSheet="1" xr2:uid="{00000000-000D-0000-FFFF-FFFF00000000}"/>
  </bookViews>
  <sheets>
    <sheet name="Dados" sheetId="2" r:id="rId1"/>
    <sheet name="Cashflow" sheetId="42" r:id="rId2"/>
    <sheet name="Financ " sheetId="14" r:id="rId3"/>
    <sheet name="Receita" sheetId="12" state="hidden" r:id="rId4"/>
    <sheet name="Tributos" sheetId="6" r:id="rId5"/>
    <sheet name="Seguros-Rastreamento" sheetId="7" r:id="rId6"/>
    <sheet name="Manutenção" sheetId="8" r:id="rId7"/>
    <sheet name="Licenciamento" sheetId="10" r:id="rId8"/>
    <sheet name="Sheet1" sheetId="43" r:id="rId9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41" i="14" l="1"/>
  <c r="D41" i="14"/>
  <c r="E41" i="14"/>
  <c r="F41" i="14"/>
  <c r="G41" i="14"/>
  <c r="H41" i="14"/>
  <c r="I41" i="14"/>
  <c r="J41" i="14"/>
  <c r="K41" i="14"/>
  <c r="L41" i="14"/>
  <c r="M41" i="14"/>
  <c r="N41" i="14"/>
  <c r="O41" i="14"/>
  <c r="P41" i="14"/>
  <c r="Q41" i="14"/>
  <c r="R41" i="14"/>
  <c r="S41" i="14"/>
  <c r="T41" i="14"/>
  <c r="U41" i="14"/>
  <c r="V41" i="14"/>
  <c r="W41" i="14"/>
  <c r="X41" i="14"/>
  <c r="Y41" i="14"/>
  <c r="Z41" i="14"/>
  <c r="AA41" i="14"/>
  <c r="AB41" i="14"/>
  <c r="AC41" i="14"/>
  <c r="AD41" i="14"/>
  <c r="AE41" i="14"/>
  <c r="AF41" i="14"/>
  <c r="AG41" i="14"/>
  <c r="AH41" i="14"/>
  <c r="AI41" i="14"/>
  <c r="AJ41" i="14"/>
  <c r="AK41" i="14"/>
  <c r="AL41" i="14"/>
  <c r="AM41" i="14"/>
  <c r="AN41" i="14"/>
  <c r="AO41" i="14"/>
  <c r="AP41" i="14"/>
  <c r="AQ41" i="14"/>
  <c r="AR41" i="14"/>
  <c r="AS41" i="14"/>
  <c r="AT41" i="14"/>
  <c r="AU41" i="14"/>
  <c r="AV41" i="14"/>
  <c r="AW41" i="14"/>
  <c r="AX41" i="14"/>
  <c r="AY41" i="14"/>
  <c r="AZ41" i="14"/>
  <c r="BA41" i="14"/>
  <c r="BB41" i="14"/>
  <c r="BC41" i="14"/>
  <c r="BD41" i="14"/>
  <c r="BE41" i="14"/>
  <c r="BF41" i="14"/>
  <c r="BG41" i="14"/>
  <c r="BH41" i="14"/>
  <c r="BI41" i="14"/>
  <c r="BJ41" i="14"/>
  <c r="E88" i="14"/>
  <c r="DY42" i="42"/>
  <c r="DX42" i="42"/>
  <c r="DW42" i="42"/>
  <c r="DV42" i="42"/>
  <c r="DU42" i="42"/>
  <c r="DT42" i="42"/>
  <c r="DS42" i="42"/>
  <c r="DR42" i="42"/>
  <c r="DQ42" i="42"/>
  <c r="DP42" i="42"/>
  <c r="DO42" i="42"/>
  <c r="DN42" i="42"/>
  <c r="DM42" i="42"/>
  <c r="DL42" i="42"/>
  <c r="DK42" i="42"/>
  <c r="DJ42" i="42"/>
  <c r="DI42" i="42"/>
  <c r="DH42" i="42"/>
  <c r="DG42" i="42"/>
  <c r="DF42" i="42"/>
  <c r="DE42" i="42"/>
  <c r="DD42" i="42"/>
  <c r="DC42" i="42"/>
  <c r="DB42" i="42"/>
  <c r="DY16" i="42"/>
  <c r="DX16" i="42"/>
  <c r="DW16" i="42"/>
  <c r="DV16" i="42"/>
  <c r="DU16" i="42"/>
  <c r="DT16" i="42"/>
  <c r="DS16" i="42"/>
  <c r="DR16" i="42"/>
  <c r="DQ16" i="42"/>
  <c r="DP16" i="42"/>
  <c r="DO16" i="42"/>
  <c r="DN16" i="42"/>
  <c r="DM16" i="42"/>
  <c r="DL16" i="42"/>
  <c r="DK16" i="42"/>
  <c r="DJ16" i="42"/>
  <c r="DI16" i="42"/>
  <c r="DH16" i="42"/>
  <c r="DG16" i="42"/>
  <c r="DF16" i="42"/>
  <c r="DE16" i="42"/>
  <c r="DD16" i="42"/>
  <c r="DC16" i="42"/>
  <c r="DB16" i="42"/>
  <c r="DY15" i="42"/>
  <c r="DX15" i="42"/>
  <c r="DW15" i="42"/>
  <c r="DV15" i="42"/>
  <c r="DU15" i="42"/>
  <c r="DT15" i="42"/>
  <c r="DS15" i="42"/>
  <c r="DR15" i="42"/>
  <c r="DQ15" i="42"/>
  <c r="DP15" i="42"/>
  <c r="DO15" i="42"/>
  <c r="DN15" i="42"/>
  <c r="DM15" i="42"/>
  <c r="DL15" i="42"/>
  <c r="DK15" i="42"/>
  <c r="DJ15" i="42"/>
  <c r="DI15" i="42"/>
  <c r="DH15" i="42"/>
  <c r="DG15" i="42"/>
  <c r="DF15" i="42"/>
  <c r="DE15" i="42"/>
  <c r="DD15" i="42"/>
  <c r="DC15" i="42"/>
  <c r="DB15" i="42"/>
  <c r="DX14" i="42"/>
  <c r="DR14" i="42"/>
  <c r="DL14" i="42"/>
  <c r="DF14" i="42"/>
  <c r="DY11" i="42"/>
  <c r="DX11" i="42"/>
  <c r="DW11" i="42"/>
  <c r="DV11" i="42"/>
  <c r="DU11" i="42"/>
  <c r="DT11" i="42"/>
  <c r="DS11" i="42"/>
  <c r="DR11" i="42"/>
  <c r="DQ11" i="42"/>
  <c r="DP11" i="42"/>
  <c r="DO11" i="42"/>
  <c r="DN11" i="42"/>
  <c r="DM11" i="42"/>
  <c r="DL11" i="42"/>
  <c r="DK11" i="42"/>
  <c r="DJ11" i="42"/>
  <c r="DI11" i="42"/>
  <c r="DH11" i="42"/>
  <c r="DG11" i="42"/>
  <c r="DF11" i="42"/>
  <c r="DE11" i="42"/>
  <c r="DD11" i="42"/>
  <c r="DC11" i="42"/>
  <c r="DB11" i="42"/>
  <c r="DA42" i="42"/>
  <c r="CZ42" i="42"/>
  <c r="CY42" i="42"/>
  <c r="CX42" i="42"/>
  <c r="CW42" i="42"/>
  <c r="CV42" i="42"/>
  <c r="CU42" i="42"/>
  <c r="CT42" i="42"/>
  <c r="CS42" i="42"/>
  <c r="CR42" i="42"/>
  <c r="CQ42" i="42"/>
  <c r="CP42" i="42"/>
  <c r="DA16" i="42"/>
  <c r="CZ16" i="42"/>
  <c r="CY16" i="42"/>
  <c r="CX16" i="42"/>
  <c r="CW16" i="42"/>
  <c r="CV16" i="42"/>
  <c r="CU16" i="42"/>
  <c r="CT16" i="42"/>
  <c r="CS16" i="42"/>
  <c r="CR16" i="42"/>
  <c r="CQ16" i="42"/>
  <c r="CP16" i="42"/>
  <c r="DA15" i="42"/>
  <c r="CZ15" i="42"/>
  <c r="CY15" i="42"/>
  <c r="CX15" i="42"/>
  <c r="CW15" i="42"/>
  <c r="CV15" i="42"/>
  <c r="CU15" i="42"/>
  <c r="CT15" i="42"/>
  <c r="CS15" i="42"/>
  <c r="CR15" i="42"/>
  <c r="CQ15" i="42"/>
  <c r="CP15" i="42"/>
  <c r="CZ14" i="42"/>
  <c r="CT14" i="42"/>
  <c r="DA11" i="42"/>
  <c r="CZ11" i="42"/>
  <c r="CY11" i="42"/>
  <c r="CX11" i="42"/>
  <c r="CW11" i="42"/>
  <c r="CV11" i="42"/>
  <c r="CU11" i="42"/>
  <c r="CT11" i="42"/>
  <c r="CS11" i="42"/>
  <c r="CR11" i="42"/>
  <c r="CQ11" i="42"/>
  <c r="CP11" i="42"/>
  <c r="Y8" i="10"/>
  <c r="V8" i="10"/>
  <c r="S8" i="10"/>
  <c r="P8" i="10"/>
  <c r="M8" i="10"/>
  <c r="J8" i="10"/>
  <c r="G8" i="10"/>
  <c r="D8" i="10"/>
  <c r="CN42" i="42"/>
  <c r="CN16" i="42"/>
  <c r="CN15" i="42"/>
  <c r="CN14" i="42"/>
  <c r="CN11" i="42"/>
  <c r="CO42" i="42"/>
  <c r="CM42" i="42"/>
  <c r="CL42" i="42"/>
  <c r="CK42" i="42"/>
  <c r="CJ42" i="42"/>
  <c r="CI42" i="42"/>
  <c r="CO16" i="42"/>
  <c r="CM16" i="42"/>
  <c r="CL16" i="42"/>
  <c r="CK16" i="42"/>
  <c r="CJ16" i="42"/>
  <c r="CI16" i="42"/>
  <c r="CO15" i="42"/>
  <c r="CM15" i="42"/>
  <c r="CL15" i="42"/>
  <c r="CK15" i="42"/>
  <c r="CJ15" i="42"/>
  <c r="CI15" i="42"/>
  <c r="CO11" i="42"/>
  <c r="CM11" i="42"/>
  <c r="CL11" i="42"/>
  <c r="CK11" i="42"/>
  <c r="CJ11" i="42"/>
  <c r="CI11" i="42"/>
  <c r="BP42" i="42"/>
  <c r="BP16" i="42"/>
  <c r="BP15" i="42"/>
  <c r="BQ42" i="42"/>
  <c r="BQ16" i="42"/>
  <c r="BQ15" i="42"/>
  <c r="BR42" i="42"/>
  <c r="BR16" i="42"/>
  <c r="BR15" i="42"/>
  <c r="BS42" i="42"/>
  <c r="BS16" i="42"/>
  <c r="BS15" i="42"/>
  <c r="BT42" i="42"/>
  <c r="BT16" i="42"/>
  <c r="BT15" i="42"/>
  <c r="CH42" i="42"/>
  <c r="CG42" i="42"/>
  <c r="CF42" i="42"/>
  <c r="CE42" i="42"/>
  <c r="CD42" i="42"/>
  <c r="CC42" i="42"/>
  <c r="CB42" i="42"/>
  <c r="CA42" i="42"/>
  <c r="BZ42" i="42"/>
  <c r="BY42" i="42"/>
  <c r="BX42" i="42"/>
  <c r="BW42" i="42"/>
  <c r="CA17" i="42"/>
  <c r="BZ17" i="42"/>
  <c r="BY17" i="42"/>
  <c r="BX17" i="42"/>
  <c r="BW17" i="42"/>
  <c r="CH16" i="42"/>
  <c r="CG16" i="42"/>
  <c r="CF16" i="42"/>
  <c r="CE16" i="42"/>
  <c r="CD16" i="42"/>
  <c r="CC16" i="42"/>
  <c r="CB16" i="42"/>
  <c r="CA16" i="42"/>
  <c r="BZ16" i="42"/>
  <c r="BY16" i="42"/>
  <c r="BX16" i="42"/>
  <c r="BW16" i="42"/>
  <c r="CH15" i="42"/>
  <c r="CG15" i="42"/>
  <c r="CF15" i="42"/>
  <c r="CE15" i="42"/>
  <c r="CD15" i="42"/>
  <c r="CC15" i="42"/>
  <c r="CB15" i="42"/>
  <c r="CA15" i="42"/>
  <c r="BZ15" i="42"/>
  <c r="BY15" i="42"/>
  <c r="BX15" i="42"/>
  <c r="BW15" i="42"/>
  <c r="CH11" i="42"/>
  <c r="CG11" i="42"/>
  <c r="CF11" i="42"/>
  <c r="CE11" i="42"/>
  <c r="CD11" i="42"/>
  <c r="CC11" i="42"/>
  <c r="CB11" i="42"/>
  <c r="CA11" i="42"/>
  <c r="BZ11" i="42"/>
  <c r="BY11" i="42"/>
  <c r="B29" i="14"/>
  <c r="I66" i="42"/>
  <c r="J66" i="42" s="1"/>
  <c r="E9" i="43"/>
  <c r="E11" i="43"/>
  <c r="K28" i="42"/>
  <c r="T28" i="42" s="1"/>
  <c r="K15" i="42"/>
  <c r="E4" i="7"/>
  <c r="K16" i="42"/>
  <c r="G12" i="7"/>
  <c r="M17" i="42"/>
  <c r="B32" i="8"/>
  <c r="D36" i="8" s="1"/>
  <c r="L15" i="42"/>
  <c r="L16" i="42"/>
  <c r="M15" i="42"/>
  <c r="M16" i="42"/>
  <c r="N15" i="42"/>
  <c r="N16" i="42"/>
  <c r="N17" i="42"/>
  <c r="H55" i="14"/>
  <c r="O15" i="42"/>
  <c r="O16" i="42"/>
  <c r="O17" i="42"/>
  <c r="I55" i="14"/>
  <c r="P15" i="42"/>
  <c r="P16" i="42"/>
  <c r="J55" i="14"/>
  <c r="Q15" i="42"/>
  <c r="Q16" i="42"/>
  <c r="K55" i="14"/>
  <c r="R15" i="42"/>
  <c r="R16" i="42"/>
  <c r="L55" i="14"/>
  <c r="S15" i="42"/>
  <c r="S16" i="42"/>
  <c r="M55" i="14"/>
  <c r="T15" i="42"/>
  <c r="T16" i="42"/>
  <c r="N55" i="14"/>
  <c r="U15" i="42"/>
  <c r="U16" i="42"/>
  <c r="O55" i="14"/>
  <c r="V15" i="42"/>
  <c r="V16" i="42"/>
  <c r="P55" i="14"/>
  <c r="W15" i="42"/>
  <c r="E5" i="7"/>
  <c r="W16" i="42"/>
  <c r="E13" i="7"/>
  <c r="G13" i="7"/>
  <c r="W17" i="42"/>
  <c r="F36" i="8"/>
  <c r="AA18" i="42" s="1"/>
  <c r="Q55" i="14"/>
  <c r="X15" i="42"/>
  <c r="X16" i="42"/>
  <c r="R55" i="14"/>
  <c r="Y15" i="42"/>
  <c r="S55" i="14"/>
  <c r="Z15" i="42"/>
  <c r="Z17" i="42"/>
  <c r="T55" i="14"/>
  <c r="AA15" i="42"/>
  <c r="AA16" i="42"/>
  <c r="U55" i="14"/>
  <c r="AB15" i="42"/>
  <c r="AB16" i="42"/>
  <c r="V55" i="14"/>
  <c r="AC15" i="42"/>
  <c r="W55" i="14"/>
  <c r="AD15" i="42"/>
  <c r="X55" i="14"/>
  <c r="AE15" i="42"/>
  <c r="AE16" i="42"/>
  <c r="Y55" i="14"/>
  <c r="AF15" i="42"/>
  <c r="AF16" i="42"/>
  <c r="AF18" i="42"/>
  <c r="Z55" i="14"/>
  <c r="AG15" i="42"/>
  <c r="AG16" i="42"/>
  <c r="AA55" i="14"/>
  <c r="AH15" i="42"/>
  <c r="E14" i="7"/>
  <c r="G14" i="7"/>
  <c r="AB55" i="14"/>
  <c r="AI15" i="42"/>
  <c r="AI16" i="42"/>
  <c r="AC55" i="14"/>
  <c r="AJ15" i="42"/>
  <c r="AJ16" i="42"/>
  <c r="AD55" i="14"/>
  <c r="AK15" i="42"/>
  <c r="AK16" i="42"/>
  <c r="AE55" i="14"/>
  <c r="AL15" i="42"/>
  <c r="AL16" i="42"/>
  <c r="AF55" i="14"/>
  <c r="AM15" i="42"/>
  <c r="AM16" i="42"/>
  <c r="AG55" i="14"/>
  <c r="AN15" i="42"/>
  <c r="AN16" i="42"/>
  <c r="AH55" i="14"/>
  <c r="AO15" i="42"/>
  <c r="AO16" i="42"/>
  <c r="AI55" i="14"/>
  <c r="AP15" i="42"/>
  <c r="AP16" i="42"/>
  <c r="AJ55" i="14"/>
  <c r="AQ15" i="42"/>
  <c r="AQ16" i="42"/>
  <c r="AK55" i="14"/>
  <c r="AR15" i="42"/>
  <c r="AR16" i="42"/>
  <c r="AL55" i="14"/>
  <c r="AS15" i="42"/>
  <c r="AS16" i="42"/>
  <c r="AM55" i="14"/>
  <c r="AT15" i="42"/>
  <c r="AT16" i="42"/>
  <c r="AN55" i="14"/>
  <c r="AU15" i="42"/>
  <c r="AU16" i="42"/>
  <c r="AO55" i="14"/>
  <c r="AV15" i="42"/>
  <c r="AV16" i="42"/>
  <c r="AR55" i="14"/>
  <c r="AS55" i="14"/>
  <c r="AT55" i="14"/>
  <c r="AU55" i="14"/>
  <c r="AV55" i="14"/>
  <c r="AW55" i="14"/>
  <c r="AX55" i="14"/>
  <c r="AY55" i="14"/>
  <c r="AZ55" i="14"/>
  <c r="BA55" i="14"/>
  <c r="BB55" i="14"/>
  <c r="BC55" i="14"/>
  <c r="BD55" i="14"/>
  <c r="BE55" i="14"/>
  <c r="BF55" i="14"/>
  <c r="BG55" i="14"/>
  <c r="BH55" i="14"/>
  <c r="BI55" i="14"/>
  <c r="BJ55" i="14"/>
  <c r="BK55" i="14"/>
  <c r="BL55" i="14"/>
  <c r="BL88" i="14" s="1"/>
  <c r="L51" i="14"/>
  <c r="AP55" i="14" s="1"/>
  <c r="AW15" i="42"/>
  <c r="AW16" i="42"/>
  <c r="AQ55" i="14"/>
  <c r="AX15" i="42"/>
  <c r="AX16" i="42"/>
  <c r="AY15" i="42"/>
  <c r="AY16" i="42"/>
  <c r="AZ15" i="42"/>
  <c r="AZ16" i="42"/>
  <c r="BA15" i="42"/>
  <c r="BA16" i="42"/>
  <c r="BB15" i="42"/>
  <c r="BB16" i="42"/>
  <c r="BC15" i="42"/>
  <c r="BC16" i="42"/>
  <c r="BD15" i="42"/>
  <c r="BD16" i="42"/>
  <c r="BE15" i="42"/>
  <c r="BE16" i="42"/>
  <c r="BF15" i="42"/>
  <c r="BF16" i="42"/>
  <c r="BG15" i="42"/>
  <c r="BG16" i="42"/>
  <c r="BH15" i="42"/>
  <c r="BH16" i="42"/>
  <c r="BI15" i="42"/>
  <c r="BI16" i="42"/>
  <c r="BJ15" i="42"/>
  <c r="BJ16" i="42"/>
  <c r="BK15" i="42"/>
  <c r="BK16" i="42"/>
  <c r="BL15" i="42"/>
  <c r="BL16" i="42"/>
  <c r="BM15" i="42"/>
  <c r="BM16" i="42"/>
  <c r="BN15" i="42"/>
  <c r="BN16" i="42"/>
  <c r="BO15" i="42"/>
  <c r="BO16" i="42"/>
  <c r="BU15" i="42"/>
  <c r="BU16" i="42"/>
  <c r="BV15" i="42"/>
  <c r="BV16" i="42"/>
  <c r="BK88" i="14"/>
  <c r="DZ15" i="42"/>
  <c r="DZ16" i="42"/>
  <c r="C39" i="2"/>
  <c r="EB15" i="42"/>
  <c r="EB13" i="42" s="1"/>
  <c r="EB11" i="42"/>
  <c r="EB50" i="42"/>
  <c r="EB51" i="42"/>
  <c r="H13" i="42"/>
  <c r="B78" i="14"/>
  <c r="H50" i="42"/>
  <c r="H51" i="42"/>
  <c r="H54" i="42"/>
  <c r="I50" i="42"/>
  <c r="I51" i="42"/>
  <c r="I54" i="42"/>
  <c r="J15" i="42"/>
  <c r="J17" i="42"/>
  <c r="J50" i="42"/>
  <c r="J51" i="42"/>
  <c r="J54" i="42"/>
  <c r="EA15" i="42"/>
  <c r="EA13" i="42" s="1"/>
  <c r="BM55" i="14"/>
  <c r="BM88" i="14"/>
  <c r="EA11" i="42" s="1"/>
  <c r="EA50" i="42"/>
  <c r="EA51" i="42"/>
  <c r="EA54" i="42"/>
  <c r="H70" i="42"/>
  <c r="G8" i="2"/>
  <c r="I13" i="43"/>
  <c r="I17" i="43"/>
  <c r="I18" i="43"/>
  <c r="I19" i="43"/>
  <c r="H20" i="43"/>
  <c r="I78" i="42"/>
  <c r="J78" i="42" s="1"/>
  <c r="J79" i="42" s="1"/>
  <c r="J80" i="42" s="1"/>
  <c r="H79" i="42"/>
  <c r="J71" i="42"/>
  <c r="J69" i="42"/>
  <c r="B39" i="14"/>
  <c r="C39" i="14" s="1"/>
  <c r="D39" i="14" s="1"/>
  <c r="E39" i="14" s="1"/>
  <c r="F39" i="14" s="1"/>
  <c r="G39" i="14" s="1"/>
  <c r="H39" i="14" s="1"/>
  <c r="I39" i="14" s="1"/>
  <c r="J39" i="14" s="1"/>
  <c r="K39" i="14" s="1"/>
  <c r="L39" i="14" s="1"/>
  <c r="M39" i="14" s="1"/>
  <c r="N39" i="14" s="1"/>
  <c r="O39" i="14" s="1"/>
  <c r="P39" i="14" s="1"/>
  <c r="Q39" i="14" s="1"/>
  <c r="R39" i="14" s="1"/>
  <c r="S39" i="14" s="1"/>
  <c r="T39" i="14" s="1"/>
  <c r="U39" i="14" s="1"/>
  <c r="V39" i="14" s="1"/>
  <c r="W39" i="14" s="1"/>
  <c r="X39" i="14" s="1"/>
  <c r="Y39" i="14" s="1"/>
  <c r="Z39" i="14" s="1"/>
  <c r="AA39" i="14" s="1"/>
  <c r="AB39" i="14" s="1"/>
  <c r="AC39" i="14" s="1"/>
  <c r="AD39" i="14" s="1"/>
  <c r="AE39" i="14" s="1"/>
  <c r="AF39" i="14" s="1"/>
  <c r="AG39" i="14" s="1"/>
  <c r="AH39" i="14" s="1"/>
  <c r="AI39" i="14" s="1"/>
  <c r="AJ39" i="14" s="1"/>
  <c r="AK39" i="14" s="1"/>
  <c r="AL39" i="14" s="1"/>
  <c r="AM39" i="14" s="1"/>
  <c r="AN39" i="14" s="1"/>
  <c r="AO39" i="14" s="1"/>
  <c r="AP39" i="14" s="1"/>
  <c r="AQ39" i="14" s="1"/>
  <c r="AR39" i="14" s="1"/>
  <c r="AS39" i="14" s="1"/>
  <c r="AT39" i="14" s="1"/>
  <c r="AU39" i="14" s="1"/>
  <c r="AV39" i="14" s="1"/>
  <c r="AW39" i="14" s="1"/>
  <c r="AX39" i="14" s="1"/>
  <c r="AY39" i="14" s="1"/>
  <c r="AZ39" i="14" s="1"/>
  <c r="BA39" i="14" s="1"/>
  <c r="BB39" i="14" s="1"/>
  <c r="BC39" i="14" s="1"/>
  <c r="BD39" i="14" s="1"/>
  <c r="BE39" i="14" s="1"/>
  <c r="BF39" i="14" s="1"/>
  <c r="BG39" i="14" s="1"/>
  <c r="BH39" i="14" s="1"/>
  <c r="BI39" i="14" s="1"/>
  <c r="BJ39" i="14" s="1"/>
  <c r="BK39" i="14" s="1"/>
  <c r="B40" i="14"/>
  <c r="C40" i="14" s="1"/>
  <c r="D40" i="14" s="1"/>
  <c r="E40" i="14" s="1"/>
  <c r="F40" i="14" s="1"/>
  <c r="G40" i="14" s="1"/>
  <c r="H40" i="14" s="1"/>
  <c r="I40" i="14" s="1"/>
  <c r="J40" i="14" s="1"/>
  <c r="K40" i="14" s="1"/>
  <c r="L40" i="14" s="1"/>
  <c r="M40" i="14" s="1"/>
  <c r="N40" i="14" s="1"/>
  <c r="O40" i="14" s="1"/>
  <c r="P40" i="14" s="1"/>
  <c r="Q40" i="14" s="1"/>
  <c r="R40" i="14" s="1"/>
  <c r="S40" i="14" s="1"/>
  <c r="T40" i="14" s="1"/>
  <c r="U40" i="14" s="1"/>
  <c r="V40" i="14" s="1"/>
  <c r="W40" i="14" s="1"/>
  <c r="X40" i="14" s="1"/>
  <c r="Y40" i="14" s="1"/>
  <c r="Z40" i="14" s="1"/>
  <c r="AA40" i="14" s="1"/>
  <c r="AB40" i="14" s="1"/>
  <c r="AC40" i="14" s="1"/>
  <c r="AD40" i="14" s="1"/>
  <c r="AE40" i="14" s="1"/>
  <c r="AF40" i="14" s="1"/>
  <c r="AG40" i="14" s="1"/>
  <c r="AH40" i="14" s="1"/>
  <c r="AI40" i="14" s="1"/>
  <c r="AJ40" i="14" s="1"/>
  <c r="AK40" i="14" s="1"/>
  <c r="AL40" i="14" s="1"/>
  <c r="AM40" i="14" s="1"/>
  <c r="AN40" i="14" s="1"/>
  <c r="AO40" i="14" s="1"/>
  <c r="AP40" i="14" s="1"/>
  <c r="AQ40" i="14" s="1"/>
  <c r="AR40" i="14" s="1"/>
  <c r="AS40" i="14" s="1"/>
  <c r="AT40" i="14" s="1"/>
  <c r="AU40" i="14" s="1"/>
  <c r="AV40" i="14" s="1"/>
  <c r="AW40" i="14" s="1"/>
  <c r="AX40" i="14" s="1"/>
  <c r="AY40" i="14" s="1"/>
  <c r="AZ40" i="14" s="1"/>
  <c r="BA40" i="14" s="1"/>
  <c r="BB40" i="14" s="1"/>
  <c r="BC40" i="14" s="1"/>
  <c r="BD40" i="14" s="1"/>
  <c r="BE40" i="14" s="1"/>
  <c r="BF40" i="14" s="1"/>
  <c r="BG40" i="14" s="1"/>
  <c r="BH40" i="14" s="1"/>
  <c r="BI40" i="14" s="1"/>
  <c r="BJ40" i="14" s="1"/>
  <c r="BK40" i="14" s="1"/>
  <c r="I7" i="42"/>
  <c r="J7" i="42" s="1"/>
  <c r="K7" i="42" s="1"/>
  <c r="L7" i="42" s="1"/>
  <c r="M7" i="42" s="1"/>
  <c r="N7" i="42" s="1"/>
  <c r="O7" i="42" s="1"/>
  <c r="P7" i="42" s="1"/>
  <c r="Q7" i="42" s="1"/>
  <c r="R7" i="42" s="1"/>
  <c r="S7" i="42" s="1"/>
  <c r="T7" i="42" s="1"/>
  <c r="U7" i="42" s="1"/>
  <c r="V7" i="42" s="1"/>
  <c r="W7" i="42" s="1"/>
  <c r="X7" i="42" s="1"/>
  <c r="Y7" i="42" s="1"/>
  <c r="Z7" i="42" s="1"/>
  <c r="AA7" i="42" s="1"/>
  <c r="AB7" i="42" s="1"/>
  <c r="AC7" i="42" s="1"/>
  <c r="AD7" i="42" s="1"/>
  <c r="AE7" i="42" s="1"/>
  <c r="AF7" i="42" s="1"/>
  <c r="AG7" i="42" s="1"/>
  <c r="AH7" i="42" s="1"/>
  <c r="AI7" i="42" s="1"/>
  <c r="AJ7" i="42" s="1"/>
  <c r="AK7" i="42" s="1"/>
  <c r="AL7" i="42" s="1"/>
  <c r="AM7" i="42" s="1"/>
  <c r="AN7" i="42" s="1"/>
  <c r="AO7" i="42" s="1"/>
  <c r="AP7" i="42" s="1"/>
  <c r="AQ7" i="42" s="1"/>
  <c r="AR7" i="42" s="1"/>
  <c r="AS7" i="42" s="1"/>
  <c r="AT7" i="42" s="1"/>
  <c r="AU7" i="42" s="1"/>
  <c r="AV7" i="42" s="1"/>
  <c r="AW7" i="42" s="1"/>
  <c r="AX7" i="42" s="1"/>
  <c r="AY7" i="42" s="1"/>
  <c r="AZ7" i="42" s="1"/>
  <c r="BA7" i="42" s="1"/>
  <c r="BB7" i="42" s="1"/>
  <c r="BC7" i="42" s="1"/>
  <c r="BD7" i="42" s="1"/>
  <c r="BE7" i="42" s="1"/>
  <c r="BF7" i="42" s="1"/>
  <c r="BG7" i="42" s="1"/>
  <c r="BH7" i="42" s="1"/>
  <c r="BI7" i="42" s="1"/>
  <c r="BJ7" i="42" s="1"/>
  <c r="BK7" i="42" s="1"/>
  <c r="BL7" i="42" s="1"/>
  <c r="BM7" i="42" s="1"/>
  <c r="BN7" i="42" s="1"/>
  <c r="I8" i="42"/>
  <c r="J8" i="42" s="1"/>
  <c r="K8" i="42" s="1"/>
  <c r="L8" i="42" s="1"/>
  <c r="M8" i="42" s="1"/>
  <c r="N8" i="42" s="1"/>
  <c r="O8" i="42" s="1"/>
  <c r="P8" i="42" s="1"/>
  <c r="Q8" i="42" s="1"/>
  <c r="R8" i="42" s="1"/>
  <c r="S8" i="42" s="1"/>
  <c r="T8" i="42" s="1"/>
  <c r="U8" i="42" s="1"/>
  <c r="V8" i="42" s="1"/>
  <c r="W8" i="42" s="1"/>
  <c r="X8" i="42" s="1"/>
  <c r="Y8" i="42" s="1"/>
  <c r="Z8" i="42" s="1"/>
  <c r="AA8" i="42" s="1"/>
  <c r="AB8" i="42" s="1"/>
  <c r="AC8" i="42" s="1"/>
  <c r="AD8" i="42" s="1"/>
  <c r="AE8" i="42" s="1"/>
  <c r="AF8" i="42" s="1"/>
  <c r="AG8" i="42" s="1"/>
  <c r="AH8" i="42" s="1"/>
  <c r="AI8" i="42" s="1"/>
  <c r="AJ8" i="42" s="1"/>
  <c r="AK8" i="42" s="1"/>
  <c r="AL8" i="42" s="1"/>
  <c r="AM8" i="42" s="1"/>
  <c r="AN8" i="42" s="1"/>
  <c r="AO8" i="42" s="1"/>
  <c r="AP8" i="42" s="1"/>
  <c r="AQ8" i="42" s="1"/>
  <c r="AR8" i="42" s="1"/>
  <c r="AS8" i="42" s="1"/>
  <c r="AT8" i="42" s="1"/>
  <c r="AU8" i="42" s="1"/>
  <c r="AV8" i="42" s="1"/>
  <c r="AW8" i="42" s="1"/>
  <c r="AX8" i="42" s="1"/>
  <c r="AY8" i="42" s="1"/>
  <c r="AZ8" i="42" s="1"/>
  <c r="BA8" i="42" s="1"/>
  <c r="BB8" i="42" s="1"/>
  <c r="BC8" i="42" s="1"/>
  <c r="BD8" i="42" s="1"/>
  <c r="BE8" i="42" s="1"/>
  <c r="BF8" i="42" s="1"/>
  <c r="BG8" i="42" s="1"/>
  <c r="BH8" i="42" s="1"/>
  <c r="BI8" i="42" s="1"/>
  <c r="BJ8" i="42" s="1"/>
  <c r="BK8" i="42" s="1"/>
  <c r="BL8" i="42" s="1"/>
  <c r="BM8" i="42" s="1"/>
  <c r="BN8" i="42" s="1"/>
  <c r="BO8" i="42" s="1"/>
  <c r="BP8" i="42" s="1"/>
  <c r="BQ8" i="42" s="1"/>
  <c r="BR8" i="42" s="1"/>
  <c r="BS8" i="42" s="1"/>
  <c r="BT8" i="42" s="1"/>
  <c r="BU8" i="42" s="1"/>
  <c r="BV8" i="42" s="1"/>
  <c r="BW8" i="42" s="1"/>
  <c r="BX8" i="42" s="1"/>
  <c r="BY8" i="42" s="1"/>
  <c r="BZ8" i="42" s="1"/>
  <c r="CA8" i="42" s="1"/>
  <c r="CB8" i="42" s="1"/>
  <c r="CC8" i="42" s="1"/>
  <c r="CD8" i="42" s="1"/>
  <c r="CE8" i="42" s="1"/>
  <c r="CF8" i="42" s="1"/>
  <c r="CG8" i="42" s="1"/>
  <c r="CH8" i="42" s="1"/>
  <c r="CI8" i="42" s="1"/>
  <c r="CJ8" i="42" s="1"/>
  <c r="CK8" i="42" s="1"/>
  <c r="CL8" i="42" s="1"/>
  <c r="CM8" i="42" s="1"/>
  <c r="CO8" i="42" s="1"/>
  <c r="BV42" i="42"/>
  <c r="BU42" i="42"/>
  <c r="BO42" i="42"/>
  <c r="BN42" i="42"/>
  <c r="BM42" i="42"/>
  <c r="BL42" i="42"/>
  <c r="BK42" i="42"/>
  <c r="BJ42" i="42"/>
  <c r="BI42" i="42"/>
  <c r="BH42" i="42"/>
  <c r="BG42" i="42"/>
  <c r="BF42" i="42"/>
  <c r="B5" i="6"/>
  <c r="K9" i="42"/>
  <c r="L9" i="42" s="1"/>
  <c r="M9" i="42" s="1"/>
  <c r="N9" i="42" s="1"/>
  <c r="O9" i="42" s="1"/>
  <c r="P9" i="42" s="1"/>
  <c r="Q9" i="42" s="1"/>
  <c r="R9" i="42" s="1"/>
  <c r="S9" i="42" s="1"/>
  <c r="T9" i="42" s="1"/>
  <c r="U9" i="42" s="1"/>
  <c r="V9" i="42" s="1"/>
  <c r="W9" i="42" s="1"/>
  <c r="X9" i="42" s="1"/>
  <c r="Y9" i="42" s="1"/>
  <c r="Z9" i="42" s="1"/>
  <c r="AA9" i="42" s="1"/>
  <c r="AB9" i="42" s="1"/>
  <c r="AC9" i="42" s="1"/>
  <c r="AD9" i="42" s="1"/>
  <c r="AE9" i="42" s="1"/>
  <c r="AF9" i="42" s="1"/>
  <c r="AG9" i="42" s="1"/>
  <c r="AH9" i="42" s="1"/>
  <c r="AI9" i="42" s="1"/>
  <c r="AJ9" i="42" s="1"/>
  <c r="AK9" i="42" s="1"/>
  <c r="AL9" i="42" s="1"/>
  <c r="AM9" i="42" s="1"/>
  <c r="AN9" i="42" s="1"/>
  <c r="AO9" i="42" s="1"/>
  <c r="AP9" i="42" s="1"/>
  <c r="AQ9" i="42" s="1"/>
  <c r="AR9" i="42" s="1"/>
  <c r="AS9" i="42" s="1"/>
  <c r="AT9" i="42" s="1"/>
  <c r="AU9" i="42" s="1"/>
  <c r="AV9" i="42" s="1"/>
  <c r="AW9" i="42" s="1"/>
  <c r="AX9" i="42" s="1"/>
  <c r="AY9" i="42" s="1"/>
  <c r="AZ9" i="42" s="1"/>
  <c r="BA9" i="42" s="1"/>
  <c r="BB9" i="42" s="1"/>
  <c r="BC9" i="42" s="1"/>
  <c r="BD9" i="42" s="1"/>
  <c r="BE9" i="42" s="1"/>
  <c r="BF9" i="42" s="1"/>
  <c r="BG9" i="42" s="1"/>
  <c r="BH9" i="42" s="1"/>
  <c r="BI9" i="42" s="1"/>
  <c r="BJ9" i="42" s="1"/>
  <c r="BK9" i="42" s="1"/>
  <c r="BL9" i="42" s="1"/>
  <c r="BM9" i="42" s="1"/>
  <c r="BN9" i="42" s="1"/>
  <c r="BO9" i="42" s="1"/>
  <c r="BP9" i="42" s="1"/>
  <c r="BQ9" i="42" s="1"/>
  <c r="BR9" i="42" s="1"/>
  <c r="BS9" i="42" s="1"/>
  <c r="BT9" i="42" s="1"/>
  <c r="BU9" i="42" s="1"/>
  <c r="BV9" i="42" s="1"/>
  <c r="BW9" i="42" s="1"/>
  <c r="BX9" i="42" s="1"/>
  <c r="BY9" i="42" s="1"/>
  <c r="BZ9" i="42" s="1"/>
  <c r="CA9" i="42" s="1"/>
  <c r="CB9" i="42" s="1"/>
  <c r="CC9" i="42" s="1"/>
  <c r="CD9" i="42" s="1"/>
  <c r="CE9" i="42" s="1"/>
  <c r="CF9" i="42" s="1"/>
  <c r="CG9" i="42" s="1"/>
  <c r="CH9" i="42" s="1"/>
  <c r="CI9" i="42" s="1"/>
  <c r="CJ9" i="42" s="1"/>
  <c r="CK9" i="42" s="1"/>
  <c r="CL9" i="42" s="1"/>
  <c r="CM9" i="42" s="1"/>
  <c r="CN9" i="42" s="1"/>
  <c r="CO9" i="42" s="1"/>
  <c r="CP9" i="42" s="1"/>
  <c r="CQ9" i="42" s="1"/>
  <c r="CR9" i="42" s="1"/>
  <c r="CS9" i="42" s="1"/>
  <c r="CT9" i="42" s="1"/>
  <c r="CU9" i="42" s="1"/>
  <c r="CV9" i="42" s="1"/>
  <c r="CW9" i="42" s="1"/>
  <c r="CX9" i="42" s="1"/>
  <c r="CY9" i="42" s="1"/>
  <c r="CZ9" i="42" s="1"/>
  <c r="DA9" i="42" s="1"/>
  <c r="DB9" i="42" s="1"/>
  <c r="DC9" i="42" s="1"/>
  <c r="DD9" i="42" s="1"/>
  <c r="DE9" i="42" s="1"/>
  <c r="DF9" i="42" s="1"/>
  <c r="DG9" i="42" s="1"/>
  <c r="DH9" i="42" s="1"/>
  <c r="DI9" i="42" s="1"/>
  <c r="DJ9" i="42" s="1"/>
  <c r="DK9" i="42" s="1"/>
  <c r="DL9" i="42" s="1"/>
  <c r="DM9" i="42" s="1"/>
  <c r="DN9" i="42" s="1"/>
  <c r="DO9" i="42" s="1"/>
  <c r="DP9" i="42" s="1"/>
  <c r="DQ9" i="42" s="1"/>
  <c r="DR9" i="42" s="1"/>
  <c r="DS9" i="42" s="1"/>
  <c r="DT9" i="42" s="1"/>
  <c r="DU9" i="42" s="1"/>
  <c r="DV9" i="42" s="1"/>
  <c r="DW9" i="42" s="1"/>
  <c r="DX9" i="42" s="1"/>
  <c r="DY9" i="42" s="1"/>
  <c r="BE42" i="42"/>
  <c r="BD42" i="42"/>
  <c r="BC42" i="42"/>
  <c r="BB42" i="42"/>
  <c r="BA42" i="42"/>
  <c r="AZ42" i="42"/>
  <c r="AY42" i="42"/>
  <c r="AX42" i="42"/>
  <c r="AW42" i="42"/>
  <c r="AV42" i="42"/>
  <c r="AU42" i="42"/>
  <c r="AT42" i="42"/>
  <c r="G10" i="2"/>
  <c r="B46" i="14"/>
  <c r="C46" i="14" s="1"/>
  <c r="D46" i="14" s="1"/>
  <c r="E46" i="14" s="1"/>
  <c r="F46" i="14" s="1"/>
  <c r="G46" i="14" s="1"/>
  <c r="H46" i="14" s="1"/>
  <c r="I46" i="14" s="1"/>
  <c r="J46" i="14" s="1"/>
  <c r="K46" i="14" s="1"/>
  <c r="L46" i="14" s="1"/>
  <c r="M46" i="14" s="1"/>
  <c r="N46" i="14" s="1"/>
  <c r="O46" i="14" s="1"/>
  <c r="P46" i="14" s="1"/>
  <c r="Q46" i="14" s="1"/>
  <c r="R46" i="14" s="1"/>
  <c r="S46" i="14" s="1"/>
  <c r="T46" i="14" s="1"/>
  <c r="U46" i="14" s="1"/>
  <c r="V46" i="14" s="1"/>
  <c r="W46" i="14" s="1"/>
  <c r="X46" i="14" s="1"/>
  <c r="Y46" i="14" s="1"/>
  <c r="Z46" i="14" s="1"/>
  <c r="AA46" i="14" s="1"/>
  <c r="AB46" i="14" s="1"/>
  <c r="AC46" i="14" s="1"/>
  <c r="AD46" i="14" s="1"/>
  <c r="AE46" i="14" s="1"/>
  <c r="AF46" i="14" s="1"/>
  <c r="AG46" i="14" s="1"/>
  <c r="AH46" i="14" s="1"/>
  <c r="AI46" i="14" s="1"/>
  <c r="AJ46" i="14" s="1"/>
  <c r="AK46" i="14" s="1"/>
  <c r="AL46" i="14" s="1"/>
  <c r="AM46" i="14" s="1"/>
  <c r="AN46" i="14" s="1"/>
  <c r="AO46" i="14" s="1"/>
  <c r="AP46" i="14" s="1"/>
  <c r="AQ46" i="14" s="1"/>
  <c r="AR46" i="14" s="1"/>
  <c r="AS46" i="14" s="1"/>
  <c r="AT46" i="14" s="1"/>
  <c r="AU46" i="14" s="1"/>
  <c r="AV46" i="14" s="1"/>
  <c r="AW46" i="14" s="1"/>
  <c r="AX46" i="14" s="1"/>
  <c r="AY46" i="14" s="1"/>
  <c r="AZ46" i="14" s="1"/>
  <c r="BA46" i="14" s="1"/>
  <c r="BB46" i="14" s="1"/>
  <c r="BC46" i="14" s="1"/>
  <c r="BD46" i="14" s="1"/>
  <c r="BE46" i="14" s="1"/>
  <c r="BF46" i="14" s="1"/>
  <c r="BG46" i="14" s="1"/>
  <c r="BH46" i="14" s="1"/>
  <c r="BI46" i="14" s="1"/>
  <c r="BJ46" i="14" s="1"/>
  <c r="BK46" i="14" s="1"/>
  <c r="BL46" i="14" s="1"/>
  <c r="BM46" i="14" s="1"/>
  <c r="B47" i="14"/>
  <c r="C47" i="14" s="1"/>
  <c r="D47" i="14" s="1"/>
  <c r="E47" i="14" s="1"/>
  <c r="F47" i="14" s="1"/>
  <c r="G47" i="14" s="1"/>
  <c r="H47" i="14" s="1"/>
  <c r="I47" i="14" s="1"/>
  <c r="J47" i="14" s="1"/>
  <c r="K47" i="14" s="1"/>
  <c r="L47" i="14" s="1"/>
  <c r="M47" i="14" s="1"/>
  <c r="N47" i="14" s="1"/>
  <c r="O47" i="14" s="1"/>
  <c r="P47" i="14" s="1"/>
  <c r="Q47" i="14" s="1"/>
  <c r="R47" i="14" s="1"/>
  <c r="S47" i="14" s="1"/>
  <c r="T47" i="14" s="1"/>
  <c r="U47" i="14" s="1"/>
  <c r="V47" i="14" s="1"/>
  <c r="W47" i="14" s="1"/>
  <c r="X47" i="14" s="1"/>
  <c r="Y47" i="14" s="1"/>
  <c r="Z47" i="14" s="1"/>
  <c r="AA47" i="14" s="1"/>
  <c r="AB47" i="14" s="1"/>
  <c r="AC47" i="14" s="1"/>
  <c r="AD47" i="14" s="1"/>
  <c r="AE47" i="14" s="1"/>
  <c r="AF47" i="14" s="1"/>
  <c r="AG47" i="14" s="1"/>
  <c r="AH47" i="14" s="1"/>
  <c r="AI47" i="14" s="1"/>
  <c r="AJ47" i="14" s="1"/>
  <c r="AK47" i="14" s="1"/>
  <c r="AL47" i="14" s="1"/>
  <c r="AM47" i="14" s="1"/>
  <c r="AN47" i="14" s="1"/>
  <c r="AO47" i="14" s="1"/>
  <c r="AP47" i="14" s="1"/>
  <c r="AQ47" i="14" s="1"/>
  <c r="AR47" i="14" s="1"/>
  <c r="AS47" i="14" s="1"/>
  <c r="AT47" i="14" s="1"/>
  <c r="AU47" i="14" s="1"/>
  <c r="AV47" i="14" s="1"/>
  <c r="AW47" i="14" s="1"/>
  <c r="AX47" i="14" s="1"/>
  <c r="AY47" i="14" s="1"/>
  <c r="AZ47" i="14" s="1"/>
  <c r="BA47" i="14" s="1"/>
  <c r="BB47" i="14" s="1"/>
  <c r="BC47" i="14" s="1"/>
  <c r="BD47" i="14" s="1"/>
  <c r="BE47" i="14" s="1"/>
  <c r="BF47" i="14" s="1"/>
  <c r="BG47" i="14" s="1"/>
  <c r="BH47" i="14" s="1"/>
  <c r="BI47" i="14" s="1"/>
  <c r="BJ47" i="14" s="1"/>
  <c r="BK47" i="14" s="1"/>
  <c r="BL47" i="14" s="1"/>
  <c r="BM47" i="14" s="1"/>
  <c r="B53" i="14"/>
  <c r="C53" i="14" s="1"/>
  <c r="D53" i="14" s="1"/>
  <c r="E53" i="14" s="1"/>
  <c r="F53" i="14" s="1"/>
  <c r="G53" i="14" s="1"/>
  <c r="H53" i="14" s="1"/>
  <c r="I53" i="14" s="1"/>
  <c r="J53" i="14" s="1"/>
  <c r="K53" i="14" s="1"/>
  <c r="L53" i="14" s="1"/>
  <c r="M53" i="14" s="1"/>
  <c r="N53" i="14" s="1"/>
  <c r="O53" i="14" s="1"/>
  <c r="P53" i="14" s="1"/>
  <c r="Q53" i="14" s="1"/>
  <c r="R53" i="14" s="1"/>
  <c r="S53" i="14" s="1"/>
  <c r="T53" i="14" s="1"/>
  <c r="U53" i="14" s="1"/>
  <c r="V53" i="14" s="1"/>
  <c r="W53" i="14" s="1"/>
  <c r="X53" i="14" s="1"/>
  <c r="Y53" i="14" s="1"/>
  <c r="Z53" i="14" s="1"/>
  <c r="AA53" i="14" s="1"/>
  <c r="AB53" i="14" s="1"/>
  <c r="AC53" i="14" s="1"/>
  <c r="AD53" i="14" s="1"/>
  <c r="AE53" i="14" s="1"/>
  <c r="AF53" i="14" s="1"/>
  <c r="AG53" i="14" s="1"/>
  <c r="AH53" i="14" s="1"/>
  <c r="AI53" i="14" s="1"/>
  <c r="AJ53" i="14" s="1"/>
  <c r="AK53" i="14" s="1"/>
  <c r="AL53" i="14" s="1"/>
  <c r="AM53" i="14" s="1"/>
  <c r="AN53" i="14" s="1"/>
  <c r="AO53" i="14" s="1"/>
  <c r="AP53" i="14" s="1"/>
  <c r="AQ53" i="14" s="1"/>
  <c r="AR53" i="14" s="1"/>
  <c r="AS53" i="14" s="1"/>
  <c r="AT53" i="14" s="1"/>
  <c r="AU53" i="14" s="1"/>
  <c r="AV53" i="14" s="1"/>
  <c r="AW53" i="14" s="1"/>
  <c r="AX53" i="14" s="1"/>
  <c r="AY53" i="14" s="1"/>
  <c r="AZ53" i="14" s="1"/>
  <c r="BA53" i="14" s="1"/>
  <c r="BB53" i="14" s="1"/>
  <c r="BC53" i="14" s="1"/>
  <c r="BD53" i="14" s="1"/>
  <c r="BE53" i="14" s="1"/>
  <c r="BF53" i="14" s="1"/>
  <c r="BG53" i="14" s="1"/>
  <c r="BH53" i="14" s="1"/>
  <c r="BI53" i="14" s="1"/>
  <c r="BJ53" i="14" s="1"/>
  <c r="BK53" i="14" s="1"/>
  <c r="BL53" i="14" s="1"/>
  <c r="BM53" i="14" s="1"/>
  <c r="B54" i="14"/>
  <c r="C54" i="14" s="1"/>
  <c r="D54" i="14" s="1"/>
  <c r="E54" i="14" s="1"/>
  <c r="F54" i="14" s="1"/>
  <c r="G54" i="14" s="1"/>
  <c r="H54" i="14" s="1"/>
  <c r="I54" i="14" s="1"/>
  <c r="J54" i="14" s="1"/>
  <c r="K54" i="14" s="1"/>
  <c r="L54" i="14" s="1"/>
  <c r="M54" i="14" s="1"/>
  <c r="N54" i="14" s="1"/>
  <c r="O54" i="14" s="1"/>
  <c r="P54" i="14" s="1"/>
  <c r="Q54" i="14" s="1"/>
  <c r="R54" i="14" s="1"/>
  <c r="S54" i="14" s="1"/>
  <c r="T54" i="14" s="1"/>
  <c r="U54" i="14" s="1"/>
  <c r="V54" i="14" s="1"/>
  <c r="W54" i="14" s="1"/>
  <c r="X54" i="14" s="1"/>
  <c r="Y54" i="14" s="1"/>
  <c r="Z54" i="14" s="1"/>
  <c r="AA54" i="14" s="1"/>
  <c r="AB54" i="14" s="1"/>
  <c r="AC54" i="14" s="1"/>
  <c r="AD54" i="14" s="1"/>
  <c r="AE54" i="14" s="1"/>
  <c r="AF54" i="14" s="1"/>
  <c r="AG54" i="14" s="1"/>
  <c r="AH54" i="14" s="1"/>
  <c r="AI54" i="14" s="1"/>
  <c r="AJ54" i="14" s="1"/>
  <c r="AK54" i="14" s="1"/>
  <c r="AL54" i="14" s="1"/>
  <c r="AM54" i="14" s="1"/>
  <c r="AN54" i="14" s="1"/>
  <c r="AO54" i="14" s="1"/>
  <c r="AP54" i="14" s="1"/>
  <c r="AQ54" i="14" s="1"/>
  <c r="AR54" i="14" s="1"/>
  <c r="AS54" i="14" s="1"/>
  <c r="AT54" i="14" s="1"/>
  <c r="AU54" i="14" s="1"/>
  <c r="AV54" i="14" s="1"/>
  <c r="AW54" i="14" s="1"/>
  <c r="AX54" i="14" s="1"/>
  <c r="AY54" i="14" s="1"/>
  <c r="AZ54" i="14" s="1"/>
  <c r="BA54" i="14" s="1"/>
  <c r="BB54" i="14" s="1"/>
  <c r="BC54" i="14" s="1"/>
  <c r="BD54" i="14" s="1"/>
  <c r="BE54" i="14" s="1"/>
  <c r="BF54" i="14" s="1"/>
  <c r="BG54" i="14" s="1"/>
  <c r="BH54" i="14" s="1"/>
  <c r="BI54" i="14" s="1"/>
  <c r="BJ54" i="14" s="1"/>
  <c r="BK54" i="14" s="1"/>
  <c r="BL54" i="14" s="1"/>
  <c r="BM54" i="14" s="1"/>
  <c r="C60" i="14"/>
  <c r="D60" i="14" s="1"/>
  <c r="E60" i="14" s="1"/>
  <c r="F60" i="14" s="1"/>
  <c r="G60" i="14" s="1"/>
  <c r="H60" i="14" s="1"/>
  <c r="I60" i="14" s="1"/>
  <c r="J60" i="14" s="1"/>
  <c r="K60" i="14" s="1"/>
  <c r="L60" i="14" s="1"/>
  <c r="M60" i="14" s="1"/>
  <c r="N60" i="14" s="1"/>
  <c r="O60" i="14" s="1"/>
  <c r="P60" i="14" s="1"/>
  <c r="Q60" i="14" s="1"/>
  <c r="R60" i="14" s="1"/>
  <c r="S60" i="14" s="1"/>
  <c r="T60" i="14" s="1"/>
  <c r="U60" i="14" s="1"/>
  <c r="V60" i="14" s="1"/>
  <c r="W60" i="14" s="1"/>
  <c r="X60" i="14" s="1"/>
  <c r="Y60" i="14" s="1"/>
  <c r="Z60" i="14" s="1"/>
  <c r="AA60" i="14" s="1"/>
  <c r="AB60" i="14" s="1"/>
  <c r="AC60" i="14" s="1"/>
  <c r="AD60" i="14" s="1"/>
  <c r="AE60" i="14" s="1"/>
  <c r="AF60" i="14" s="1"/>
  <c r="AG60" i="14" s="1"/>
  <c r="AH60" i="14" s="1"/>
  <c r="AI60" i="14" s="1"/>
  <c r="AJ60" i="14" s="1"/>
  <c r="AK60" i="14" s="1"/>
  <c r="AL60" i="14" s="1"/>
  <c r="AM60" i="14" s="1"/>
  <c r="AN60" i="14" s="1"/>
  <c r="AO60" i="14" s="1"/>
  <c r="AP60" i="14" s="1"/>
  <c r="AQ60" i="14" s="1"/>
  <c r="AR60" i="14" s="1"/>
  <c r="AS60" i="14" s="1"/>
  <c r="AT60" i="14" s="1"/>
  <c r="AU60" i="14" s="1"/>
  <c r="AV60" i="14" s="1"/>
  <c r="AW60" i="14" s="1"/>
  <c r="AX60" i="14" s="1"/>
  <c r="AY60" i="14" s="1"/>
  <c r="AZ60" i="14" s="1"/>
  <c r="BA60" i="14" s="1"/>
  <c r="BB60" i="14" s="1"/>
  <c r="BC60" i="14" s="1"/>
  <c r="BD60" i="14" s="1"/>
  <c r="BE60" i="14" s="1"/>
  <c r="BF60" i="14" s="1"/>
  <c r="BG60" i="14" s="1"/>
  <c r="BH60" i="14" s="1"/>
  <c r="BI60" i="14" s="1"/>
  <c r="BJ60" i="14" s="1"/>
  <c r="BK60" i="14" s="1"/>
  <c r="BL60" i="14" s="1"/>
  <c r="BM60" i="14" s="1"/>
  <c r="C61" i="14"/>
  <c r="D61" i="14" s="1"/>
  <c r="E61" i="14" s="1"/>
  <c r="F61" i="14" s="1"/>
  <c r="G61" i="14" s="1"/>
  <c r="H61" i="14" s="1"/>
  <c r="I61" i="14" s="1"/>
  <c r="J61" i="14" s="1"/>
  <c r="K61" i="14" s="1"/>
  <c r="L61" i="14" s="1"/>
  <c r="M61" i="14" s="1"/>
  <c r="N61" i="14" s="1"/>
  <c r="O61" i="14" s="1"/>
  <c r="P61" i="14" s="1"/>
  <c r="Q61" i="14" s="1"/>
  <c r="R61" i="14" s="1"/>
  <c r="S61" i="14" s="1"/>
  <c r="T61" i="14" s="1"/>
  <c r="U61" i="14" s="1"/>
  <c r="V61" i="14" s="1"/>
  <c r="W61" i="14" s="1"/>
  <c r="X61" i="14" s="1"/>
  <c r="Y61" i="14" s="1"/>
  <c r="Z61" i="14" s="1"/>
  <c r="AA61" i="14" s="1"/>
  <c r="AB61" i="14" s="1"/>
  <c r="AC61" i="14" s="1"/>
  <c r="AD61" i="14" s="1"/>
  <c r="AE61" i="14" s="1"/>
  <c r="AF61" i="14" s="1"/>
  <c r="AG61" i="14" s="1"/>
  <c r="AH61" i="14" s="1"/>
  <c r="AI61" i="14" s="1"/>
  <c r="AJ61" i="14" s="1"/>
  <c r="AK61" i="14" s="1"/>
  <c r="AL61" i="14" s="1"/>
  <c r="AM61" i="14" s="1"/>
  <c r="AN61" i="14" s="1"/>
  <c r="AO61" i="14" s="1"/>
  <c r="AP61" i="14" s="1"/>
  <c r="AQ61" i="14" s="1"/>
  <c r="AR61" i="14" s="1"/>
  <c r="AS61" i="14" s="1"/>
  <c r="AT61" i="14" s="1"/>
  <c r="AU61" i="14" s="1"/>
  <c r="AV61" i="14" s="1"/>
  <c r="AW61" i="14" s="1"/>
  <c r="AX61" i="14" s="1"/>
  <c r="AY61" i="14" s="1"/>
  <c r="AZ61" i="14" s="1"/>
  <c r="BA61" i="14" s="1"/>
  <c r="BB61" i="14" s="1"/>
  <c r="BC61" i="14" s="1"/>
  <c r="BD61" i="14" s="1"/>
  <c r="BE61" i="14" s="1"/>
  <c r="BF61" i="14" s="1"/>
  <c r="BG61" i="14" s="1"/>
  <c r="BH61" i="14" s="1"/>
  <c r="BI61" i="14" s="1"/>
  <c r="BJ61" i="14" s="1"/>
  <c r="BK61" i="14" s="1"/>
  <c r="BL61" i="14" s="1"/>
  <c r="BM61" i="14" s="1"/>
  <c r="B79" i="14"/>
  <c r="C79" i="14" s="1"/>
  <c r="D79" i="14" s="1"/>
  <c r="E79" i="14" s="1"/>
  <c r="F79" i="14" s="1"/>
  <c r="G79" i="14" s="1"/>
  <c r="H79" i="14" s="1"/>
  <c r="I79" i="14" s="1"/>
  <c r="J79" i="14" s="1"/>
  <c r="K79" i="14" s="1"/>
  <c r="L79" i="14" s="1"/>
  <c r="M79" i="14" s="1"/>
  <c r="N79" i="14" s="1"/>
  <c r="O79" i="14" s="1"/>
  <c r="P79" i="14" s="1"/>
  <c r="Q79" i="14" s="1"/>
  <c r="R79" i="14" s="1"/>
  <c r="S79" i="14" s="1"/>
  <c r="T79" i="14" s="1"/>
  <c r="U79" i="14" s="1"/>
  <c r="V79" i="14" s="1"/>
  <c r="W79" i="14" s="1"/>
  <c r="X79" i="14" s="1"/>
  <c r="Y79" i="14" s="1"/>
  <c r="Z79" i="14" s="1"/>
  <c r="AA79" i="14" s="1"/>
  <c r="AB79" i="14" s="1"/>
  <c r="AC79" i="14" s="1"/>
  <c r="AD79" i="14" s="1"/>
  <c r="AE79" i="14" s="1"/>
  <c r="AF79" i="14" s="1"/>
  <c r="AG79" i="14" s="1"/>
  <c r="AH79" i="14" s="1"/>
  <c r="AI79" i="14" s="1"/>
  <c r="AJ79" i="14" s="1"/>
  <c r="AK79" i="14" s="1"/>
  <c r="AL79" i="14" s="1"/>
  <c r="AM79" i="14" s="1"/>
  <c r="AN79" i="14" s="1"/>
  <c r="AO79" i="14" s="1"/>
  <c r="AP79" i="14" s="1"/>
  <c r="AQ79" i="14" s="1"/>
  <c r="AR79" i="14" s="1"/>
  <c r="AS79" i="14" s="1"/>
  <c r="AT79" i="14" s="1"/>
  <c r="AU79" i="14" s="1"/>
  <c r="AV79" i="14" s="1"/>
  <c r="AW79" i="14" s="1"/>
  <c r="AX79" i="14" s="1"/>
  <c r="AY79" i="14" s="1"/>
  <c r="AZ79" i="14" s="1"/>
  <c r="BA79" i="14" s="1"/>
  <c r="BB79" i="14" s="1"/>
  <c r="BC79" i="14" s="1"/>
  <c r="BD79" i="14" s="1"/>
  <c r="BE79" i="14" s="1"/>
  <c r="BF79" i="14" s="1"/>
  <c r="BG79" i="14" s="1"/>
  <c r="BH79" i="14" s="1"/>
  <c r="BI79" i="14" s="1"/>
  <c r="BJ79" i="14" s="1"/>
  <c r="BK79" i="14" s="1"/>
  <c r="BL79" i="14" s="1"/>
  <c r="BM79" i="14" s="1"/>
  <c r="B80" i="14"/>
  <c r="C80" i="14" s="1"/>
  <c r="D80" i="14" s="1"/>
  <c r="E80" i="14" s="1"/>
  <c r="F80" i="14" s="1"/>
  <c r="G80" i="14" s="1"/>
  <c r="H80" i="14" s="1"/>
  <c r="I80" i="14" s="1"/>
  <c r="J80" i="14" s="1"/>
  <c r="K80" i="14" s="1"/>
  <c r="L80" i="14" s="1"/>
  <c r="M80" i="14" s="1"/>
  <c r="N80" i="14" s="1"/>
  <c r="O80" i="14" s="1"/>
  <c r="P80" i="14" s="1"/>
  <c r="Q80" i="14" s="1"/>
  <c r="R80" i="14" s="1"/>
  <c r="S80" i="14" s="1"/>
  <c r="T80" i="14" s="1"/>
  <c r="U80" i="14" s="1"/>
  <c r="V80" i="14" s="1"/>
  <c r="W80" i="14" s="1"/>
  <c r="X80" i="14" s="1"/>
  <c r="Y80" i="14" s="1"/>
  <c r="Z80" i="14" s="1"/>
  <c r="AA80" i="14" s="1"/>
  <c r="AB80" i="14" s="1"/>
  <c r="AC80" i="14" s="1"/>
  <c r="AD80" i="14" s="1"/>
  <c r="AE80" i="14" s="1"/>
  <c r="AF80" i="14" s="1"/>
  <c r="AG80" i="14" s="1"/>
  <c r="AH80" i="14" s="1"/>
  <c r="AI80" i="14" s="1"/>
  <c r="AJ80" i="14" s="1"/>
  <c r="AK80" i="14" s="1"/>
  <c r="AL80" i="14" s="1"/>
  <c r="AM80" i="14" s="1"/>
  <c r="AN80" i="14" s="1"/>
  <c r="AO80" i="14" s="1"/>
  <c r="AP80" i="14" s="1"/>
  <c r="AQ80" i="14" s="1"/>
  <c r="AR80" i="14" s="1"/>
  <c r="AS80" i="14" s="1"/>
  <c r="AT80" i="14" s="1"/>
  <c r="AU80" i="14" s="1"/>
  <c r="AV80" i="14" s="1"/>
  <c r="AW80" i="14" s="1"/>
  <c r="AX80" i="14" s="1"/>
  <c r="AY80" i="14" s="1"/>
  <c r="AZ80" i="14" s="1"/>
  <c r="BA80" i="14" s="1"/>
  <c r="BB80" i="14" s="1"/>
  <c r="BC80" i="14" s="1"/>
  <c r="BD80" i="14" s="1"/>
  <c r="BE80" i="14" s="1"/>
  <c r="BF80" i="14" s="1"/>
  <c r="BG80" i="14" s="1"/>
  <c r="BH80" i="14" s="1"/>
  <c r="BI80" i="14" s="1"/>
  <c r="BJ80" i="14" s="1"/>
  <c r="BK80" i="14" s="1"/>
  <c r="BL80" i="14" s="1"/>
  <c r="BM80" i="14" s="1"/>
  <c r="B86" i="14"/>
  <c r="C86" i="14" s="1"/>
  <c r="D86" i="14" s="1"/>
  <c r="E86" i="14" s="1"/>
  <c r="F86" i="14" s="1"/>
  <c r="G86" i="14" s="1"/>
  <c r="H86" i="14" s="1"/>
  <c r="I86" i="14" s="1"/>
  <c r="J86" i="14" s="1"/>
  <c r="K86" i="14" s="1"/>
  <c r="L86" i="14" s="1"/>
  <c r="M86" i="14" s="1"/>
  <c r="N86" i="14" s="1"/>
  <c r="O86" i="14" s="1"/>
  <c r="P86" i="14" s="1"/>
  <c r="Q86" i="14" s="1"/>
  <c r="R86" i="14" s="1"/>
  <c r="S86" i="14" s="1"/>
  <c r="T86" i="14" s="1"/>
  <c r="U86" i="14" s="1"/>
  <c r="V86" i="14" s="1"/>
  <c r="W86" i="14" s="1"/>
  <c r="X86" i="14" s="1"/>
  <c r="Y86" i="14" s="1"/>
  <c r="Z86" i="14" s="1"/>
  <c r="AA86" i="14" s="1"/>
  <c r="AB86" i="14" s="1"/>
  <c r="AC86" i="14" s="1"/>
  <c r="AD86" i="14" s="1"/>
  <c r="AE86" i="14" s="1"/>
  <c r="AF86" i="14" s="1"/>
  <c r="AG86" i="14" s="1"/>
  <c r="AH86" i="14" s="1"/>
  <c r="AI86" i="14" s="1"/>
  <c r="AJ86" i="14" s="1"/>
  <c r="AK86" i="14" s="1"/>
  <c r="AL86" i="14" s="1"/>
  <c r="AM86" i="14" s="1"/>
  <c r="AN86" i="14" s="1"/>
  <c r="AO86" i="14" s="1"/>
  <c r="AP86" i="14" s="1"/>
  <c r="AQ86" i="14" s="1"/>
  <c r="AR86" i="14" s="1"/>
  <c r="AS86" i="14" s="1"/>
  <c r="AT86" i="14" s="1"/>
  <c r="AU86" i="14" s="1"/>
  <c r="AV86" i="14" s="1"/>
  <c r="AW86" i="14" s="1"/>
  <c r="AX86" i="14" s="1"/>
  <c r="AY86" i="14" s="1"/>
  <c r="AZ86" i="14" s="1"/>
  <c r="BA86" i="14" s="1"/>
  <c r="BB86" i="14" s="1"/>
  <c r="BC86" i="14" s="1"/>
  <c r="BD86" i="14" s="1"/>
  <c r="BE86" i="14" s="1"/>
  <c r="BF86" i="14" s="1"/>
  <c r="BG86" i="14" s="1"/>
  <c r="BH86" i="14" s="1"/>
  <c r="BI86" i="14" s="1"/>
  <c r="BJ86" i="14" s="1"/>
  <c r="BK86" i="14" s="1"/>
  <c r="BL86" i="14" s="1"/>
  <c r="BM86" i="14" s="1"/>
  <c r="B87" i="14"/>
  <c r="C87" i="14" s="1"/>
  <c r="D87" i="14" s="1"/>
  <c r="E87" i="14" s="1"/>
  <c r="F87" i="14" s="1"/>
  <c r="G87" i="14" s="1"/>
  <c r="H87" i="14" s="1"/>
  <c r="I87" i="14" s="1"/>
  <c r="J87" i="14" s="1"/>
  <c r="K87" i="14" s="1"/>
  <c r="L87" i="14" s="1"/>
  <c r="M87" i="14" s="1"/>
  <c r="N87" i="14" s="1"/>
  <c r="O87" i="14" s="1"/>
  <c r="P87" i="14" s="1"/>
  <c r="Q87" i="14" s="1"/>
  <c r="R87" i="14" s="1"/>
  <c r="S87" i="14" s="1"/>
  <c r="T87" i="14" s="1"/>
  <c r="U87" i="14" s="1"/>
  <c r="V87" i="14" s="1"/>
  <c r="W87" i="14" s="1"/>
  <c r="X87" i="14" s="1"/>
  <c r="Y87" i="14" s="1"/>
  <c r="Z87" i="14" s="1"/>
  <c r="AA87" i="14" s="1"/>
  <c r="AB87" i="14" s="1"/>
  <c r="AC87" i="14" s="1"/>
  <c r="AD87" i="14" s="1"/>
  <c r="AE87" i="14" s="1"/>
  <c r="AF87" i="14" s="1"/>
  <c r="AG87" i="14" s="1"/>
  <c r="AH87" i="14" s="1"/>
  <c r="AI87" i="14" s="1"/>
  <c r="AJ87" i="14" s="1"/>
  <c r="AK87" i="14" s="1"/>
  <c r="AL87" i="14" s="1"/>
  <c r="AM87" i="14" s="1"/>
  <c r="AN87" i="14" s="1"/>
  <c r="AO87" i="14" s="1"/>
  <c r="AP87" i="14" s="1"/>
  <c r="AQ87" i="14" s="1"/>
  <c r="AR87" i="14" s="1"/>
  <c r="AS87" i="14" s="1"/>
  <c r="AT87" i="14" s="1"/>
  <c r="AU87" i="14" s="1"/>
  <c r="AV87" i="14" s="1"/>
  <c r="AW87" i="14" s="1"/>
  <c r="AX87" i="14" s="1"/>
  <c r="AY87" i="14" s="1"/>
  <c r="AZ87" i="14" s="1"/>
  <c r="BA87" i="14" s="1"/>
  <c r="BB87" i="14" s="1"/>
  <c r="BC87" i="14" s="1"/>
  <c r="BD87" i="14" s="1"/>
  <c r="BE87" i="14" s="1"/>
  <c r="BF87" i="14" s="1"/>
  <c r="BG87" i="14" s="1"/>
  <c r="BH87" i="14" s="1"/>
  <c r="BI87" i="14" s="1"/>
  <c r="BJ87" i="14" s="1"/>
  <c r="BK87" i="14" s="1"/>
  <c r="BL87" i="14" s="1"/>
  <c r="BM87" i="14" s="1"/>
  <c r="EA36" i="42"/>
  <c r="EA40" i="42" s="1"/>
  <c r="EB36" i="42"/>
  <c r="EB40" i="42" s="1"/>
  <c r="DZ42" i="42"/>
  <c r="EA42" i="42"/>
  <c r="EA60" i="42" s="1"/>
  <c r="AS42" i="42"/>
  <c r="AI42" i="42"/>
  <c r="AJ42" i="42"/>
  <c r="AK42" i="42"/>
  <c r="AL42" i="42"/>
  <c r="AM42" i="42"/>
  <c r="AN42" i="42"/>
  <c r="AH42" i="42"/>
  <c r="AO42" i="42"/>
  <c r="AP42" i="42"/>
  <c r="AQ42" i="42"/>
  <c r="AR42" i="42"/>
  <c r="I42" i="42"/>
  <c r="J42" i="42"/>
  <c r="J60" i="42" s="1"/>
  <c r="K42" i="42"/>
  <c r="L42" i="42"/>
  <c r="M42" i="42"/>
  <c r="N42" i="42"/>
  <c r="O42" i="42"/>
  <c r="P42" i="42"/>
  <c r="Q42" i="42"/>
  <c r="R42" i="42"/>
  <c r="S42" i="42"/>
  <c r="T42" i="42"/>
  <c r="U42" i="42"/>
  <c r="V42" i="42"/>
  <c r="W42" i="42"/>
  <c r="X42" i="42"/>
  <c r="Y42" i="42"/>
  <c r="Z42" i="42"/>
  <c r="AA42" i="42"/>
  <c r="AB42" i="42"/>
  <c r="AC42" i="42"/>
  <c r="AD42" i="42"/>
  <c r="AE42" i="42"/>
  <c r="AF42" i="42"/>
  <c r="AG42" i="42"/>
  <c r="I36" i="42"/>
  <c r="I40" i="42" s="1"/>
  <c r="J36" i="42"/>
  <c r="J40" i="42" s="1"/>
  <c r="A36" i="2"/>
  <c r="D25" i="14"/>
  <c r="E33" i="2"/>
  <c r="C10" i="2"/>
  <c r="C15" i="2" s="1"/>
  <c r="F11" i="42"/>
  <c r="F12" i="42" s="1"/>
  <c r="F13" i="42" s="1"/>
  <c r="F14" i="42" s="1"/>
  <c r="F15" i="42" s="1"/>
  <c r="F16" i="42" s="1"/>
  <c r="F17" i="42" s="1"/>
  <c r="F18" i="42" s="1"/>
  <c r="F19" i="42" s="1"/>
  <c r="F20" i="42" s="1"/>
  <c r="F21" i="42" s="1"/>
  <c r="F22" i="42" s="1"/>
  <c r="F23" i="42" s="1"/>
  <c r="F24" i="42" s="1"/>
  <c r="F25" i="42" s="1"/>
  <c r="F26" i="42" s="1"/>
  <c r="F27" i="42" s="1"/>
  <c r="F28" i="42" s="1"/>
  <c r="F29" i="42" s="1"/>
  <c r="F30" i="42" s="1"/>
  <c r="F31" i="42" s="1"/>
  <c r="F32" i="42" s="1"/>
  <c r="F33" i="42" s="1"/>
  <c r="F34" i="42" s="1"/>
  <c r="F35" i="42" s="1"/>
  <c r="F36" i="42" s="1"/>
  <c r="F37" i="42" s="1"/>
  <c r="F38" i="42" s="1"/>
  <c r="F39" i="42" s="1"/>
  <c r="F40" i="42" s="1"/>
  <c r="F41" i="42" s="1"/>
  <c r="F42" i="42" s="1"/>
  <c r="F43" i="42" s="1"/>
  <c r="F44" i="42" s="1"/>
  <c r="F45" i="42" s="1"/>
  <c r="F46" i="42" s="1"/>
  <c r="F47" i="42" s="1"/>
  <c r="F48" i="42" s="1"/>
  <c r="F49" i="42" s="1"/>
  <c r="F50" i="42" s="1"/>
  <c r="F51" i="42" s="1"/>
  <c r="F52" i="42" s="1"/>
  <c r="F53" i="42" s="1"/>
  <c r="F54" i="42" s="1"/>
  <c r="F56" i="42" s="1"/>
  <c r="F57" i="42" s="1"/>
  <c r="F58" i="42" s="1"/>
  <c r="F59" i="42" s="1"/>
  <c r="F60" i="42" s="1"/>
  <c r="F61" i="42" s="1"/>
  <c r="F62" i="42" s="1"/>
  <c r="F63" i="42" s="1"/>
  <c r="F64" i="42" s="1"/>
  <c r="F65" i="42" s="1"/>
  <c r="F66" i="42" s="1"/>
  <c r="F67" i="42" s="1"/>
  <c r="F68" i="42" s="1"/>
  <c r="F69" i="42" s="1"/>
  <c r="F70" i="42" s="1"/>
  <c r="F71" i="42" s="1"/>
  <c r="F72" i="42" s="1"/>
  <c r="F73" i="42" s="1"/>
  <c r="F74" i="42" s="1"/>
  <c r="F75" i="42" s="1"/>
  <c r="F76" i="42" s="1"/>
  <c r="F77" i="42" s="1"/>
  <c r="H2" i="42"/>
  <c r="H3" i="42"/>
  <c r="E6" i="7"/>
  <c r="B12" i="7"/>
  <c r="H36" i="42"/>
  <c r="H40" i="42" s="1"/>
  <c r="C51" i="14"/>
  <c r="A8" i="10"/>
  <c r="A36" i="8"/>
  <c r="H42" i="42"/>
  <c r="H4" i="42"/>
  <c r="A30" i="14"/>
  <c r="D33" i="14"/>
  <c r="C33" i="14"/>
  <c r="D34" i="14"/>
  <c r="D30" i="14"/>
  <c r="D32" i="14"/>
  <c r="G25" i="42"/>
  <c r="G51" i="14"/>
  <c r="I51" i="14"/>
  <c r="B69" i="14"/>
  <c r="E69" i="14"/>
  <c r="H69" i="14"/>
  <c r="I69" i="14"/>
  <c r="B19" i="14"/>
  <c r="C19" i="14" s="1"/>
  <c r="D19" i="14" s="1"/>
  <c r="E19" i="14" s="1"/>
  <c r="F19" i="14" s="1"/>
  <c r="G19" i="14" s="1"/>
  <c r="H19" i="14" s="1"/>
  <c r="I19" i="14" s="1"/>
  <c r="J19" i="14" s="1"/>
  <c r="K19" i="14" s="1"/>
  <c r="L19" i="14" s="1"/>
  <c r="M19" i="14" s="1"/>
  <c r="N19" i="14" s="1"/>
  <c r="O19" i="14" s="1"/>
  <c r="X19" i="14" s="1"/>
  <c r="Y19" i="14" s="1"/>
  <c r="B11" i="14"/>
  <c r="Y21" i="14"/>
  <c r="X21" i="14"/>
  <c r="O21" i="14"/>
  <c r="N21" i="14"/>
  <c r="M21" i="14"/>
  <c r="L21" i="14"/>
  <c r="K21" i="14"/>
  <c r="J21" i="14"/>
  <c r="I21" i="14"/>
  <c r="H21" i="14"/>
  <c r="G21" i="14"/>
  <c r="F21" i="14"/>
  <c r="E21" i="14"/>
  <c r="D21" i="14"/>
  <c r="C21" i="14"/>
  <c r="B21" i="14"/>
  <c r="C20" i="14"/>
  <c r="D20" i="14" s="1"/>
  <c r="E20" i="14" s="1"/>
  <c r="F20" i="14" s="1"/>
  <c r="G20" i="14" s="1"/>
  <c r="H20" i="14" s="1"/>
  <c r="I20" i="14" s="1"/>
  <c r="J20" i="14" s="1"/>
  <c r="K20" i="14" s="1"/>
  <c r="L20" i="14" s="1"/>
  <c r="M20" i="14" s="1"/>
  <c r="N20" i="14" s="1"/>
  <c r="O20" i="14" s="1"/>
  <c r="X20" i="14" s="1"/>
  <c r="Y20" i="14" s="1"/>
  <c r="B17" i="14"/>
  <c r="C11" i="14"/>
  <c r="D11" i="14" s="1"/>
  <c r="E11" i="14" s="1"/>
  <c r="F11" i="14" s="1"/>
  <c r="G11" i="14" s="1"/>
  <c r="H11" i="14" s="1"/>
  <c r="I11" i="14" s="1"/>
  <c r="J11" i="14" s="1"/>
  <c r="K11" i="14" s="1"/>
  <c r="L11" i="14" s="1"/>
  <c r="M11" i="14" s="1"/>
  <c r="N11" i="14" s="1"/>
  <c r="O11" i="14" s="1"/>
  <c r="X11" i="14" s="1"/>
  <c r="Y11" i="14" s="1"/>
  <c r="D6" i="14"/>
  <c r="AE73" i="14"/>
  <c r="AF73" i="14"/>
  <c r="AG73" i="14"/>
  <c r="AH73" i="14"/>
  <c r="AI73" i="14" s="1"/>
  <c r="AJ73" i="14" s="1"/>
  <c r="D74" i="14"/>
  <c r="C68" i="14"/>
  <c r="D68" i="14" s="1"/>
  <c r="E68" i="14" s="1"/>
  <c r="F68" i="14" s="1"/>
  <c r="G68" i="14" s="1"/>
  <c r="H68" i="14" s="1"/>
  <c r="I68" i="14" s="1"/>
  <c r="J68" i="14" s="1"/>
  <c r="K68" i="14" s="1"/>
  <c r="L68" i="14" s="1"/>
  <c r="M68" i="14" s="1"/>
  <c r="N68" i="14" s="1"/>
  <c r="O68" i="14" s="1"/>
  <c r="X68" i="14" s="1"/>
  <c r="Y68" i="14" s="1"/>
  <c r="Z68" i="14" s="1"/>
  <c r="AA68" i="14" s="1"/>
  <c r="AB68" i="14" s="1"/>
  <c r="AC68" i="14" s="1"/>
  <c r="AD68" i="14" s="1"/>
  <c r="D6" i="8"/>
  <c r="D7" i="8"/>
  <c r="C28" i="12"/>
  <c r="C29" i="12"/>
  <c r="C30" i="12"/>
  <c r="C31" i="12"/>
  <c r="C33" i="12"/>
  <c r="C32" i="12"/>
  <c r="C27" i="12"/>
  <c r="C17" i="12"/>
  <c r="F17" i="12"/>
  <c r="C18" i="12"/>
  <c r="F18" i="12"/>
  <c r="C19" i="12"/>
  <c r="C20" i="12"/>
  <c r="C16" i="12"/>
  <c r="C15" i="12"/>
  <c r="F15" i="12"/>
  <c r="E7" i="12"/>
  <c r="E8" i="12"/>
  <c r="E9" i="12"/>
  <c r="E10" i="12"/>
  <c r="D28" i="8"/>
  <c r="D27" i="8"/>
  <c r="D19" i="8"/>
  <c r="D18" i="8"/>
  <c r="B29" i="8"/>
  <c r="B20" i="8"/>
  <c r="C8" i="2"/>
  <c r="E27" i="12"/>
  <c r="E28" i="12"/>
  <c r="E29" i="12"/>
  <c r="E30" i="12"/>
  <c r="E31" i="12"/>
  <c r="E32" i="12"/>
  <c r="E5" i="12"/>
  <c r="E6" i="12"/>
  <c r="D33" i="12"/>
  <c r="E15" i="12"/>
  <c r="E16" i="12"/>
  <c r="F16" i="12"/>
  <c r="E17" i="12"/>
  <c r="E18" i="12"/>
  <c r="E19" i="12"/>
  <c r="F19" i="12"/>
  <c r="E20" i="12"/>
  <c r="F20" i="12"/>
  <c r="E21" i="12"/>
  <c r="C21" i="12"/>
  <c r="D11" i="12"/>
  <c r="C11" i="12"/>
  <c r="B8" i="8"/>
  <c r="C5" i="6"/>
  <c r="E33" i="12"/>
  <c r="F21" i="12"/>
  <c r="D23" i="12"/>
  <c r="E11" i="12"/>
  <c r="AK17" i="42"/>
  <c r="AT17" i="42"/>
  <c r="AU17" i="42"/>
  <c r="AV17" i="42"/>
  <c r="BH17" i="42"/>
  <c r="AH17" i="42"/>
  <c r="BG17" i="42"/>
  <c r="AJ17" i="42"/>
  <c r="AL17" i="42"/>
  <c r="AW17" i="42"/>
  <c r="AX17" i="42"/>
  <c r="BF17" i="42"/>
  <c r="BJ17" i="42"/>
  <c r="AI17" i="42"/>
  <c r="BI17" i="42"/>
  <c r="K17" i="42"/>
  <c r="AH16" i="42"/>
  <c r="AC16" i="42"/>
  <c r="Z16" i="42"/>
  <c r="Y17" i="42"/>
  <c r="AD16" i="42"/>
  <c r="AB17" i="42"/>
  <c r="Y16" i="42"/>
  <c r="X17" i="42"/>
  <c r="L17" i="42"/>
  <c r="AA17" i="42"/>
  <c r="D35" i="12"/>
  <c r="BF18" i="42" l="1"/>
  <c r="Z18" i="42"/>
  <c r="AT18" i="42"/>
  <c r="AB18" i="42"/>
  <c r="X18" i="42"/>
  <c r="X13" i="42" s="1"/>
  <c r="J36" i="8"/>
  <c r="DZ18" i="42" s="1"/>
  <c r="DZ13" i="42" s="1"/>
  <c r="W18" i="42"/>
  <c r="AD18" i="42"/>
  <c r="AD13" i="42" s="1"/>
  <c r="Y18" i="42"/>
  <c r="AC18" i="42"/>
  <c r="AC13" i="42" s="1"/>
  <c r="BW18" i="42"/>
  <c r="H36" i="8"/>
  <c r="AG18" i="42"/>
  <c r="AE18" i="42"/>
  <c r="CP8" i="42"/>
  <c r="CQ8" i="42" s="1"/>
  <c r="CR8" i="42" s="1"/>
  <c r="CS8" i="42" s="1"/>
  <c r="CT8" i="42" s="1"/>
  <c r="CU8" i="42" s="1"/>
  <c r="CV8" i="42" s="1"/>
  <c r="CW8" i="42" s="1"/>
  <c r="CX8" i="42" s="1"/>
  <c r="EA8" i="42"/>
  <c r="BW11" i="42"/>
  <c r="DZ11" i="42"/>
  <c r="BX11" i="42"/>
  <c r="CN8" i="42"/>
  <c r="DZ8" i="42" s="1"/>
  <c r="EB8" i="42" s="1"/>
  <c r="Z13" i="42"/>
  <c r="BP7" i="42"/>
  <c r="BQ7" i="42"/>
  <c r="BR7" i="42"/>
  <c r="I60" i="42"/>
  <c r="B67" i="14"/>
  <c r="C67" i="14" s="1"/>
  <c r="D67" i="14" s="1"/>
  <c r="E67" i="14" s="1"/>
  <c r="F67" i="14" s="1"/>
  <c r="G67" i="14" s="1"/>
  <c r="H67" i="14" s="1"/>
  <c r="I67" i="14" s="1"/>
  <c r="J67" i="14" s="1"/>
  <c r="K67" i="14" s="1"/>
  <c r="L67" i="14" s="1"/>
  <c r="M67" i="14" s="1"/>
  <c r="N67" i="14" s="1"/>
  <c r="O67" i="14" s="1"/>
  <c r="X67" i="14" s="1"/>
  <c r="Y67" i="14" s="1"/>
  <c r="Z67" i="14" s="1"/>
  <c r="AA67" i="14" s="1"/>
  <c r="AB67" i="14" s="1"/>
  <c r="AC67" i="14" s="1"/>
  <c r="AD67" i="14" s="1"/>
  <c r="W13" i="42"/>
  <c r="H60" i="42"/>
  <c r="BS7" i="42"/>
  <c r="AT13" i="42"/>
  <c r="AB13" i="42"/>
  <c r="BO7" i="42"/>
  <c r="BU7" i="42" s="1"/>
  <c r="BV7" i="42" s="1"/>
  <c r="BT7" i="42"/>
  <c r="Y13" i="42"/>
  <c r="BW13" i="42"/>
  <c r="BF13" i="42"/>
  <c r="J13" i="42"/>
  <c r="AF13" i="42"/>
  <c r="EA45" i="42"/>
  <c r="EA59" i="42" s="1"/>
  <c r="EA63" i="42" s="1"/>
  <c r="AE13" i="42"/>
  <c r="AA13" i="42"/>
  <c r="K18" i="42"/>
  <c r="K13" i="42" s="1"/>
  <c r="R18" i="42"/>
  <c r="R13" i="42" s="1"/>
  <c r="T18" i="42"/>
  <c r="T13" i="42" s="1"/>
  <c r="O18" i="42"/>
  <c r="O13" i="42" s="1"/>
  <c r="Q18" i="42"/>
  <c r="Q13" i="42" s="1"/>
  <c r="L18" i="42"/>
  <c r="L13" i="42" s="1"/>
  <c r="P18" i="42"/>
  <c r="P13" i="42" s="1"/>
  <c r="V18" i="42"/>
  <c r="V13" i="42" s="1"/>
  <c r="S18" i="42"/>
  <c r="S13" i="42" s="1"/>
  <c r="M18" i="42"/>
  <c r="M13" i="42" s="1"/>
  <c r="N18" i="42"/>
  <c r="N13" i="42" s="1"/>
  <c r="U18" i="42"/>
  <c r="C12" i="2"/>
  <c r="C16" i="2"/>
  <c r="C20" i="2"/>
  <c r="BV18" i="42"/>
  <c r="BL18" i="42"/>
  <c r="BL13" i="42" s="1"/>
  <c r="BJ18" i="42"/>
  <c r="BJ13" i="42" s="1"/>
  <c r="BH18" i="42"/>
  <c r="BH13" i="42" s="1"/>
  <c r="AW18" i="42"/>
  <c r="AW13" i="42" s="1"/>
  <c r="BO18" i="42"/>
  <c r="BO13" i="42" s="1"/>
  <c r="BB18" i="42"/>
  <c r="BB13" i="42" s="1"/>
  <c r="AH18" i="42"/>
  <c r="AH13" i="42" s="1"/>
  <c r="BU18" i="42"/>
  <c r="BU13" i="42" s="1"/>
  <c r="BA18" i="42"/>
  <c r="BA13" i="42" s="1"/>
  <c r="AL18" i="42"/>
  <c r="AL13" i="42" s="1"/>
  <c r="EB45" i="42"/>
  <c r="EB59" i="42" s="1"/>
  <c r="BN18" i="42"/>
  <c r="BN13" i="42" s="1"/>
  <c r="AR18" i="42"/>
  <c r="AR13" i="42" s="1"/>
  <c r="D35" i="2"/>
  <c r="C32" i="2"/>
  <c r="C33" i="2" s="1"/>
  <c r="E22" i="2" s="1"/>
  <c r="E23" i="2" s="1"/>
  <c r="E24" i="2" s="1"/>
  <c r="E25" i="2" s="1"/>
  <c r="E26" i="2" s="1"/>
  <c r="E27" i="2" s="1"/>
  <c r="B28" i="14"/>
  <c r="B58" i="14" s="1"/>
  <c r="B81" i="14" s="1"/>
  <c r="B88" i="14" s="1"/>
  <c r="H11" i="42" s="1"/>
  <c r="H45" i="42" s="1"/>
  <c r="H59" i="42" s="1"/>
  <c r="H63" i="42" s="1"/>
  <c r="P28" i="42"/>
  <c r="P54" i="42" s="1"/>
  <c r="P60" i="42" s="1"/>
  <c r="AC28" i="42"/>
  <c r="Y28" i="42"/>
  <c r="Y54" i="42" s="1"/>
  <c r="Y60" i="42" s="1"/>
  <c r="O28" i="42"/>
  <c r="O54" i="42" s="1"/>
  <c r="O60" i="42" s="1"/>
  <c r="V28" i="42"/>
  <c r="V51" i="42" s="1"/>
  <c r="AG28" i="42"/>
  <c r="AG36" i="42" s="1"/>
  <c r="AG40" i="42" s="1"/>
  <c r="S28" i="42"/>
  <c r="Q28" i="42"/>
  <c r="Q54" i="42" s="1"/>
  <c r="Q60" i="42" s="1"/>
  <c r="Z28" i="42"/>
  <c r="AH28" i="42"/>
  <c r="AS28" i="42" s="1"/>
  <c r="U28" i="42"/>
  <c r="X28" i="42"/>
  <c r="AA28" i="42"/>
  <c r="AA54" i="42" s="1"/>
  <c r="AA60" i="42" s="1"/>
  <c r="W28" i="42"/>
  <c r="AF28" i="42"/>
  <c r="L28" i="42"/>
  <c r="R28" i="42"/>
  <c r="M28" i="42"/>
  <c r="K50" i="42"/>
  <c r="K51" i="42"/>
  <c r="K36" i="42"/>
  <c r="K40" i="42" s="1"/>
  <c r="T51" i="42"/>
  <c r="T54" i="42"/>
  <c r="T60" i="42" s="1"/>
  <c r="T50" i="42"/>
  <c r="T36" i="42"/>
  <c r="T40" i="42" s="1"/>
  <c r="K54" i="42"/>
  <c r="K60" i="42" s="1"/>
  <c r="AE28" i="42"/>
  <c r="N28" i="42"/>
  <c r="AB28" i="42"/>
  <c r="AD28" i="42"/>
  <c r="AJ18" i="42" l="1"/>
  <c r="AJ13" i="42" s="1"/>
  <c r="DX18" i="42"/>
  <c r="DX13" i="42" s="1"/>
  <c r="DP18" i="42"/>
  <c r="DP13" i="42" s="1"/>
  <c r="DH18" i="42"/>
  <c r="DH13" i="42" s="1"/>
  <c r="CY18" i="42"/>
  <c r="CY13" i="42" s="1"/>
  <c r="CQ18" i="42"/>
  <c r="CQ13" i="42" s="1"/>
  <c r="CL18" i="42"/>
  <c r="CL13" i="42" s="1"/>
  <c r="CF18" i="42"/>
  <c r="CF13" i="42" s="1"/>
  <c r="BX18" i="42"/>
  <c r="BX13" i="42" s="1"/>
  <c r="AZ18" i="42"/>
  <c r="AZ13" i="42" s="1"/>
  <c r="AO18" i="42"/>
  <c r="AO13" i="42" s="1"/>
  <c r="DW18" i="42"/>
  <c r="DW13" i="42" s="1"/>
  <c r="DO18" i="42"/>
  <c r="DO13" i="42" s="1"/>
  <c r="DG18" i="42"/>
  <c r="DG13" i="42" s="1"/>
  <c r="CX18" i="42"/>
  <c r="CX13" i="42" s="1"/>
  <c r="CP18" i="42"/>
  <c r="CP13" i="42" s="1"/>
  <c r="CK18" i="42"/>
  <c r="CK13" i="42" s="1"/>
  <c r="CE18" i="42"/>
  <c r="CE13" i="42" s="1"/>
  <c r="AI18" i="42"/>
  <c r="AI13" i="42" s="1"/>
  <c r="BM18" i="42"/>
  <c r="BM13" i="42" s="1"/>
  <c r="DV18" i="42"/>
  <c r="DV13" i="42" s="1"/>
  <c r="DN18" i="42"/>
  <c r="DN13" i="42" s="1"/>
  <c r="DF18" i="42"/>
  <c r="DF13" i="42" s="1"/>
  <c r="CW18" i="42"/>
  <c r="CW13" i="42" s="1"/>
  <c r="CN18" i="42"/>
  <c r="CN13" i="42" s="1"/>
  <c r="CJ18" i="42"/>
  <c r="CJ13" i="42" s="1"/>
  <c r="CD18" i="42"/>
  <c r="CD13" i="42" s="1"/>
  <c r="AN18" i="42"/>
  <c r="AN13" i="42" s="1"/>
  <c r="AU18" i="42"/>
  <c r="AU13" i="42" s="1"/>
  <c r="AX18" i="42"/>
  <c r="AX13" i="42" s="1"/>
  <c r="BG18" i="42"/>
  <c r="BG13" i="42" s="1"/>
  <c r="DU18" i="42"/>
  <c r="DU13" i="42" s="1"/>
  <c r="DM18" i="42"/>
  <c r="DE18" i="42"/>
  <c r="DE13" i="42" s="1"/>
  <c r="CV18" i="42"/>
  <c r="CV13" i="42" s="1"/>
  <c r="CI18" i="42"/>
  <c r="CI13" i="42" s="1"/>
  <c r="BQ18" i="42"/>
  <c r="BS18" i="42"/>
  <c r="BS13" i="42" s="1"/>
  <c r="CC18" i="42"/>
  <c r="DT18" i="42"/>
  <c r="DT13" i="42" s="1"/>
  <c r="BK18" i="42"/>
  <c r="BK13" i="42" s="1"/>
  <c r="DL18" i="42"/>
  <c r="DL13" i="42" s="1"/>
  <c r="DD18" i="42"/>
  <c r="DD13" i="42" s="1"/>
  <c r="CU18" i="42"/>
  <c r="CU13" i="42" s="1"/>
  <c r="CB18" i="42"/>
  <c r="CB13" i="42" s="1"/>
  <c r="AQ18" i="42"/>
  <c r="AQ13" i="42" s="1"/>
  <c r="BE18" i="42"/>
  <c r="DS18" i="42"/>
  <c r="DS13" i="42" s="1"/>
  <c r="DK18" i="42"/>
  <c r="DK13" i="42" s="1"/>
  <c r="DC18" i="42"/>
  <c r="DC13" i="42" s="1"/>
  <c r="CT18" i="42"/>
  <c r="CT13" i="42" s="1"/>
  <c r="CA18" i="42"/>
  <c r="CA13" i="42" s="1"/>
  <c r="AY18" i="42"/>
  <c r="AY13" i="42" s="1"/>
  <c r="AP18" i="42"/>
  <c r="AP13" i="42" s="1"/>
  <c r="BC18" i="42"/>
  <c r="BC13" i="42" s="1"/>
  <c r="BI18" i="42"/>
  <c r="BI13" i="42" s="1"/>
  <c r="DR18" i="42"/>
  <c r="DR13" i="42" s="1"/>
  <c r="DJ18" i="42"/>
  <c r="DJ13" i="42" s="1"/>
  <c r="DB18" i="42"/>
  <c r="DB13" i="42" s="1"/>
  <c r="DA18" i="42"/>
  <c r="CS18" i="42"/>
  <c r="CS13" i="42" s="1"/>
  <c r="CO18" i="42"/>
  <c r="CH18" i="42"/>
  <c r="CH13" i="42" s="1"/>
  <c r="BZ18" i="42"/>
  <c r="BZ13" i="42" s="1"/>
  <c r="AM18" i="42"/>
  <c r="AM13" i="42" s="1"/>
  <c r="AV18" i="42"/>
  <c r="AV13" i="42" s="1"/>
  <c r="AS18" i="42"/>
  <c r="DY18" i="42"/>
  <c r="DQ18" i="42"/>
  <c r="DQ13" i="42" s="1"/>
  <c r="DI18" i="42"/>
  <c r="DI13" i="42" s="1"/>
  <c r="CZ18" i="42"/>
  <c r="CZ13" i="42" s="1"/>
  <c r="CR18" i="42"/>
  <c r="CR13" i="42" s="1"/>
  <c r="CM18" i="42"/>
  <c r="CM13" i="42" s="1"/>
  <c r="BP18" i="42"/>
  <c r="BP13" i="42" s="1"/>
  <c r="BR18" i="42"/>
  <c r="BR13" i="42" s="1"/>
  <c r="BT18" i="42"/>
  <c r="BT13" i="42" s="1"/>
  <c r="CG18" i="42"/>
  <c r="CG13" i="42" s="1"/>
  <c r="BY18" i="42"/>
  <c r="BY13" i="42" s="1"/>
  <c r="AK18" i="42"/>
  <c r="AK13" i="42" s="1"/>
  <c r="BD18" i="42"/>
  <c r="BD13" i="42" s="1"/>
  <c r="CZ8" i="42"/>
  <c r="CY8" i="42"/>
  <c r="DA8" i="42" s="1"/>
  <c r="DB8" i="42" s="1"/>
  <c r="DC8" i="42" s="1"/>
  <c r="DD8" i="42" s="1"/>
  <c r="DE8" i="42" s="1"/>
  <c r="DF8" i="42" s="1"/>
  <c r="DG8" i="42" s="1"/>
  <c r="DH8" i="42" s="1"/>
  <c r="DI8" i="42" s="1"/>
  <c r="DJ8" i="42" s="1"/>
  <c r="BW7" i="42"/>
  <c r="BX7" i="42" s="1"/>
  <c r="BY7" i="42" s="1"/>
  <c r="BZ7" i="42" s="1"/>
  <c r="CA7" i="42" s="1"/>
  <c r="CB7" i="42" s="1"/>
  <c r="CC7" i="42" s="1"/>
  <c r="CD7" i="42" s="1"/>
  <c r="CE7" i="42" s="1"/>
  <c r="CF7" i="42" s="1"/>
  <c r="E28" i="2"/>
  <c r="E29" i="2" s="1"/>
  <c r="P51" i="42"/>
  <c r="H29" i="2"/>
  <c r="C40" i="2"/>
  <c r="C41" i="2" s="1"/>
  <c r="Z21" i="42" s="1"/>
  <c r="C62" i="14"/>
  <c r="B37" i="14"/>
  <c r="B8" i="10"/>
  <c r="X8" i="10" s="1"/>
  <c r="B44" i="14"/>
  <c r="B51" i="14"/>
  <c r="B84" i="14"/>
  <c r="H83" i="42"/>
  <c r="AC50" i="42"/>
  <c r="AG51" i="42"/>
  <c r="P36" i="42"/>
  <c r="P40" i="42" s="1"/>
  <c r="AC54" i="42"/>
  <c r="AC60" i="42" s="1"/>
  <c r="P50" i="42"/>
  <c r="Y51" i="42"/>
  <c r="AG54" i="42"/>
  <c r="AG60" i="42" s="1"/>
  <c r="Y50" i="42"/>
  <c r="AG50" i="42"/>
  <c r="Y36" i="42"/>
  <c r="Y40" i="42" s="1"/>
  <c r="AC36" i="42"/>
  <c r="AC40" i="42" s="1"/>
  <c r="AC51" i="42"/>
  <c r="O36" i="42"/>
  <c r="O40" i="42" s="1"/>
  <c r="O51" i="42"/>
  <c r="Q51" i="42"/>
  <c r="O50" i="42"/>
  <c r="V36" i="42"/>
  <c r="V40" i="42" s="1"/>
  <c r="V50" i="42"/>
  <c r="AQ28" i="42"/>
  <c r="AQ50" i="42" s="1"/>
  <c r="Q50" i="42"/>
  <c r="Q36" i="42"/>
  <c r="Q40" i="42" s="1"/>
  <c r="S54" i="42"/>
  <c r="S60" i="42" s="1"/>
  <c r="S36" i="42"/>
  <c r="S40" i="42" s="1"/>
  <c r="S51" i="42"/>
  <c r="S50" i="42"/>
  <c r="V54" i="42"/>
  <c r="V60" i="42" s="1"/>
  <c r="AO28" i="42"/>
  <c r="AO54" i="42" s="1"/>
  <c r="AO60" i="42" s="1"/>
  <c r="AL28" i="42"/>
  <c r="AN28" i="42"/>
  <c r="AN51" i="42" s="1"/>
  <c r="L51" i="42"/>
  <c r="L50" i="42"/>
  <c r="L36" i="42"/>
  <c r="L40" i="42" s="1"/>
  <c r="L54" i="42"/>
  <c r="L60" i="42" s="1"/>
  <c r="AF51" i="42"/>
  <c r="AF54" i="42"/>
  <c r="AF60" i="42" s="1"/>
  <c r="AF50" i="42"/>
  <c r="AF36" i="42"/>
  <c r="AF40" i="42" s="1"/>
  <c r="R36" i="42"/>
  <c r="R40" i="42" s="1"/>
  <c r="R51" i="42"/>
  <c r="R54" i="42"/>
  <c r="R60" i="42" s="1"/>
  <c r="R50" i="42"/>
  <c r="X54" i="42"/>
  <c r="X60" i="42" s="1"/>
  <c r="X50" i="42"/>
  <c r="X36" i="42"/>
  <c r="X40" i="42" s="1"/>
  <c r="X51" i="42"/>
  <c r="AH54" i="42"/>
  <c r="AH60" i="42" s="1"/>
  <c r="AT28" i="42"/>
  <c r="AK28" i="42"/>
  <c r="AI28" i="42"/>
  <c r="AM28" i="42"/>
  <c r="AR28" i="42"/>
  <c r="AH50" i="42"/>
  <c r="AH36" i="42"/>
  <c r="AH40" i="42" s="1"/>
  <c r="AH51" i="42"/>
  <c r="AP28" i="42"/>
  <c r="AJ28" i="42"/>
  <c r="W51" i="42"/>
  <c r="W54" i="42"/>
  <c r="W60" i="42" s="1"/>
  <c r="W36" i="42"/>
  <c r="W40" i="42" s="1"/>
  <c r="W50" i="42"/>
  <c r="U54" i="42"/>
  <c r="U60" i="42" s="1"/>
  <c r="U36" i="42"/>
  <c r="U40" i="42" s="1"/>
  <c r="U51" i="42"/>
  <c r="U50" i="42"/>
  <c r="Z50" i="42"/>
  <c r="Z54" i="42"/>
  <c r="Z60" i="42" s="1"/>
  <c r="Z51" i="42"/>
  <c r="Z36" i="42"/>
  <c r="Z40" i="42" s="1"/>
  <c r="M36" i="42"/>
  <c r="M40" i="42" s="1"/>
  <c r="M51" i="42"/>
  <c r="M50" i="42"/>
  <c r="M54" i="42"/>
  <c r="M60" i="42" s="1"/>
  <c r="AA51" i="42"/>
  <c r="AA36" i="42"/>
  <c r="AA40" i="42" s="1"/>
  <c r="AA50" i="42"/>
  <c r="AD51" i="42"/>
  <c r="AD36" i="42"/>
  <c r="AD40" i="42" s="1"/>
  <c r="AD50" i="42"/>
  <c r="AD54" i="42"/>
  <c r="AD60" i="42" s="1"/>
  <c r="N54" i="42"/>
  <c r="N60" i="42" s="1"/>
  <c r="N36" i="42"/>
  <c r="N40" i="42" s="1"/>
  <c r="N51" i="42"/>
  <c r="N50" i="42"/>
  <c r="BD28" i="42"/>
  <c r="AS36" i="42"/>
  <c r="AS40" i="42" s="1"/>
  <c r="AS51" i="42"/>
  <c r="AZ28" i="42"/>
  <c r="BF28" i="42"/>
  <c r="AU28" i="42"/>
  <c r="AY28" i="42"/>
  <c r="BE28" i="42"/>
  <c r="AS54" i="42"/>
  <c r="AS60" i="42" s="1"/>
  <c r="AV28" i="42"/>
  <c r="AX28" i="42"/>
  <c r="AS50" i="42"/>
  <c r="BB28" i="42"/>
  <c r="AW28" i="42"/>
  <c r="BA28" i="42"/>
  <c r="BC28" i="42"/>
  <c r="AB51" i="42"/>
  <c r="AB36" i="42"/>
  <c r="AB40" i="42" s="1"/>
  <c r="AB50" i="42"/>
  <c r="AB54" i="42"/>
  <c r="AB60" i="42" s="1"/>
  <c r="AE36" i="42"/>
  <c r="AE40" i="42" s="1"/>
  <c r="AE54" i="42"/>
  <c r="AE60" i="42" s="1"/>
  <c r="AE51" i="42"/>
  <c r="AE50" i="42"/>
  <c r="E30" i="2" l="1"/>
  <c r="E31" i="2" s="1"/>
  <c r="E32" i="2" s="1"/>
  <c r="H87" i="42" s="1"/>
  <c r="H89" i="42" s="1"/>
  <c r="Z8" i="10"/>
  <c r="CO14" i="42" s="1"/>
  <c r="CO13" i="42" s="1"/>
  <c r="AA8" i="10"/>
  <c r="DL8" i="42"/>
  <c r="DK8" i="42"/>
  <c r="DM8" i="42" s="1"/>
  <c r="DN8" i="42" s="1"/>
  <c r="DO8" i="42" s="1"/>
  <c r="DP8" i="42" s="1"/>
  <c r="DQ8" i="42" s="1"/>
  <c r="DR8" i="42" s="1"/>
  <c r="DS8" i="42" s="1"/>
  <c r="DT8" i="42" s="1"/>
  <c r="DU8" i="42" s="1"/>
  <c r="DV8" i="42" s="1"/>
  <c r="D36" i="14"/>
  <c r="K11" i="42"/>
  <c r="K45" i="42" s="1"/>
  <c r="K59" i="42" s="1"/>
  <c r="K63" i="42" s="1"/>
  <c r="U8" i="10"/>
  <c r="W8" i="10" s="1"/>
  <c r="C8" i="10"/>
  <c r="E8" i="10" s="1"/>
  <c r="I14" i="42" s="1"/>
  <c r="I13" i="42" s="1"/>
  <c r="BP28" i="42"/>
  <c r="BP36" i="42" s="1"/>
  <c r="BP40" i="42" s="1"/>
  <c r="CG7" i="42"/>
  <c r="CH7" i="42" s="1"/>
  <c r="BR28" i="42"/>
  <c r="BQ28" i="42"/>
  <c r="D41" i="2"/>
  <c r="E41" i="2" s="1"/>
  <c r="AW21" i="42"/>
  <c r="AF21" i="42"/>
  <c r="BE21" i="42"/>
  <c r="AX21" i="42"/>
  <c r="AC21" i="42"/>
  <c r="BA21" i="42"/>
  <c r="AR21" i="42"/>
  <c r="AA21" i="42"/>
  <c r="M21" i="42"/>
  <c r="X21" i="42"/>
  <c r="AU21" i="42"/>
  <c r="AM21" i="42"/>
  <c r="W21" i="42"/>
  <c r="AG21" i="42"/>
  <c r="AY21" i="42"/>
  <c r="AK21" i="42"/>
  <c r="N21" i="42"/>
  <c r="AS21" i="42"/>
  <c r="V21" i="42"/>
  <c r="R21" i="42"/>
  <c r="U21" i="42"/>
  <c r="AE21" i="42"/>
  <c r="BC21" i="42"/>
  <c r="S21" i="42"/>
  <c r="AI21" i="42"/>
  <c r="K21" i="42"/>
  <c r="AD21" i="42"/>
  <c r="Q21" i="42"/>
  <c r="AZ21" i="42"/>
  <c r="AQ21" i="42"/>
  <c r="L21" i="42"/>
  <c r="T21" i="42"/>
  <c r="J21" i="42"/>
  <c r="AJ21" i="42"/>
  <c r="AL21" i="42"/>
  <c r="AO21" i="42"/>
  <c r="B65" i="14"/>
  <c r="AB21" i="42"/>
  <c r="O21" i="42"/>
  <c r="P21" i="42"/>
  <c r="BB21" i="42"/>
  <c r="BD21" i="42"/>
  <c r="AH21" i="42"/>
  <c r="AV21" i="42"/>
  <c r="AN21" i="42"/>
  <c r="AT21" i="42"/>
  <c r="Y21" i="42"/>
  <c r="AP21" i="42"/>
  <c r="I8" i="10"/>
  <c r="K8" i="10" s="1"/>
  <c r="AG14" i="42" s="1"/>
  <c r="AG13" i="42" s="1"/>
  <c r="R8" i="10"/>
  <c r="T8" i="10" s="1"/>
  <c r="O8" i="10"/>
  <c r="Q8" i="10" s="1"/>
  <c r="BE14" i="42" s="1"/>
  <c r="L8" i="10"/>
  <c r="N8" i="10" s="1"/>
  <c r="AS14" i="42" s="1"/>
  <c r="AS13" i="42" s="1"/>
  <c r="F8" i="10"/>
  <c r="H8" i="10" s="1"/>
  <c r="U14" i="42" s="1"/>
  <c r="U13" i="42" s="1"/>
  <c r="AQ54" i="42"/>
  <c r="AQ60" i="42" s="1"/>
  <c r="AQ51" i="42"/>
  <c r="AO50" i="42"/>
  <c r="AQ36" i="42"/>
  <c r="AQ40" i="42" s="1"/>
  <c r="AO51" i="42"/>
  <c r="AO36" i="42"/>
  <c r="AO40" i="42" s="1"/>
  <c r="AL50" i="42"/>
  <c r="AL54" i="42"/>
  <c r="AL60" i="42" s="1"/>
  <c r="AN50" i="42"/>
  <c r="AL36" i="42"/>
  <c r="AL40" i="42" s="1"/>
  <c r="AN54" i="42"/>
  <c r="AN60" i="42" s="1"/>
  <c r="AL51" i="42"/>
  <c r="AN36" i="42"/>
  <c r="AN40" i="42" s="1"/>
  <c r="AT50" i="42"/>
  <c r="AT36" i="42"/>
  <c r="AT40" i="42" s="1"/>
  <c r="AT51" i="42"/>
  <c r="AT54" i="42"/>
  <c r="AT60" i="42" s="1"/>
  <c r="AR50" i="42"/>
  <c r="AR36" i="42"/>
  <c r="AR40" i="42" s="1"/>
  <c r="AR51" i="42"/>
  <c r="AR54" i="42"/>
  <c r="AR60" i="42" s="1"/>
  <c r="AM36" i="42"/>
  <c r="AM40" i="42" s="1"/>
  <c r="AM50" i="42"/>
  <c r="AM54" i="42"/>
  <c r="AM60" i="42" s="1"/>
  <c r="AM51" i="42"/>
  <c r="AJ36" i="42"/>
  <c r="AJ40" i="42" s="1"/>
  <c r="AJ51" i="42"/>
  <c r="AJ50" i="42"/>
  <c r="AJ54" i="42"/>
  <c r="AJ60" i="42" s="1"/>
  <c r="AI50" i="42"/>
  <c r="AI51" i="42"/>
  <c r="AI54" i="42"/>
  <c r="AI60" i="42" s="1"/>
  <c r="AI36" i="42"/>
  <c r="AI40" i="42" s="1"/>
  <c r="AP54" i="42"/>
  <c r="AP60" i="42" s="1"/>
  <c r="AP50" i="42"/>
  <c r="AP36" i="42"/>
  <c r="AP40" i="42" s="1"/>
  <c r="AP51" i="42"/>
  <c r="AK50" i="42"/>
  <c r="AK54" i="42"/>
  <c r="AK60" i="42" s="1"/>
  <c r="AK51" i="42"/>
  <c r="AK36" i="42"/>
  <c r="AK40" i="42" s="1"/>
  <c r="AV51" i="42"/>
  <c r="AV54" i="42"/>
  <c r="AV60" i="42" s="1"/>
  <c r="AV50" i="42"/>
  <c r="AV36" i="42"/>
  <c r="AV40" i="42" s="1"/>
  <c r="BC51" i="42"/>
  <c r="BC54" i="42"/>
  <c r="BC60" i="42" s="1"/>
  <c r="BC36" i="42"/>
  <c r="BC40" i="42" s="1"/>
  <c r="BC50" i="42"/>
  <c r="AZ54" i="42"/>
  <c r="AZ60" i="42" s="1"/>
  <c r="AZ50" i="42"/>
  <c r="AZ51" i="42"/>
  <c r="AZ36" i="42"/>
  <c r="AZ40" i="42" s="1"/>
  <c r="AX51" i="42"/>
  <c r="AX54" i="42"/>
  <c r="AX60" i="42" s="1"/>
  <c r="AX36" i="42"/>
  <c r="AX40" i="42" s="1"/>
  <c r="AX50" i="42"/>
  <c r="BD36" i="42"/>
  <c r="BD40" i="42" s="1"/>
  <c r="BD51" i="42"/>
  <c r="BD50" i="42"/>
  <c r="BD54" i="42"/>
  <c r="BD60" i="42" s="1"/>
  <c r="BE50" i="42"/>
  <c r="BE54" i="42"/>
  <c r="BE60" i="42" s="1"/>
  <c r="BE36" i="42"/>
  <c r="BE40" i="42" s="1"/>
  <c r="BE51" i="42"/>
  <c r="BA54" i="42"/>
  <c r="BA60" i="42" s="1"/>
  <c r="BA50" i="42"/>
  <c r="BA36" i="42"/>
  <c r="BA40" i="42" s="1"/>
  <c r="BA51" i="42"/>
  <c r="AY50" i="42"/>
  <c r="AY36" i="42"/>
  <c r="AY40" i="42" s="1"/>
  <c r="AY54" i="42"/>
  <c r="AY60" i="42" s="1"/>
  <c r="AY51" i="42"/>
  <c r="AW36" i="42"/>
  <c r="AW40" i="42" s="1"/>
  <c r="AW54" i="42"/>
  <c r="AW60" i="42" s="1"/>
  <c r="AW51" i="42"/>
  <c r="AW50" i="42"/>
  <c r="AU54" i="42"/>
  <c r="AU60" i="42" s="1"/>
  <c r="AU36" i="42"/>
  <c r="AU40" i="42" s="1"/>
  <c r="AU50" i="42"/>
  <c r="AU51" i="42"/>
  <c r="BB54" i="42"/>
  <c r="BB60" i="42" s="1"/>
  <c r="BB51" i="42"/>
  <c r="BB50" i="42"/>
  <c r="BB36" i="42"/>
  <c r="BB40" i="42" s="1"/>
  <c r="BJ28" i="42"/>
  <c r="BI28" i="42"/>
  <c r="BF54" i="42"/>
  <c r="BF60" i="42" s="1"/>
  <c r="BM28" i="42"/>
  <c r="BO28" i="42"/>
  <c r="BN28" i="42"/>
  <c r="BK28" i="42"/>
  <c r="BL28" i="42"/>
  <c r="BF50" i="42"/>
  <c r="BG28" i="42"/>
  <c r="BF36" i="42"/>
  <c r="BF40" i="42" s="1"/>
  <c r="BH28" i="42"/>
  <c r="BF51" i="42"/>
  <c r="D44" i="2" l="1"/>
  <c r="AD8" i="10"/>
  <c r="AC8" i="10"/>
  <c r="DA14" i="42" s="1"/>
  <c r="DA13" i="42" s="1"/>
  <c r="DW8" i="42"/>
  <c r="DY8" i="42" s="1"/>
  <c r="DX8" i="42"/>
  <c r="BD11" i="42"/>
  <c r="BD45" i="42" s="1"/>
  <c r="AX88" i="14"/>
  <c r="BJ11" i="42"/>
  <c r="BJ45" i="42" s="1"/>
  <c r="BD88" i="14"/>
  <c r="BI11" i="42"/>
  <c r="BI45" i="42" s="1"/>
  <c r="BC88" i="14"/>
  <c r="BH11" i="42"/>
  <c r="BB88" i="14"/>
  <c r="BG11" i="42"/>
  <c r="BG45" i="42" s="1"/>
  <c r="BA88" i="14"/>
  <c r="AX11" i="42"/>
  <c r="AX45" i="42" s="1"/>
  <c r="AX59" i="42" s="1"/>
  <c r="AX63" i="42" s="1"/>
  <c r="AR88" i="14"/>
  <c r="BM11" i="42"/>
  <c r="BG88" i="14"/>
  <c r="AV11" i="42"/>
  <c r="AV45" i="42" s="1"/>
  <c r="AV59" i="42" s="1"/>
  <c r="AV63" i="42" s="1"/>
  <c r="AP88" i="14"/>
  <c r="BB11" i="42"/>
  <c r="BB45" i="42" s="1"/>
  <c r="BB59" i="42" s="1"/>
  <c r="BB63" i="42" s="1"/>
  <c r="AV88" i="14"/>
  <c r="BA11" i="42"/>
  <c r="BA45" i="42" s="1"/>
  <c r="BA59" i="42" s="1"/>
  <c r="BA63" i="42" s="1"/>
  <c r="AU88" i="14"/>
  <c r="AZ11" i="42"/>
  <c r="AZ45" i="42" s="1"/>
  <c r="AZ59" i="42" s="1"/>
  <c r="AZ63" i="42" s="1"/>
  <c r="AT88" i="14"/>
  <c r="AS88" i="14"/>
  <c r="AY11" i="42"/>
  <c r="AY45" i="42" s="1"/>
  <c r="AY59" i="42" s="1"/>
  <c r="AY63" i="42" s="1"/>
  <c r="AP11" i="42"/>
  <c r="AP45" i="42" s="1"/>
  <c r="AP59" i="42" s="1"/>
  <c r="AP63" i="42" s="1"/>
  <c r="AJ88" i="14"/>
  <c r="AT11" i="42"/>
  <c r="AT45" i="42" s="1"/>
  <c r="AT59" i="42" s="1"/>
  <c r="AT63" i="42" s="1"/>
  <c r="AN88" i="14"/>
  <c r="AR11" i="42"/>
  <c r="AR45" i="42" s="1"/>
  <c r="AR59" i="42" s="1"/>
  <c r="AR63" i="42" s="1"/>
  <c r="AL88" i="14"/>
  <c r="AH11" i="42"/>
  <c r="AH45" i="42" s="1"/>
  <c r="AH59" i="42" s="1"/>
  <c r="AH63" i="42" s="1"/>
  <c r="AC69" i="14"/>
  <c r="AB88" i="14"/>
  <c r="J69" i="14"/>
  <c r="K88" i="14"/>
  <c r="Q11" i="42"/>
  <c r="Q45" i="42" s="1"/>
  <c r="Q59" i="42" s="1"/>
  <c r="Q63" i="42" s="1"/>
  <c r="AY88" i="14"/>
  <c r="BE11" i="42"/>
  <c r="AN11" i="42"/>
  <c r="AN45" i="42" s="1"/>
  <c r="AN59" i="42" s="1"/>
  <c r="AN63" i="42" s="1"/>
  <c r="AH88" i="14"/>
  <c r="AS11" i="42"/>
  <c r="AS45" i="42" s="1"/>
  <c r="AS59" i="42" s="1"/>
  <c r="AS63" i="42" s="1"/>
  <c r="AM88" i="14"/>
  <c r="AQ11" i="42"/>
  <c r="AQ45" i="42" s="1"/>
  <c r="AQ59" i="42" s="1"/>
  <c r="AQ63" i="42" s="1"/>
  <c r="AK88" i="14"/>
  <c r="AW88" i="14"/>
  <c r="BC11" i="42"/>
  <c r="BC45" i="42" s="1"/>
  <c r="BC59" i="42" s="1"/>
  <c r="BC63" i="42" s="1"/>
  <c r="AW11" i="42"/>
  <c r="AW45" i="42" s="1"/>
  <c r="AW59" i="42" s="1"/>
  <c r="AW63" i="42" s="1"/>
  <c r="AQ88" i="14"/>
  <c r="AA69" i="14"/>
  <c r="AF11" i="42"/>
  <c r="AF45" i="42" s="1"/>
  <c r="AF59" i="42" s="1"/>
  <c r="AF63" i="42" s="1"/>
  <c r="Z88" i="14"/>
  <c r="AL11" i="42"/>
  <c r="AL45" i="42" s="1"/>
  <c r="AL59" i="42" s="1"/>
  <c r="AL63" i="42" s="1"/>
  <c r="AF88" i="14"/>
  <c r="AK11" i="42"/>
  <c r="AK45" i="42" s="1"/>
  <c r="AK59" i="42" s="1"/>
  <c r="AK63" i="42" s="1"/>
  <c r="AE88" i="14"/>
  <c r="AJ11" i="42"/>
  <c r="AJ45" i="42" s="1"/>
  <c r="AJ59" i="42" s="1"/>
  <c r="AJ63" i="42" s="1"/>
  <c r="AD88" i="14"/>
  <c r="AI11" i="42"/>
  <c r="AI45" i="42" s="1"/>
  <c r="AI59" i="42" s="1"/>
  <c r="AI63" i="42" s="1"/>
  <c r="AD69" i="14"/>
  <c r="AC88" i="14"/>
  <c r="Z11" i="42"/>
  <c r="Z45" i="42" s="1"/>
  <c r="Z59" i="42" s="1"/>
  <c r="Z63" i="42" s="1"/>
  <c r="T88" i="14"/>
  <c r="Y69" i="14"/>
  <c r="AD11" i="42"/>
  <c r="AD45" i="42" s="1"/>
  <c r="AD59" i="42" s="1"/>
  <c r="AD63" i="42" s="1"/>
  <c r="X88" i="14"/>
  <c r="X69" i="14"/>
  <c r="AC11" i="42"/>
  <c r="AC45" i="42" s="1"/>
  <c r="AC59" i="42" s="1"/>
  <c r="AC63" i="42" s="1"/>
  <c r="W88" i="14"/>
  <c r="AB11" i="42"/>
  <c r="AB45" i="42" s="1"/>
  <c r="AB59" i="42" s="1"/>
  <c r="AB63" i="42" s="1"/>
  <c r="V88" i="14"/>
  <c r="AA11" i="42"/>
  <c r="AA45" i="42" s="1"/>
  <c r="AA59" i="42" s="1"/>
  <c r="AA63" i="42" s="1"/>
  <c r="U88" i="14"/>
  <c r="R11" i="42"/>
  <c r="R45" i="42" s="1"/>
  <c r="R59" i="42" s="1"/>
  <c r="R63" i="42" s="1"/>
  <c r="K69" i="14"/>
  <c r="L88" i="14"/>
  <c r="AM11" i="42"/>
  <c r="AM45" i="42" s="1"/>
  <c r="AM59" i="42" s="1"/>
  <c r="AM63" i="42" s="1"/>
  <c r="AG88" i="14"/>
  <c r="J11" i="42"/>
  <c r="J45" i="42" s="1"/>
  <c r="J59" i="42" s="1"/>
  <c r="J63" i="42" s="1"/>
  <c r="D69" i="14"/>
  <c r="D88" i="14"/>
  <c r="T11" i="42"/>
  <c r="T45" i="42" s="1"/>
  <c r="T59" i="42" s="1"/>
  <c r="T63" i="42" s="1"/>
  <c r="M69" i="14"/>
  <c r="N88" i="14"/>
  <c r="W11" i="42"/>
  <c r="W45" i="42" s="1"/>
  <c r="W59" i="42" s="1"/>
  <c r="W63" i="42" s="1"/>
  <c r="Q88" i="14"/>
  <c r="Y11" i="42"/>
  <c r="Y45" i="42" s="1"/>
  <c r="Y59" i="42" s="1"/>
  <c r="Y63" i="42" s="1"/>
  <c r="S88" i="14"/>
  <c r="BK11" i="42"/>
  <c r="BK45" i="42" s="1"/>
  <c r="BE88" i="14"/>
  <c r="N11" i="42"/>
  <c r="N45" i="42" s="1"/>
  <c r="N59" i="42" s="1"/>
  <c r="N63" i="42" s="1"/>
  <c r="H88" i="14"/>
  <c r="G88" i="14"/>
  <c r="M11" i="42"/>
  <c r="M45" i="42" s="1"/>
  <c r="M59" i="42" s="1"/>
  <c r="M63" i="42" s="1"/>
  <c r="F88" i="14"/>
  <c r="L11" i="42"/>
  <c r="L45" i="42" s="1"/>
  <c r="L59" i="42" s="1"/>
  <c r="L63" i="42" s="1"/>
  <c r="BN11" i="42"/>
  <c r="BH88" i="14"/>
  <c r="AO88" i="14"/>
  <c r="AU11" i="42"/>
  <c r="AU45" i="42" s="1"/>
  <c r="AU59" i="42" s="1"/>
  <c r="AU63" i="42" s="1"/>
  <c r="AO11" i="42"/>
  <c r="AO45" i="42" s="1"/>
  <c r="AO59" i="42" s="1"/>
  <c r="AO63" i="42" s="1"/>
  <c r="AI88" i="14"/>
  <c r="R88" i="14"/>
  <c r="X11" i="42"/>
  <c r="X45" i="42" s="1"/>
  <c r="X59" i="42" s="1"/>
  <c r="X63" i="42" s="1"/>
  <c r="AA88" i="14"/>
  <c r="AB69" i="14"/>
  <c r="AG11" i="42"/>
  <c r="AG45" i="42" s="1"/>
  <c r="AG59" i="42" s="1"/>
  <c r="AG63" i="42" s="1"/>
  <c r="P11" i="42"/>
  <c r="P45" i="42" s="1"/>
  <c r="P59" i="42" s="1"/>
  <c r="P63" i="42" s="1"/>
  <c r="G69" i="14"/>
  <c r="J88" i="14"/>
  <c r="V11" i="42"/>
  <c r="V45" i="42" s="1"/>
  <c r="V59" i="42" s="1"/>
  <c r="V63" i="42" s="1"/>
  <c r="O69" i="14"/>
  <c r="P88" i="14"/>
  <c r="U11" i="42"/>
  <c r="U45" i="42" s="1"/>
  <c r="U59" i="42" s="1"/>
  <c r="U63" i="42" s="1"/>
  <c r="N69" i="14"/>
  <c r="O88" i="14"/>
  <c r="S11" i="42"/>
  <c r="S45" i="42" s="1"/>
  <c r="S59" i="42" s="1"/>
  <c r="S63" i="42" s="1"/>
  <c r="L69" i="14"/>
  <c r="M88" i="14"/>
  <c r="O11" i="42"/>
  <c r="O45" i="42" s="1"/>
  <c r="O59" i="42" s="1"/>
  <c r="O63" i="42" s="1"/>
  <c r="F69" i="14"/>
  <c r="I88" i="14"/>
  <c r="BF88" i="14"/>
  <c r="BL11" i="42"/>
  <c r="BL45" i="42" s="1"/>
  <c r="Z69" i="14"/>
  <c r="AE11" i="42"/>
  <c r="AE45" i="42" s="1"/>
  <c r="AE59" i="42" s="1"/>
  <c r="AE63" i="42" s="1"/>
  <c r="Y88" i="14"/>
  <c r="I11" i="42"/>
  <c r="I45" i="42" s="1"/>
  <c r="I59" i="42" s="1"/>
  <c r="I63" i="42" s="1"/>
  <c r="C69" i="14"/>
  <c r="C88" i="14"/>
  <c r="BJ88" i="14"/>
  <c r="BP11" i="42"/>
  <c r="BP45" i="42" s="1"/>
  <c r="BI88" i="14"/>
  <c r="BO11" i="42"/>
  <c r="BO45" i="42" s="1"/>
  <c r="BF11" i="42"/>
  <c r="BF45" i="42" s="1"/>
  <c r="BF59" i="42" s="1"/>
  <c r="BF63" i="42" s="1"/>
  <c r="AZ88" i="14"/>
  <c r="BE13" i="42"/>
  <c r="BQ14" i="42"/>
  <c r="BQ13" i="42" s="1"/>
  <c r="BQ45" i="42" s="1"/>
  <c r="BV13" i="42"/>
  <c r="CC14" i="42"/>
  <c r="CC13" i="42" s="1"/>
  <c r="BR51" i="42"/>
  <c r="BW28" i="42"/>
  <c r="BZ28" i="42"/>
  <c r="BZ51" i="42" s="1"/>
  <c r="CD28" i="42"/>
  <c r="CP28" i="42" s="1"/>
  <c r="CP51" i="42" s="1"/>
  <c r="BX28" i="42"/>
  <c r="BX50" i="42" s="1"/>
  <c r="CA28" i="42"/>
  <c r="CA51" i="42" s="1"/>
  <c r="BY28" i="42"/>
  <c r="BY54" i="42" s="1"/>
  <c r="BY60" i="42" s="1"/>
  <c r="BT28" i="42"/>
  <c r="BT54" i="42" s="1"/>
  <c r="BT60" i="42" s="1"/>
  <c r="BU28" i="42"/>
  <c r="BU50" i="42" s="1"/>
  <c r="CC28" i="42"/>
  <c r="CC54" i="42" s="1"/>
  <c r="CC60" i="42" s="1"/>
  <c r="BV28" i="42"/>
  <c r="BV36" i="42" s="1"/>
  <c r="BV40" i="42" s="1"/>
  <c r="BS28" i="42"/>
  <c r="BS36" i="42" s="1"/>
  <c r="BS40" i="42" s="1"/>
  <c r="CB28" i="42"/>
  <c r="CB50" i="42" s="1"/>
  <c r="BP51" i="42"/>
  <c r="DZ7" i="42"/>
  <c r="EA7" i="42" s="1"/>
  <c r="EB7" i="42" s="1"/>
  <c r="CI7" i="42"/>
  <c r="CJ7" i="42" s="1"/>
  <c r="CK7" i="42" s="1"/>
  <c r="CL7" i="42" s="1"/>
  <c r="BP50" i="42"/>
  <c r="BP54" i="42"/>
  <c r="BP60" i="42" s="1"/>
  <c r="BR36" i="42"/>
  <c r="BR40" i="42" s="1"/>
  <c r="BR45" i="42"/>
  <c r="BR50" i="42"/>
  <c r="BR54" i="42"/>
  <c r="BR60" i="42" s="1"/>
  <c r="BQ36" i="42"/>
  <c r="BQ40" i="42" s="1"/>
  <c r="BQ54" i="42"/>
  <c r="BQ60" i="42" s="1"/>
  <c r="BQ51" i="42"/>
  <c r="BQ50" i="42"/>
  <c r="C42" i="2"/>
  <c r="H81" i="42"/>
  <c r="H84" i="42"/>
  <c r="BD59" i="42"/>
  <c r="BD63" i="42" s="1"/>
  <c r="BL36" i="42"/>
  <c r="BL40" i="42" s="1"/>
  <c r="BL51" i="42"/>
  <c r="BL50" i="42"/>
  <c r="BL54" i="42"/>
  <c r="BL60" i="42" s="1"/>
  <c r="BN50" i="42"/>
  <c r="BN36" i="42"/>
  <c r="BN40" i="42" s="1"/>
  <c r="BN45" i="42"/>
  <c r="BN54" i="42"/>
  <c r="BN60" i="42" s="1"/>
  <c r="BN51" i="42"/>
  <c r="BK51" i="42"/>
  <c r="BK54" i="42"/>
  <c r="BK60" i="42" s="1"/>
  <c r="BK50" i="42"/>
  <c r="BK36" i="42"/>
  <c r="BK40" i="42" s="1"/>
  <c r="BJ36" i="42"/>
  <c r="BJ40" i="42" s="1"/>
  <c r="BJ51" i="42"/>
  <c r="BJ54" i="42"/>
  <c r="BJ60" i="42" s="1"/>
  <c r="BJ50" i="42"/>
  <c r="BH45" i="42"/>
  <c r="BH51" i="42"/>
  <c r="BH54" i="42"/>
  <c r="BH60" i="42" s="1"/>
  <c r="BH50" i="42"/>
  <c r="BH36" i="42"/>
  <c r="BH40" i="42" s="1"/>
  <c r="BO51" i="42"/>
  <c r="BO36" i="42"/>
  <c r="BO40" i="42" s="1"/>
  <c r="BO50" i="42"/>
  <c r="BO54" i="42"/>
  <c r="BO60" i="42" s="1"/>
  <c r="BI36" i="42"/>
  <c r="BI40" i="42" s="1"/>
  <c r="BI50" i="42"/>
  <c r="BI54" i="42"/>
  <c r="BI60" i="42" s="1"/>
  <c r="BI51" i="42"/>
  <c r="BG36" i="42"/>
  <c r="BG40" i="42" s="1"/>
  <c r="BG50" i="42"/>
  <c r="BG51" i="42"/>
  <c r="BG54" i="42"/>
  <c r="BG60" i="42" s="1"/>
  <c r="BM51" i="42"/>
  <c r="BM36" i="42"/>
  <c r="BM40" i="42" s="1"/>
  <c r="BM50" i="42"/>
  <c r="BM54" i="42"/>
  <c r="BM60" i="42" s="1"/>
  <c r="BM45" i="42"/>
  <c r="CP50" i="42" l="1"/>
  <c r="CP54" i="42"/>
  <c r="CP60" i="42" s="1"/>
  <c r="CP45" i="42"/>
  <c r="CW28" i="42"/>
  <c r="CX28" i="42"/>
  <c r="CY28" i="42"/>
  <c r="CR28" i="42"/>
  <c r="CZ28" i="42"/>
  <c r="CS28" i="42"/>
  <c r="DA28" i="42"/>
  <c r="CT28" i="42"/>
  <c r="DB28" i="42"/>
  <c r="DB54" i="42" s="1"/>
  <c r="DB60" i="42" s="1"/>
  <c r="CU28" i="42"/>
  <c r="CQ28" i="42"/>
  <c r="CV28" i="42"/>
  <c r="CP36" i="42"/>
  <c r="CP40" i="42" s="1"/>
  <c r="AF8" i="10"/>
  <c r="DM14" i="42" s="1"/>
  <c r="DM13" i="42" s="1"/>
  <c r="AG8" i="10"/>
  <c r="AI8" i="10" s="1"/>
  <c r="DY14" i="42" s="1"/>
  <c r="DY13" i="42" s="1"/>
  <c r="CD36" i="42"/>
  <c r="CD40" i="42" s="1"/>
  <c r="CP59" i="42"/>
  <c r="CP63" i="42" s="1"/>
  <c r="BE45" i="42"/>
  <c r="BE59" i="42" s="1"/>
  <c r="BE63" i="42" s="1"/>
  <c r="BU54" i="42"/>
  <c r="BU60" i="42" s="1"/>
  <c r="BV50" i="42"/>
  <c r="BU51" i="42"/>
  <c r="BU36" i="42"/>
  <c r="BU40" i="42" s="1"/>
  <c r="BV45" i="42"/>
  <c r="BV54" i="42"/>
  <c r="BV60" i="42" s="1"/>
  <c r="BU45" i="42"/>
  <c r="BZ50" i="42"/>
  <c r="CC51" i="42"/>
  <c r="CC45" i="42"/>
  <c r="BS54" i="42"/>
  <c r="BS60" i="42" s="1"/>
  <c r="BZ36" i="42"/>
  <c r="BZ40" i="42" s="1"/>
  <c r="BZ54" i="42"/>
  <c r="BZ60" i="42" s="1"/>
  <c r="BZ45" i="42"/>
  <c r="CC50" i="42"/>
  <c r="CA45" i="42"/>
  <c r="CC36" i="42"/>
  <c r="CC40" i="42" s="1"/>
  <c r="BS45" i="42"/>
  <c r="CD45" i="42"/>
  <c r="CD54" i="42"/>
  <c r="CD60" i="42" s="1"/>
  <c r="CA36" i="42"/>
  <c r="CA40" i="42" s="1"/>
  <c r="BY45" i="42"/>
  <c r="BX36" i="42"/>
  <c r="BX40" i="42" s="1"/>
  <c r="CB51" i="42"/>
  <c r="BY50" i="42"/>
  <c r="BX54" i="42"/>
  <c r="BX60" i="42" s="1"/>
  <c r="BY51" i="42"/>
  <c r="BX51" i="42"/>
  <c r="CA50" i="42"/>
  <c r="BT51" i="42"/>
  <c r="CB45" i="42"/>
  <c r="BX45" i="42"/>
  <c r="BY36" i="42"/>
  <c r="BY40" i="42" s="1"/>
  <c r="BT50" i="42"/>
  <c r="BT45" i="42"/>
  <c r="BT36" i="42"/>
  <c r="BT40" i="42" s="1"/>
  <c r="CD51" i="42"/>
  <c r="BV51" i="42"/>
  <c r="CB54" i="42"/>
  <c r="CB60" i="42" s="1"/>
  <c r="CA54" i="42"/>
  <c r="CA60" i="42" s="1"/>
  <c r="BS51" i="42"/>
  <c r="BW45" i="42"/>
  <c r="BW36" i="42"/>
  <c r="BW40" i="42" s="1"/>
  <c r="BW51" i="42"/>
  <c r="BW54" i="42"/>
  <c r="BW60" i="42" s="1"/>
  <c r="BW50" i="42"/>
  <c r="CB36" i="42"/>
  <c r="CB40" i="42" s="1"/>
  <c r="CF28" i="42"/>
  <c r="CN28" i="42"/>
  <c r="CG28" i="42"/>
  <c r="CO28" i="42"/>
  <c r="CH28" i="42"/>
  <c r="CI28" i="42"/>
  <c r="CJ28" i="42"/>
  <c r="CK28" i="42"/>
  <c r="CL28" i="42"/>
  <c r="CM28" i="42"/>
  <c r="CE28" i="42"/>
  <c r="BS50" i="42"/>
  <c r="CD50" i="42"/>
  <c r="CM7" i="42"/>
  <c r="CO7" i="42" s="1"/>
  <c r="CP7" i="42" s="1"/>
  <c r="CQ7" i="42" s="1"/>
  <c r="CR7" i="42" s="1"/>
  <c r="CS7" i="42" s="1"/>
  <c r="CT7" i="42" s="1"/>
  <c r="CU7" i="42" s="1"/>
  <c r="CV7" i="42" s="1"/>
  <c r="CW7" i="42" s="1"/>
  <c r="CX7" i="42" s="1"/>
  <c r="CN7" i="42"/>
  <c r="BP59" i="42"/>
  <c r="BP63" i="42" s="1"/>
  <c r="BR59" i="42"/>
  <c r="BR63" i="42" s="1"/>
  <c r="BQ59" i="42"/>
  <c r="BQ63" i="42" s="1"/>
  <c r="BO59" i="42"/>
  <c r="BO63" i="42" s="1"/>
  <c r="BG59" i="42"/>
  <c r="BG63" i="42" s="1"/>
  <c r="BN59" i="42"/>
  <c r="BN63" i="42" s="1"/>
  <c r="BM59" i="42"/>
  <c r="BM63" i="42" s="1"/>
  <c r="BI59" i="42"/>
  <c r="BI63" i="42" s="1"/>
  <c r="BL59" i="42"/>
  <c r="BL63" i="42" s="1"/>
  <c r="BH59" i="42"/>
  <c r="BH63" i="42" s="1"/>
  <c r="BK59" i="42"/>
  <c r="BK63" i="42" s="1"/>
  <c r="BJ59" i="42"/>
  <c r="BJ63" i="42" s="1"/>
  <c r="DB36" i="42" l="1"/>
  <c r="DB40" i="42" s="1"/>
  <c r="DB45" i="42"/>
  <c r="DB50" i="42"/>
  <c r="DB51" i="42"/>
  <c r="DE28" i="42"/>
  <c r="DE50" i="42" s="1"/>
  <c r="DM28" i="42"/>
  <c r="DM36" i="42" s="1"/>
  <c r="DM40" i="42" s="1"/>
  <c r="DF28" i="42"/>
  <c r="DF50" i="42" s="1"/>
  <c r="DN28" i="42"/>
  <c r="DG28" i="42"/>
  <c r="DG50" i="42" s="1"/>
  <c r="DC28" i="42"/>
  <c r="DC51" i="42" s="1"/>
  <c r="DH28" i="42"/>
  <c r="DH50" i="42" s="1"/>
  <c r="DI28" i="42"/>
  <c r="DI45" i="42" s="1"/>
  <c r="DJ28" i="42"/>
  <c r="DJ54" i="42" s="1"/>
  <c r="DJ60" i="42" s="1"/>
  <c r="DK28" i="42"/>
  <c r="DK50" i="42" s="1"/>
  <c r="DD28" i="42"/>
  <c r="DD50" i="42" s="1"/>
  <c r="DL28" i="42"/>
  <c r="DL50" i="42" s="1"/>
  <c r="CQ51" i="42"/>
  <c r="CQ45" i="42"/>
  <c r="CQ54" i="42"/>
  <c r="CQ60" i="42" s="1"/>
  <c r="CQ50" i="42"/>
  <c r="CQ36" i="42"/>
  <c r="CQ40" i="42" s="1"/>
  <c r="CY51" i="42"/>
  <c r="CY45" i="42"/>
  <c r="CY54" i="42"/>
  <c r="CY60" i="42" s="1"/>
  <c r="CY50" i="42"/>
  <c r="CY36" i="42"/>
  <c r="CY40" i="42" s="1"/>
  <c r="CZ7" i="42"/>
  <c r="CY7" i="42"/>
  <c r="DA7" i="42" s="1"/>
  <c r="DB7" i="42" s="1"/>
  <c r="DC7" i="42" s="1"/>
  <c r="DD7" i="42" s="1"/>
  <c r="DE7" i="42" s="1"/>
  <c r="DF7" i="42" s="1"/>
  <c r="DG7" i="42" s="1"/>
  <c r="DH7" i="42" s="1"/>
  <c r="DI7" i="42" s="1"/>
  <c r="DJ7" i="42" s="1"/>
  <c r="CT54" i="42"/>
  <c r="CT60" i="42" s="1"/>
  <c r="CT50" i="42"/>
  <c r="CT36" i="42"/>
  <c r="CT40" i="42" s="1"/>
  <c r="CT51" i="42"/>
  <c r="CT45" i="42"/>
  <c r="CU54" i="42"/>
  <c r="CU60" i="42" s="1"/>
  <c r="CU50" i="42"/>
  <c r="CU36" i="42"/>
  <c r="CU40" i="42" s="1"/>
  <c r="CU51" i="42"/>
  <c r="CU45" i="42"/>
  <c r="CV54" i="42"/>
  <c r="CV60" i="42" s="1"/>
  <c r="CV50" i="42"/>
  <c r="CV36" i="42"/>
  <c r="CV40" i="42" s="1"/>
  <c r="CV51" i="42"/>
  <c r="CV45" i="42"/>
  <c r="DA51" i="42"/>
  <c r="DA45" i="42"/>
  <c r="DA54" i="42"/>
  <c r="DA60" i="42" s="1"/>
  <c r="DA50" i="42"/>
  <c r="DA36" i="42"/>
  <c r="DA40" i="42" s="1"/>
  <c r="CX51" i="42"/>
  <c r="CX45" i="42"/>
  <c r="CX54" i="42"/>
  <c r="CX60" i="42" s="1"/>
  <c r="CX50" i="42"/>
  <c r="CX36" i="42"/>
  <c r="CX40" i="42" s="1"/>
  <c r="CR51" i="42"/>
  <c r="CR45" i="42"/>
  <c r="CR54" i="42"/>
  <c r="CR60" i="42" s="1"/>
  <c r="CR50" i="42"/>
  <c r="CR36" i="42"/>
  <c r="CR40" i="42" s="1"/>
  <c r="CZ51" i="42"/>
  <c r="CZ45" i="42"/>
  <c r="CZ54" i="42"/>
  <c r="CZ60" i="42" s="1"/>
  <c r="CZ50" i="42"/>
  <c r="CZ36" i="42"/>
  <c r="CZ40" i="42" s="1"/>
  <c r="CS51" i="42"/>
  <c r="CS45" i="42"/>
  <c r="CS54" i="42"/>
  <c r="CS60" i="42" s="1"/>
  <c r="CS50" i="42"/>
  <c r="CS36" i="42"/>
  <c r="CS40" i="42" s="1"/>
  <c r="CW54" i="42"/>
  <c r="CW60" i="42" s="1"/>
  <c r="CW50" i="42"/>
  <c r="CW36" i="42"/>
  <c r="CW40" i="42" s="1"/>
  <c r="CW51" i="42"/>
  <c r="CW45" i="42"/>
  <c r="BU59" i="42"/>
  <c r="BU63" i="42" s="1"/>
  <c r="BV59" i="42"/>
  <c r="BV63" i="42" s="1"/>
  <c r="CC59" i="42"/>
  <c r="CC63" i="42" s="1"/>
  <c r="BZ59" i="42"/>
  <c r="BZ63" i="42" s="1"/>
  <c r="CD59" i="42"/>
  <c r="CD63" i="42" s="1"/>
  <c r="BY59" i="42"/>
  <c r="BY63" i="42" s="1"/>
  <c r="BX59" i="42"/>
  <c r="BX63" i="42" s="1"/>
  <c r="CB59" i="42"/>
  <c r="CB63" i="42" s="1"/>
  <c r="CA59" i="42"/>
  <c r="CA63" i="42" s="1"/>
  <c r="BS59" i="42"/>
  <c r="BS63" i="42" s="1"/>
  <c r="BT59" i="42"/>
  <c r="BT63" i="42" s="1"/>
  <c r="CH54" i="42"/>
  <c r="CH60" i="42" s="1"/>
  <c r="CH50" i="42"/>
  <c r="CH36" i="42"/>
  <c r="CH40" i="42" s="1"/>
  <c r="CH45" i="42"/>
  <c r="CH51" i="42"/>
  <c r="CE54" i="42"/>
  <c r="CE60" i="42" s="1"/>
  <c r="CE50" i="42"/>
  <c r="CE51" i="42"/>
  <c r="CE45" i="42"/>
  <c r="CE36" i="42"/>
  <c r="CE40" i="42" s="1"/>
  <c r="CO50" i="42"/>
  <c r="CO36" i="42"/>
  <c r="CO40" i="42" s="1"/>
  <c r="CO51" i="42"/>
  <c r="CO45" i="42"/>
  <c r="CO54" i="42"/>
  <c r="CO60" i="42" s="1"/>
  <c r="BW59" i="42"/>
  <c r="BW63" i="42" s="1"/>
  <c r="CF51" i="42"/>
  <c r="CF45" i="42"/>
  <c r="CF50" i="42"/>
  <c r="CF54" i="42"/>
  <c r="CF60" i="42" s="1"/>
  <c r="CF36" i="42"/>
  <c r="CF40" i="42" s="1"/>
  <c r="CG50" i="42"/>
  <c r="CG45" i="42"/>
  <c r="CG54" i="42"/>
  <c r="CG60" i="42" s="1"/>
  <c r="CG36" i="42"/>
  <c r="CG40" i="42" s="1"/>
  <c r="CG51" i="42"/>
  <c r="CN45" i="42"/>
  <c r="CN36" i="42"/>
  <c r="CN40" i="42" s="1"/>
  <c r="CN51" i="42"/>
  <c r="CN50" i="42"/>
  <c r="CN54" i="42"/>
  <c r="CN60" i="42" s="1"/>
  <c r="CJ36" i="42"/>
  <c r="CJ40" i="42" s="1"/>
  <c r="CJ54" i="42"/>
  <c r="CJ60" i="42" s="1"/>
  <c r="CJ45" i="42"/>
  <c r="CJ51" i="42"/>
  <c r="CJ50" i="42"/>
  <c r="CM51" i="42"/>
  <c r="CM36" i="42"/>
  <c r="CM40" i="42" s="1"/>
  <c r="CM54" i="42"/>
  <c r="CM60" i="42" s="1"/>
  <c r="CM45" i="42"/>
  <c r="CM50" i="42"/>
  <c r="CL50" i="42"/>
  <c r="CL54" i="42"/>
  <c r="CL60" i="42" s="1"/>
  <c r="CL51" i="42"/>
  <c r="CL36" i="42"/>
  <c r="CL40" i="42" s="1"/>
  <c r="CL45" i="42"/>
  <c r="CK36" i="42"/>
  <c r="CK40" i="42" s="1"/>
  <c r="CK50" i="42"/>
  <c r="CK51" i="42"/>
  <c r="CK54" i="42"/>
  <c r="CK60" i="42" s="1"/>
  <c r="CK45" i="42"/>
  <c r="CI51" i="42"/>
  <c r="CI50" i="42"/>
  <c r="CI54" i="42"/>
  <c r="CI60" i="42" s="1"/>
  <c r="CI45" i="42"/>
  <c r="CI36" i="42"/>
  <c r="CI40" i="42" s="1"/>
  <c r="DH51" i="42" l="1"/>
  <c r="DH54" i="42"/>
  <c r="DH60" i="42" s="1"/>
  <c r="DC50" i="42"/>
  <c r="DC54" i="42"/>
  <c r="DC60" i="42" s="1"/>
  <c r="DJ51" i="42"/>
  <c r="DI50" i="42"/>
  <c r="DG54" i="42"/>
  <c r="DG60" i="42" s="1"/>
  <c r="DI51" i="42"/>
  <c r="DB59" i="42"/>
  <c r="DB63" i="42" s="1"/>
  <c r="DH36" i="42"/>
  <c r="DH40" i="42" s="1"/>
  <c r="DG51" i="42"/>
  <c r="DJ36" i="42"/>
  <c r="DJ40" i="42" s="1"/>
  <c r="DI54" i="42"/>
  <c r="DI60" i="42" s="1"/>
  <c r="DJ45" i="42"/>
  <c r="DJ50" i="42"/>
  <c r="DL54" i="42"/>
  <c r="DL60" i="42" s="1"/>
  <c r="DE36" i="42"/>
  <c r="DE40" i="42" s="1"/>
  <c r="DE51" i="42"/>
  <c r="DI36" i="42"/>
  <c r="DI40" i="42" s="1"/>
  <c r="DL51" i="42"/>
  <c r="DK36" i="42"/>
  <c r="DK40" i="42" s="1"/>
  <c r="DE54" i="42"/>
  <c r="DE60" i="42" s="1"/>
  <c r="DM45" i="42"/>
  <c r="DM50" i="42"/>
  <c r="DK54" i="42"/>
  <c r="DK60" i="42" s="1"/>
  <c r="DM51" i="42"/>
  <c r="DK51" i="42"/>
  <c r="DG36" i="42"/>
  <c r="DG40" i="42" s="1"/>
  <c r="DE45" i="42"/>
  <c r="DG45" i="42"/>
  <c r="DM54" i="42"/>
  <c r="DM60" i="42" s="1"/>
  <c r="DC45" i="42"/>
  <c r="DC59" i="42" s="1"/>
  <c r="DC63" i="42" s="1"/>
  <c r="DD51" i="42"/>
  <c r="DD54" i="42"/>
  <c r="DD60" i="42" s="1"/>
  <c r="DF36" i="42"/>
  <c r="DF40" i="42" s="1"/>
  <c r="DF45" i="42"/>
  <c r="DU28" i="42"/>
  <c r="DV28" i="42"/>
  <c r="DW28" i="42"/>
  <c r="DP28" i="42"/>
  <c r="DX28" i="42"/>
  <c r="DY28" i="42"/>
  <c r="DQ28" i="42"/>
  <c r="DR28" i="42"/>
  <c r="DZ28" i="42"/>
  <c r="DS28" i="42"/>
  <c r="DO28" i="42"/>
  <c r="DT28" i="42"/>
  <c r="DN51" i="42"/>
  <c r="DN36" i="42"/>
  <c r="DN40" i="42" s="1"/>
  <c r="DN50" i="42"/>
  <c r="DN45" i="42"/>
  <c r="DN54" i="42"/>
  <c r="DN60" i="42" s="1"/>
  <c r="DC36" i="42"/>
  <c r="DC40" i="42" s="1"/>
  <c r="DF51" i="42"/>
  <c r="CU59" i="42"/>
  <c r="CU63" i="42" s="1"/>
  <c r="DH45" i="42"/>
  <c r="DL36" i="42"/>
  <c r="DL40" i="42" s="1"/>
  <c r="DK45" i="42"/>
  <c r="DD45" i="42"/>
  <c r="DF54" i="42"/>
  <c r="DF60" i="42" s="1"/>
  <c r="DD36" i="42"/>
  <c r="DD40" i="42" s="1"/>
  <c r="DL45" i="42"/>
  <c r="DL7" i="42"/>
  <c r="DK7" i="42"/>
  <c r="DM7" i="42" s="1"/>
  <c r="DN7" i="42" s="1"/>
  <c r="DO7" i="42" s="1"/>
  <c r="DP7" i="42" s="1"/>
  <c r="DQ7" i="42" s="1"/>
  <c r="DR7" i="42" s="1"/>
  <c r="DS7" i="42" s="1"/>
  <c r="DT7" i="42" s="1"/>
  <c r="DU7" i="42" s="1"/>
  <c r="DV7" i="42" s="1"/>
  <c r="CR59" i="42"/>
  <c r="CR63" i="42" s="1"/>
  <c r="CY59" i="42"/>
  <c r="CY63" i="42" s="1"/>
  <c r="DA59" i="42"/>
  <c r="DA63" i="42" s="1"/>
  <c r="CV59" i="42"/>
  <c r="CV63" i="42" s="1"/>
  <c r="CX59" i="42"/>
  <c r="CX63" i="42" s="1"/>
  <c r="CQ59" i="42"/>
  <c r="CQ63" i="42" s="1"/>
  <c r="CZ59" i="42"/>
  <c r="CZ63" i="42" s="1"/>
  <c r="CW59" i="42"/>
  <c r="CW63" i="42" s="1"/>
  <c r="CS59" i="42"/>
  <c r="CS63" i="42" s="1"/>
  <c r="CT59" i="42"/>
  <c r="CT63" i="42" s="1"/>
  <c r="CE59" i="42"/>
  <c r="CE63" i="42" s="1"/>
  <c r="CI59" i="42"/>
  <c r="CI63" i="42" s="1"/>
  <c r="CN59" i="42"/>
  <c r="CN63" i="42" s="1"/>
  <c r="CK59" i="42"/>
  <c r="CK63" i="42" s="1"/>
  <c r="CJ59" i="42"/>
  <c r="CJ63" i="42" s="1"/>
  <c r="CF59" i="42"/>
  <c r="CF63" i="42" s="1"/>
  <c r="CL59" i="42"/>
  <c r="CL63" i="42" s="1"/>
  <c r="CO59" i="42"/>
  <c r="CO63" i="42" s="1"/>
  <c r="CM59" i="42"/>
  <c r="CM63" i="42" s="1"/>
  <c r="CG59" i="42"/>
  <c r="CG63" i="42" s="1"/>
  <c r="CH59" i="42"/>
  <c r="CH63" i="42" s="1"/>
  <c r="DI59" i="42" l="1"/>
  <c r="DI63" i="42" s="1"/>
  <c r="DH59" i="42"/>
  <c r="DH63" i="42" s="1"/>
  <c r="DG59" i="42"/>
  <c r="DG63" i="42" s="1"/>
  <c r="DJ59" i="42"/>
  <c r="DJ63" i="42" s="1"/>
  <c r="DK59" i="42"/>
  <c r="DK63" i="42" s="1"/>
  <c r="DM59" i="42"/>
  <c r="DM63" i="42" s="1"/>
  <c r="DD59" i="42"/>
  <c r="DD63" i="42" s="1"/>
  <c r="DE59" i="42"/>
  <c r="DE63" i="42" s="1"/>
  <c r="DL59" i="42"/>
  <c r="DL63" i="42" s="1"/>
  <c r="DT36" i="42"/>
  <c r="DT40" i="42" s="1"/>
  <c r="DT54" i="42"/>
  <c r="DT60" i="42" s="1"/>
  <c r="DT51" i="42"/>
  <c r="DT50" i="42"/>
  <c r="DT45" i="42"/>
  <c r="DV51" i="42"/>
  <c r="DV45" i="42"/>
  <c r="DV50" i="42"/>
  <c r="DV36" i="42"/>
  <c r="DV40" i="42" s="1"/>
  <c r="DV54" i="42"/>
  <c r="DV60" i="42" s="1"/>
  <c r="DU51" i="42"/>
  <c r="DU50" i="42"/>
  <c r="DU54" i="42"/>
  <c r="DU60" i="42" s="1"/>
  <c r="DU45" i="42"/>
  <c r="DU36" i="42"/>
  <c r="DU40" i="42" s="1"/>
  <c r="DW54" i="42"/>
  <c r="DW60" i="42" s="1"/>
  <c r="DW51" i="42"/>
  <c r="DW50" i="42"/>
  <c r="DW45" i="42"/>
  <c r="DW36" i="42"/>
  <c r="DW40" i="42" s="1"/>
  <c r="DP45" i="42"/>
  <c r="DP36" i="42"/>
  <c r="DP40" i="42" s="1"/>
  <c r="DP54" i="42"/>
  <c r="DP60" i="42" s="1"/>
  <c r="DP51" i="42"/>
  <c r="DP50" i="42"/>
  <c r="DO54" i="42"/>
  <c r="DO60" i="42" s="1"/>
  <c r="DO51" i="42"/>
  <c r="DO50" i="42"/>
  <c r="DO45" i="42"/>
  <c r="DO36" i="42"/>
  <c r="DO40" i="42" s="1"/>
  <c r="DS45" i="42"/>
  <c r="DS36" i="42"/>
  <c r="DS40" i="42" s="1"/>
  <c r="DS50" i="42"/>
  <c r="DS54" i="42"/>
  <c r="DS60" i="42" s="1"/>
  <c r="DS51" i="42"/>
  <c r="DZ45" i="42"/>
  <c r="DZ51" i="42"/>
  <c r="DZ50" i="42"/>
  <c r="DZ54" i="42"/>
  <c r="DZ60" i="42" s="1"/>
  <c r="DZ36" i="42"/>
  <c r="DZ40" i="42" s="1"/>
  <c r="DN59" i="42"/>
  <c r="DN63" i="42" s="1"/>
  <c r="DR51" i="42"/>
  <c r="DR54" i="42"/>
  <c r="DR60" i="42" s="1"/>
  <c r="DR50" i="42"/>
  <c r="DR45" i="42"/>
  <c r="DR36" i="42"/>
  <c r="DR40" i="42" s="1"/>
  <c r="DF59" i="42"/>
  <c r="DF63" i="42" s="1"/>
  <c r="DQ45" i="42"/>
  <c r="DQ36" i="42"/>
  <c r="DQ40" i="42" s="1"/>
  <c r="DQ54" i="42"/>
  <c r="DQ60" i="42" s="1"/>
  <c r="DQ51" i="42"/>
  <c r="DQ50" i="42"/>
  <c r="DY51" i="42"/>
  <c r="DY50" i="42"/>
  <c r="DY45" i="42"/>
  <c r="DY36" i="42"/>
  <c r="DY40" i="42" s="1"/>
  <c r="DY54" i="42"/>
  <c r="DY60" i="42" s="1"/>
  <c r="DX36" i="42"/>
  <c r="DX40" i="42" s="1"/>
  <c r="DX54" i="42"/>
  <c r="DX60" i="42" s="1"/>
  <c r="DX51" i="42"/>
  <c r="DX50" i="42"/>
  <c r="DX45" i="42"/>
  <c r="DW7" i="42"/>
  <c r="DY7" i="42" s="1"/>
  <c r="DX7" i="42"/>
  <c r="H90" i="42"/>
  <c r="DX59" i="42" l="1"/>
  <c r="DX63" i="42" s="1"/>
  <c r="DU59" i="42"/>
  <c r="DU63" i="42" s="1"/>
  <c r="DR59" i="42"/>
  <c r="DR63" i="42" s="1"/>
  <c r="DO59" i="42"/>
  <c r="DO63" i="42" s="1"/>
  <c r="DQ59" i="42"/>
  <c r="DQ63" i="42" s="1"/>
  <c r="DY59" i="42"/>
  <c r="DY63" i="42" s="1"/>
  <c r="DS59" i="42"/>
  <c r="DS63" i="42" s="1"/>
  <c r="DT59" i="42"/>
  <c r="DT63" i="42" s="1"/>
  <c r="DV59" i="42"/>
  <c r="DV63" i="42" s="1"/>
  <c r="DP59" i="42"/>
  <c r="DP63" i="42" s="1"/>
  <c r="DZ59" i="42"/>
  <c r="DZ63" i="42" s="1"/>
  <c r="DW59" i="42"/>
  <c r="DW63" i="42" s="1"/>
  <c r="H94" i="42"/>
  <c r="H93" i="42"/>
  <c r="H92" i="42"/>
  <c r="H95" i="42" s="1"/>
  <c r="H96" i="42" s="1"/>
  <c r="EB32" i="42" s="1"/>
  <c r="EB42" i="42" s="1"/>
  <c r="EB60" i="42" s="1"/>
  <c r="EB63" i="42" s="1"/>
  <c r="H72" i="42" l="1"/>
  <c r="EC63" i="42"/>
  <c r="H74" i="42"/>
  <c r="H85" i="42"/>
</calcChain>
</file>

<file path=xl/sharedStrings.xml><?xml version="1.0" encoding="utf-8"?>
<sst xmlns="http://schemas.openxmlformats.org/spreadsheetml/2006/main" count="512" uniqueCount="313">
  <si>
    <t>INFORMAÇÕES</t>
  </si>
  <si>
    <t>PREÇO CLIENTE DIBRACAM ESTOQUE 2 UNIDADES EM 26/12</t>
  </si>
  <si>
    <t xml:space="preserve">DEPOIS 16/17 </t>
  </si>
  <si>
    <t>reduzir comissão dibracam para 2%</t>
  </si>
  <si>
    <t>DATAS (Premissas)</t>
  </si>
  <si>
    <t>Entrada Aquisição Equipamentos (Caminhões+Implementos)</t>
  </si>
  <si>
    <t>prazo</t>
  </si>
  <si>
    <t>Financiamento - Meses de Carência</t>
  </si>
  <si>
    <t>Caminhão</t>
  </si>
  <si>
    <t>VW 8.160 Delivery 16/17 (4300mm entreeixos)</t>
  </si>
  <si>
    <t>Início das parcelas</t>
  </si>
  <si>
    <t>Baú</t>
  </si>
  <si>
    <t>Alumínio/Teto Isolado/Carbus</t>
  </si>
  <si>
    <t>a combinar (Carbus) / 30 dias da confirmação / 10 unidades semana (Facchini)</t>
  </si>
  <si>
    <t>Meses para entrar em operação</t>
  </si>
  <si>
    <t>Plataforma</t>
  </si>
  <si>
    <t>HBZ</t>
  </si>
  <si>
    <t>1 a 2 dias úteis após entrega do baú</t>
  </si>
  <si>
    <t>Início das operações/contrato</t>
  </si>
  <si>
    <t>Meses para vender os caminhões após o fim do contrato</t>
  </si>
  <si>
    <t>Venda dos caminhões</t>
  </si>
  <si>
    <t xml:space="preserve">Manutenção Plataforma / Semestral </t>
  </si>
  <si>
    <t>Cenário I</t>
  </si>
  <si>
    <t>Duração do Contrato (em meses) - Cenário I</t>
  </si>
  <si>
    <t>Sensor de Ré / Sensor Cinto</t>
  </si>
  <si>
    <t>Franquia mensal de KM</t>
  </si>
  <si>
    <t>Adesivagem (SEM ORÇAMENTO)</t>
  </si>
  <si>
    <t>Fim das operações/contrato</t>
  </si>
  <si>
    <t>Despesas Administrativas Gerais/mês/unidade</t>
  </si>
  <si>
    <t>Reajuste - Correção Monetária</t>
  </si>
  <si>
    <t>Periodicidade (em meses)</t>
  </si>
  <si>
    <t xml:space="preserve">Escalonamento de Preços </t>
  </si>
  <si>
    <t>Mês em que incidirá o reajuste</t>
  </si>
  <si>
    <t xml:space="preserve">Índice a ser adotado </t>
  </si>
  <si>
    <t>IGP-M</t>
  </si>
  <si>
    <t>Valor</t>
  </si>
  <si>
    <t>Ano</t>
  </si>
  <si>
    <t>Valor índice de reajustes previsto</t>
  </si>
  <si>
    <t>atencção</t>
  </si>
  <si>
    <t>Desvalorização Mercado - Depreciação Real</t>
  </si>
  <si>
    <t>Veículo</t>
  </si>
  <si>
    <t>% de depreciação (ao ano)</t>
  </si>
  <si>
    <t>preço de venda</t>
  </si>
  <si>
    <t>Implemento</t>
  </si>
  <si>
    <t>Depreciação em 12 meses - Veículo</t>
  </si>
  <si>
    <r>
      <t xml:space="preserve">Valores de </t>
    </r>
    <r>
      <rPr>
        <b/>
        <sz val="12"/>
        <color theme="5" tint="-0.249977111117893"/>
        <rFont val="Calibri"/>
        <family val="2"/>
        <scheme val="minor"/>
      </rPr>
      <t>Compra</t>
    </r>
  </si>
  <si>
    <t>express</t>
  </si>
  <si>
    <t>Valor/un.</t>
  </si>
  <si>
    <t>baú</t>
  </si>
  <si>
    <t>Adesivos e Acessórios</t>
  </si>
  <si>
    <t>Valor/un. (fornecedor Braspeso)</t>
  </si>
  <si>
    <t>Equipamento (veículo + Implemento)</t>
  </si>
  <si>
    <t>Valor Total Equipamento + Peso</t>
  </si>
  <si>
    <r>
      <t xml:space="preserve">Valores de </t>
    </r>
    <r>
      <rPr>
        <b/>
        <sz val="12"/>
        <color rgb="FFFFFF00"/>
        <rFont val="Calibri"/>
        <family val="2"/>
        <scheme val="minor"/>
      </rPr>
      <t>Venda</t>
    </r>
    <r>
      <rPr>
        <b/>
        <sz val="12"/>
        <color theme="1"/>
        <rFont val="Calibri"/>
        <family val="2"/>
        <scheme val="minor"/>
      </rPr>
      <t xml:space="preserve"> - Após encerramento do contrato</t>
    </r>
  </si>
  <si>
    <t>Comissão Dibracam Venda usado</t>
  </si>
  <si>
    <t>Anos de uso no contrato</t>
  </si>
  <si>
    <t>Não Finamizável</t>
  </si>
  <si>
    <t>Depreciação Contábil Ativo Imobilizado (Equipamento - Veículo + Implemento)</t>
  </si>
  <si>
    <t>Taxa de Depreciação a.a</t>
  </si>
  <si>
    <t>Taxa de Depreciação a.m</t>
  </si>
  <si>
    <t>Valor de Aquisição a ser depreciado</t>
  </si>
  <si>
    <t>% do Valor de Compra</t>
  </si>
  <si>
    <t>% desvalorização ao término do contrato</t>
  </si>
  <si>
    <t>Valor depreciação mês</t>
  </si>
  <si>
    <t>Valor do Ativo Após Depreciação Contábil</t>
  </si>
  <si>
    <t xml:space="preserve">Tributação sobre Receita - TOPE - Regime Lucro Presumido </t>
  </si>
  <si>
    <t>TOPE</t>
  </si>
  <si>
    <t>PIS</t>
  </si>
  <si>
    <t>COFINS</t>
  </si>
  <si>
    <t>Total</t>
  </si>
  <si>
    <t>Premissas</t>
  </si>
  <si>
    <t>Contrato (em meses)</t>
  </si>
  <si>
    <t xml:space="preserve">Modelo </t>
  </si>
  <si>
    <t>Franquia KM/mês</t>
  </si>
  <si>
    <t>ANO 1</t>
  </si>
  <si>
    <t>Ano 2</t>
  </si>
  <si>
    <t>Ano 3</t>
  </si>
  <si>
    <t>Ano 4</t>
  </si>
  <si>
    <t>Ano 5</t>
  </si>
  <si>
    <t>Ano 6</t>
  </si>
  <si>
    <t>Ano 7</t>
  </si>
  <si>
    <t>Ano 8</t>
  </si>
  <si>
    <t>Ano 9</t>
  </si>
  <si>
    <t>Ano 10</t>
  </si>
  <si>
    <t>OPERAÇÃO ENCERRADA</t>
  </si>
  <si>
    <t>mês corrido (a partir do deal)</t>
  </si>
  <si>
    <t>preço de custo</t>
  </si>
  <si>
    <t>mês operação</t>
  </si>
  <si>
    <t>Investimento</t>
  </si>
  <si>
    <t>Despesas Operacionais (Representam Saída de Caixa)</t>
  </si>
  <si>
    <t>IPVA</t>
  </si>
  <si>
    <t>Desp. Gerais administrativas</t>
  </si>
  <si>
    <t>Rastreamento</t>
  </si>
  <si>
    <t>Seguro Contra 3os</t>
  </si>
  <si>
    <t>Manutenção</t>
  </si>
  <si>
    <r>
      <t xml:space="preserve">Despesas Operacionais que </t>
    </r>
    <r>
      <rPr>
        <b/>
        <sz val="12"/>
        <color rgb="FFFF0000"/>
        <rFont val="Calibri"/>
        <family val="2"/>
        <scheme val="minor"/>
      </rPr>
      <t>NÃO</t>
    </r>
    <r>
      <rPr>
        <b/>
        <sz val="12"/>
        <color theme="0"/>
        <rFont val="Calibri"/>
        <family val="2"/>
        <scheme val="minor"/>
      </rPr>
      <t xml:space="preserve"> Representam Saída de Caixa</t>
    </r>
  </si>
  <si>
    <t>Depreciação Contábil Veículos</t>
  </si>
  <si>
    <t>Índice Reajuste Anual</t>
  </si>
  <si>
    <t>Receita Operacional Bruta</t>
  </si>
  <si>
    <t>Entrada/Fecham. DEAL</t>
  </si>
  <si>
    <t>30 dias</t>
  </si>
  <si>
    <t>Início da operação</t>
  </si>
  <si>
    <t>Recebimento 1a Fatura (D+30)</t>
  </si>
  <si>
    <t>Venda dos Equipamentos + Receb. Última Fatura</t>
  </si>
  <si>
    <t>Locação Equipamentos</t>
  </si>
  <si>
    <t>Receita Não Operacional</t>
  </si>
  <si>
    <t>Venda Equipamentos</t>
  </si>
  <si>
    <t>Receita Não Operacional 1 - Venda Implementos</t>
  </si>
  <si>
    <t>Receita Não Operacional 2 - Venda Veículos</t>
  </si>
  <si>
    <t xml:space="preserve">Impostos sobre Receita </t>
  </si>
  <si>
    <t>Sobre Receita Operacional</t>
  </si>
  <si>
    <t>PIS/COFINS</t>
  </si>
  <si>
    <t>Receita Líquida</t>
  </si>
  <si>
    <t>Receita Operacional Líquida</t>
  </si>
  <si>
    <t>Receita Não Operacional Líquida</t>
  </si>
  <si>
    <t>Lucro/Prejuízo Operacional Bruto</t>
  </si>
  <si>
    <t>Demais Impostos - VSI Lucro Real</t>
  </si>
  <si>
    <t>Demais Impostos sobre Lucro Operacional</t>
  </si>
  <si>
    <t>IR (15% s/ 32% Receita)</t>
  </si>
  <si>
    <t>CSLL (9% sobre 32% da receita)</t>
  </si>
  <si>
    <t xml:space="preserve">Demais Impostos sobre Lucro Não Operacional </t>
  </si>
  <si>
    <t>IR (15% s/ LUCRO)</t>
  </si>
  <si>
    <t>Adicional ao IR (10% s/ LUCRO)</t>
  </si>
  <si>
    <t>CSLL (9% s/ LUCRO)</t>
  </si>
  <si>
    <t xml:space="preserve">Lucro Líquido </t>
  </si>
  <si>
    <t>Operacional</t>
  </si>
  <si>
    <t>Não Operacional</t>
  </si>
  <si>
    <r>
      <t>Fluxo de Caixa</t>
    </r>
    <r>
      <rPr>
        <b/>
        <sz val="12"/>
        <color rgb="FFFFFF00"/>
        <rFont val="Calibri"/>
        <family val="2"/>
        <scheme val="minor"/>
      </rPr>
      <t xml:space="preserve"> (Atenção caso haja venda de ativos com lucro)</t>
    </r>
  </si>
  <si>
    <t>Preço Mensal Locação/unidade</t>
  </si>
  <si>
    <t>TMA ANUAL (Taxa mín. Atratividade)</t>
  </si>
  <si>
    <t>TMA MENSAL (Taxa mín. Atratividade)</t>
  </si>
  <si>
    <t>VPL</t>
  </si>
  <si>
    <t>atenção a última célula do fluxo (CR63 foi digitada manualmente)</t>
  </si>
  <si>
    <t>TIR MENSAL</t>
  </si>
  <si>
    <t>Premissa Básica</t>
  </si>
  <si>
    <t>Se TIR &gt; TMA = FAZER NEGÓCIO!</t>
  </si>
  <si>
    <t>Apuração Lucro Venda de Ativos Imobilizados (Veículos+Implementos)</t>
  </si>
  <si>
    <t>Depreciação Contábil Acumulada - Equipamento</t>
  </si>
  <si>
    <t>Veículo + Implemento</t>
  </si>
  <si>
    <t xml:space="preserve">Valor de Compra </t>
  </si>
  <si>
    <t xml:space="preserve">Depreciação Contábil Acumulada </t>
  </si>
  <si>
    <t>Valor Residual Contábil (Valor de Compra - Deprec. Contábil Acum.)</t>
  </si>
  <si>
    <t>Valor Venda Veículo (fim do contrato)</t>
  </si>
  <si>
    <t>Lucro Venda de Ativo Imobilizado (Veículo)</t>
  </si>
  <si>
    <t>Base de Cálculo para cálculo de imposto sobre receita não operacional (apenas se &gt; 0)</t>
  </si>
  <si>
    <t>Tributação Sobre Lucro de Venda</t>
  </si>
  <si>
    <t>Total Tributos</t>
  </si>
  <si>
    <t>VALOR LÍQUIDO DE VENDA</t>
  </si>
  <si>
    <t>Financiamento e Investimentos</t>
  </si>
  <si>
    <t>19-420</t>
  </si>
  <si>
    <t>Meses de Contrato de Serviço</t>
  </si>
  <si>
    <t>Meses de Financiamento</t>
  </si>
  <si>
    <t>UNITÁRIO</t>
  </si>
  <si>
    <t>Valor Financiamento</t>
  </si>
  <si>
    <t>Entrada/Parcelas/Quitação</t>
  </si>
  <si>
    <t>LOTE</t>
  </si>
  <si>
    <t>Qtdade (unidades)</t>
  </si>
  <si>
    <t>Valor Total Financiado</t>
  </si>
  <si>
    <t>FINAME</t>
  </si>
  <si>
    <t>Proporção</t>
  </si>
  <si>
    <t>Taxa a.m</t>
  </si>
  <si>
    <t>Taxa a.a</t>
  </si>
  <si>
    <t>Prazo (em meses)</t>
  </si>
  <si>
    <t>Carência (em dias)</t>
  </si>
  <si>
    <t>TJLP</t>
  </si>
  <si>
    <t>SELIC</t>
  </si>
  <si>
    <t>total</t>
  </si>
  <si>
    <t>CDC PJ</t>
  </si>
  <si>
    <t>Entrada</t>
  </si>
  <si>
    <t>-</t>
  </si>
  <si>
    <t>Preço Veículo</t>
  </si>
  <si>
    <t>Preço Implemento</t>
  </si>
  <si>
    <t>CDC</t>
  </si>
  <si>
    <t>taxa de juros a.m</t>
  </si>
  <si>
    <t>Data de início</t>
  </si>
  <si>
    <t>Prazo (meses)</t>
  </si>
  <si>
    <t>Qtde pgtos</t>
  </si>
  <si>
    <t>Parc. A serem pagas</t>
  </si>
  <si>
    <t>Parc. Restantes (trazer a Valor Present.)</t>
  </si>
  <si>
    <t>Valor Parcela</t>
  </si>
  <si>
    <t>Valor total restante - Valor de face</t>
  </si>
  <si>
    <t>Taxa de Juros a.m</t>
  </si>
  <si>
    <t>Taxa de Juros a.a</t>
  </si>
  <si>
    <t>Valor total restante - trazidos à Valor Presente</t>
  </si>
  <si>
    <t>Entrada + Implemento</t>
  </si>
  <si>
    <t>Valor Entrada</t>
  </si>
  <si>
    <t xml:space="preserve">FINAME+CDC PJ </t>
  </si>
  <si>
    <t>Valor Implemento</t>
  </si>
  <si>
    <t>Total Investimento</t>
  </si>
  <si>
    <t>Valor Total</t>
  </si>
  <si>
    <t>Receita</t>
  </si>
  <si>
    <t>PREENCHER PRIMEIRO</t>
  </si>
  <si>
    <r>
      <t>Preço</t>
    </r>
    <r>
      <rPr>
        <b/>
        <sz val="11"/>
        <color theme="5" tint="0.39997558519241921"/>
        <rFont val="Calibri"/>
        <family val="2"/>
        <scheme val="minor"/>
      </rPr>
      <t xml:space="preserve"> ALVO FINAL</t>
    </r>
  </si>
  <si>
    <t>INSTRUÇÕES</t>
  </si>
  <si>
    <t>Modelo + Implemento</t>
  </si>
  <si>
    <t>Un.</t>
  </si>
  <si>
    <t>Valor/Un.</t>
  </si>
  <si>
    <t>1 - Estabelecer Preço ALVO FINAL</t>
  </si>
  <si>
    <t>19-420 18 meses 4k km</t>
  </si>
  <si>
    <t>2 - Determinar Fator X</t>
  </si>
  <si>
    <t>19-420 18 meses 6k km</t>
  </si>
  <si>
    <t>3 - Enviar ao cliente Preço Inicial PRÉ-NEGOCIAÇÃO</t>
  </si>
  <si>
    <t>19-420 18 meses 8k km</t>
  </si>
  <si>
    <t>4 - Negociar com o cliente e inserir os preços FECHAMENTO DEAL</t>
  </si>
  <si>
    <t>25-420 24 meses</t>
  </si>
  <si>
    <t>Total caminhão</t>
  </si>
  <si>
    <r>
      <t xml:space="preserve">Preço Inicial </t>
    </r>
    <r>
      <rPr>
        <b/>
        <sz val="11"/>
        <color theme="6" tint="0.59999389629810485"/>
        <rFont val="Calibri"/>
        <family val="2"/>
        <scheme val="minor"/>
      </rPr>
      <t>PRÉ-NEGOCIAÇÃO</t>
    </r>
  </si>
  <si>
    <t>ENVIAR AO CLIENTE</t>
  </si>
  <si>
    <t>Fator X</t>
  </si>
  <si>
    <t>17-190 + Roll-On + Garra</t>
  </si>
  <si>
    <r>
      <t>Preço Inicial</t>
    </r>
    <r>
      <rPr>
        <b/>
        <sz val="14"/>
        <color theme="6" tint="0.39997558519241921"/>
        <rFont val="Calibri"/>
        <family val="2"/>
        <scheme val="minor"/>
      </rPr>
      <t xml:space="preserve"> PRÉ-NEGOCIAÇÃO</t>
    </r>
    <r>
      <rPr>
        <b/>
        <sz val="14"/>
        <color theme="0"/>
        <rFont val="Calibri"/>
        <family val="2"/>
        <scheme val="minor"/>
      </rPr>
      <t xml:space="preserve">/Preço </t>
    </r>
    <r>
      <rPr>
        <b/>
        <sz val="14"/>
        <color theme="5" tint="0.39997558519241921"/>
        <rFont val="Calibri"/>
        <family val="2"/>
        <scheme val="minor"/>
      </rPr>
      <t>ALVO FINAL</t>
    </r>
  </si>
  <si>
    <t>PREÇO FECHADO (DEAL)</t>
  </si>
  <si>
    <r>
      <t>Preço</t>
    </r>
    <r>
      <rPr>
        <b/>
        <sz val="11"/>
        <color theme="5" tint="0.39997558519241921"/>
        <rFont val="Calibri"/>
        <family val="2"/>
        <scheme val="minor"/>
      </rPr>
      <t xml:space="preserve"> </t>
    </r>
    <r>
      <rPr>
        <b/>
        <sz val="11"/>
        <color theme="9" tint="-0.249977111117893"/>
        <rFont val="Calibri"/>
        <family val="2"/>
        <scheme val="minor"/>
      </rPr>
      <t>FECHAMENTO DEAL</t>
    </r>
  </si>
  <si>
    <t>10-160 + Compactador</t>
  </si>
  <si>
    <r>
      <t xml:space="preserve">Preço </t>
    </r>
    <r>
      <rPr>
        <b/>
        <sz val="14"/>
        <color theme="9" tint="-0.249977111117893"/>
        <rFont val="Calibri"/>
        <family val="2"/>
        <scheme val="minor"/>
      </rPr>
      <t>FECHAMENTO DEAL</t>
    </r>
    <r>
      <rPr>
        <b/>
        <sz val="14"/>
        <color theme="0"/>
        <rFont val="Calibri"/>
        <family val="2"/>
        <scheme val="minor"/>
      </rPr>
      <t xml:space="preserve">/Preço </t>
    </r>
    <r>
      <rPr>
        <b/>
        <sz val="14"/>
        <color theme="5" tint="0.39997558519241921"/>
        <rFont val="Calibri"/>
        <family val="2"/>
        <scheme val="minor"/>
      </rPr>
      <t>ALVO FINAL</t>
    </r>
  </si>
  <si>
    <t>Tributos sobre Receita</t>
  </si>
  <si>
    <t>Dibracam</t>
  </si>
  <si>
    <t xml:space="preserve">Outros Impostos - TOPE - Regime Lucro Presumido </t>
  </si>
  <si>
    <t>IR (incide sobre 32% da receita)</t>
  </si>
  <si>
    <t>CSLL (incide sobre 32% da receita)</t>
  </si>
  <si>
    <t>Adicional IR (diretamente sobre a receita)</t>
  </si>
  <si>
    <t>RASTREAMENTO</t>
  </si>
  <si>
    <t>Rastreadora</t>
  </si>
  <si>
    <t>Valor/Un./Mês</t>
  </si>
  <si>
    <t>Unidades</t>
  </si>
  <si>
    <t>Valor Total/Mês</t>
  </si>
  <si>
    <t>SASCAR</t>
  </si>
  <si>
    <t>Reajuste Anutal Estimado</t>
  </si>
  <si>
    <t>SEGUROS CONTRA 3os - RCF</t>
  </si>
  <si>
    <t>Seguradora</t>
  </si>
  <si>
    <t>Modelo</t>
  </si>
  <si>
    <t>Quantidade</t>
  </si>
  <si>
    <t>Preço Un/ano</t>
  </si>
  <si>
    <t>Parcelas</t>
  </si>
  <si>
    <t>Valor parcela</t>
  </si>
  <si>
    <t>TOKIO MARINE</t>
  </si>
  <si>
    <t>Manutenção - Contrato de Manutenção VW/MAN</t>
  </si>
  <si>
    <t>Valor KM</t>
  </si>
  <si>
    <t>Valor mensal/unidade</t>
  </si>
  <si>
    <t>VALOR LINEAR 3 ANOS OU 360.000</t>
  </si>
  <si>
    <t>25-420</t>
  </si>
  <si>
    <t xml:space="preserve">Premissas: </t>
  </si>
  <si>
    <t>Pneus NÃO INCLUSOS NO CONTRATO DE MANUTENÇÃO, DEVENDO FICAR A CARGO DO LOCATÁRIO</t>
  </si>
  <si>
    <t>1o Ano Veículo</t>
  </si>
  <si>
    <t>2o Ano Veículo</t>
  </si>
  <si>
    <t>3o Ano Veículo</t>
  </si>
  <si>
    <t>4o Ano Veículo</t>
  </si>
  <si>
    <t>Valor mensal/un.</t>
  </si>
  <si>
    <t>LICENCIAMENTO</t>
  </si>
  <si>
    <t>Considerando 3% Desc. Pgto à Vista (janeiro)</t>
  </si>
  <si>
    <t>Valor Documentação abaixo</t>
  </si>
  <si>
    <t>Cenário - Preço Venda</t>
  </si>
  <si>
    <t>Despesa ano 1</t>
  </si>
  <si>
    <t>Despesa Ano 2</t>
  </si>
  <si>
    <t>Despesa Ano 3</t>
  </si>
  <si>
    <t>Despesa Ano 4</t>
  </si>
  <si>
    <t>Despesa Ano 5</t>
  </si>
  <si>
    <t>Despesa Ano 6</t>
  </si>
  <si>
    <t>Despesa Ano 7</t>
  </si>
  <si>
    <t>Despesa Ano 8</t>
  </si>
  <si>
    <t>Despesa Ano 9</t>
  </si>
  <si>
    <t>Despesa Ano 10</t>
  </si>
  <si>
    <t>Preço/Un</t>
  </si>
  <si>
    <t>Doc.</t>
  </si>
  <si>
    <t>Total/un</t>
  </si>
  <si>
    <t>Total/un.</t>
  </si>
  <si>
    <t>COEFICIENTE</t>
  </si>
  <si>
    <t>Parâmetros</t>
  </si>
  <si>
    <t>Custo Financeiro</t>
  </si>
  <si>
    <t>Mês</t>
  </si>
  <si>
    <t>Dia</t>
  </si>
  <si>
    <t xml:space="preserve">Padrão </t>
  </si>
  <si>
    <t>Prazo Cliente</t>
  </si>
  <si>
    <t>Dias de Custo Financeiro</t>
  </si>
  <si>
    <t>Valo</t>
  </si>
  <si>
    <t>res em</t>
  </si>
  <si>
    <t>Par</t>
  </si>
  <si>
    <t>cData V</t>
  </si>
  <si>
    <t>eSdo. Inic</t>
  </si>
  <si>
    <t>iaAmortização</t>
  </si>
  <si>
    <t>Juros</t>
  </si>
  <si>
    <t>PrestCorreção</t>
  </si>
  <si>
    <t>Prev.</t>
  </si>
  <si>
    <t>Sdo. FinT</t>
  </si>
  <si>
    <t>otal a pagar</t>
  </si>
  <si>
    <t>20/03/</t>
  </si>
  <si>
    <t>15/04/</t>
  </si>
  <si>
    <t>15/05/</t>
  </si>
  <si>
    <t>15/06/</t>
  </si>
  <si>
    <t>15/10/</t>
  </si>
  <si>
    <t>16/11/</t>
  </si>
  <si>
    <t>17/12/</t>
  </si>
  <si>
    <t>15/01/</t>
  </si>
  <si>
    <t>15/02/</t>
  </si>
  <si>
    <t>15/03/</t>
  </si>
  <si>
    <t>17/06/</t>
  </si>
  <si>
    <t>15/07/</t>
  </si>
  <si>
    <t>15/08/</t>
  </si>
  <si>
    <t>16/09/</t>
  </si>
  <si>
    <t>16/12/</t>
  </si>
  <si>
    <t>17/02/</t>
  </si>
  <si>
    <t>16/03/</t>
  </si>
  <si>
    <t>17/08/</t>
  </si>
  <si>
    <t>15/09/</t>
  </si>
  <si>
    <t>17/05/</t>
  </si>
  <si>
    <t>16/08/</t>
  </si>
  <si>
    <t>15/12/</t>
  </si>
  <si>
    <t>18/04/</t>
  </si>
  <si>
    <t>16/05/</t>
  </si>
  <si>
    <t>17/10/</t>
  </si>
  <si>
    <t>16/01/</t>
  </si>
  <si>
    <t>TOT</t>
  </si>
  <si>
    <t>AIS==&gt;/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</si>
</sst>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8" formatCode="&quot;R$&quot;\ #,##0.00;[Red]\-&quot;R$&quot;\ #,##0.00"/>
    <numFmt numFmtId="44" formatCode="_-&quot;R$&quot;\ * #,##0.00_-;\-&quot;R$&quot;\ * #,##0.00_-;_-&quot;R$&quot;\ * &quot;-&quot;??_-;_-@_-"/>
    <numFmt numFmtId="164" formatCode="&quot;R$&quot;#,##0.00_);[Red]\(&quot;R$&quot;#,##0.00\)"/>
    <numFmt numFmtId="165" formatCode="_(&quot;R$&quot;* #,##0.00_);_(&quot;R$&quot;* \(#,##0.00\);_(&quot;R$&quot;* &quot;-&quot;??_);_(@_)"/>
    <numFmt numFmtId="166" formatCode="&quot;R$&quot;#,##0;[Red]\-&quot;R$&quot;#,##0"/>
    <numFmt numFmtId="167" formatCode="_-&quot;R$&quot;* #,##0.00_-;\-&quot;R$&quot;* #,##0.00_-;_-&quot;R$&quot;* &quot;-&quot;??_-;_-@_-"/>
    <numFmt numFmtId="168" formatCode="0.000%"/>
    <numFmt numFmtId="169" formatCode="_-[$R$-416]\ * #,##0_-;\-[$R$-416]\ * #,##0_-;_-[$R$-416]\ * &quot;-&quot;??_-;_-@_-"/>
    <numFmt numFmtId="170" formatCode="_-[$R$-416]\ * #,##0_-;\-[$R$-416]\ * #,##0_-;_-[$R$-416]\ * &quot;-&quot;???_-;_-@_-"/>
    <numFmt numFmtId="171" formatCode="0.0%"/>
    <numFmt numFmtId="172" formatCode="#,##0.0"/>
    <numFmt numFmtId="173" formatCode="_(&quot;R$&quot;* #,##0_);_(&quot;R$&quot;* \(#,##0\);_(&quot;R$&quot;* &quot;-&quot;??_);_(@_)"/>
    <numFmt numFmtId="174" formatCode="&quot;R$&quot;#,##0.0;[Red]\-&quot;R$&quot;#,##0.0"/>
    <numFmt numFmtId="175" formatCode="0.000"/>
    <numFmt numFmtId="176" formatCode="0.0000"/>
    <numFmt numFmtId="177" formatCode="0.0"/>
    <numFmt numFmtId="178" formatCode="0.0000%"/>
  </numFmts>
  <fonts count="40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00000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28"/>
      <color theme="0"/>
      <name val="Calibri"/>
      <family val="2"/>
      <scheme val="minor"/>
    </font>
    <font>
      <b/>
      <sz val="20"/>
      <color theme="0"/>
      <name val="Calibri"/>
      <family val="2"/>
      <scheme val="minor"/>
    </font>
    <font>
      <b/>
      <sz val="12"/>
      <color rgb="FFFFFF00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6" tint="0.59999389629810485"/>
      <name val="Calibri"/>
      <family val="2"/>
      <scheme val="minor"/>
    </font>
    <font>
      <b/>
      <sz val="11"/>
      <color theme="5" tint="0.39997558519241921"/>
      <name val="Calibri"/>
      <family val="2"/>
      <scheme val="minor"/>
    </font>
    <font>
      <b/>
      <sz val="14"/>
      <color theme="5" tint="0.39997558519241921"/>
      <name val="Calibri"/>
      <family val="2"/>
      <scheme val="minor"/>
    </font>
    <font>
      <b/>
      <sz val="14"/>
      <color theme="6" tint="0.39997558519241921"/>
      <name val="Calibri"/>
      <family val="2"/>
      <scheme val="minor"/>
    </font>
    <font>
      <b/>
      <sz val="11"/>
      <color theme="9" tint="-0.249977111117893"/>
      <name val="Calibri"/>
      <family val="2"/>
      <scheme val="minor"/>
    </font>
    <font>
      <b/>
      <sz val="14"/>
      <color theme="9" tint="-0.249977111117893"/>
      <name val="Calibri"/>
      <family val="2"/>
      <scheme val="minor"/>
    </font>
    <font>
      <b/>
      <sz val="12"/>
      <color theme="9" tint="-0.249977111117893"/>
      <name val="Calibri"/>
      <family val="2"/>
      <scheme val="minor"/>
    </font>
    <font>
      <b/>
      <sz val="22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0" tint="-0.499984740745262"/>
      <name val="Calibri"/>
      <family val="2"/>
      <scheme val="minor"/>
    </font>
    <font>
      <sz val="12"/>
      <color theme="0" tint="-0.499984740745262"/>
      <name val="Calibri"/>
      <family val="2"/>
      <scheme val="minor"/>
    </font>
    <font>
      <b/>
      <sz val="12"/>
      <color theme="5" tint="-0.249977111117893"/>
      <name val="Calibri"/>
      <family val="2"/>
      <scheme val="minor"/>
    </font>
    <font>
      <b/>
      <sz val="12"/>
      <color theme="0" tint="-4.9989318521683403E-2"/>
      <name val="Calibri"/>
      <family val="2"/>
      <scheme val="minor"/>
    </font>
    <font>
      <sz val="12"/>
      <color theme="0" tint="-4.9989318521683403E-2"/>
      <name val="Calibri"/>
      <family val="2"/>
      <scheme val="minor"/>
    </font>
    <font>
      <b/>
      <sz val="16"/>
      <color theme="0"/>
      <name val="Calibri"/>
      <family val="2"/>
      <scheme val="minor"/>
    </font>
    <font>
      <sz val="10"/>
      <name val="Arial"/>
      <family val="2"/>
    </font>
    <font>
      <sz val="18"/>
      <color theme="0"/>
      <name val="Calibri"/>
      <family val="2"/>
      <scheme val="minor"/>
    </font>
    <font>
      <b/>
      <sz val="12"/>
      <color theme="3" tint="-0.249977111117893"/>
      <name val="Calibri"/>
      <family val="2"/>
      <scheme val="minor"/>
    </font>
    <font>
      <b/>
      <sz val="12"/>
      <color theme="6" tint="0.79998168889431442"/>
      <name val="Calibri"/>
      <family val="2"/>
      <scheme val="minor"/>
    </font>
    <font>
      <sz val="22"/>
      <color rgb="FFFF0000"/>
      <name val="Calibri"/>
      <family val="2"/>
      <scheme val="minor"/>
    </font>
    <font>
      <sz val="22"/>
      <color theme="1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FF800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3" tint="-0.49998474074526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660066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/>
        <bgColor indexed="64"/>
      </patternFill>
    </fill>
  </fills>
  <borders count="23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/>
      <right/>
      <top style="medium">
        <color auto="1"/>
      </top>
      <bottom/>
      <diagonal/>
    </border>
    <border>
      <left/>
      <right/>
      <top/>
      <bottom style="medium">
        <color auto="1"/>
      </bottom>
      <diagonal/>
    </border>
    <border>
      <left/>
      <right/>
      <top style="thin">
        <color auto="1"/>
      </top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/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</borders>
  <cellStyleXfs count="769">
    <xf numFmtId="0" fontId="0" fillId="0" borderId="0"/>
    <xf numFmtId="165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</cellStyleXfs>
  <cellXfs count="307">
    <xf numFmtId="0" fontId="0" fillId="0" borderId="0" xfId="0"/>
    <xf numFmtId="169" fontId="0" fillId="0" borderId="0" xfId="0" applyNumberFormat="1"/>
    <xf numFmtId="170" fontId="0" fillId="0" borderId="0" xfId="0" applyNumberFormat="1"/>
    <xf numFmtId="17" fontId="0" fillId="0" borderId="0" xfId="0" applyNumberFormat="1"/>
    <xf numFmtId="4" fontId="0" fillId="0" borderId="0" xfId="0" applyNumberFormat="1"/>
    <xf numFmtId="0" fontId="7" fillId="0" borderId="0" xfId="0" applyFont="1"/>
    <xf numFmtId="4" fontId="7" fillId="0" borderId="0" xfId="0" applyNumberFormat="1" applyFont="1"/>
    <xf numFmtId="0" fontId="7" fillId="0" borderId="3" xfId="0" applyFont="1" applyBorder="1"/>
    <xf numFmtId="4" fontId="7" fillId="0" borderId="4" xfId="0" applyNumberFormat="1" applyFont="1" applyBorder="1"/>
    <xf numFmtId="0" fontId="0" fillId="0" borderId="3" xfId="0" applyBorder="1"/>
    <xf numFmtId="4" fontId="0" fillId="0" borderId="4" xfId="0" applyNumberFormat="1" applyBorder="1"/>
    <xf numFmtId="0" fontId="0" fillId="0" borderId="6" xfId="0" applyBorder="1"/>
    <xf numFmtId="0" fontId="7" fillId="4" borderId="0" xfId="0" applyFont="1" applyFill="1"/>
    <xf numFmtId="4" fontId="0" fillId="4" borderId="6" xfId="0" applyNumberFormat="1" applyFill="1" applyBorder="1"/>
    <xf numFmtId="17" fontId="6" fillId="5" borderId="6" xfId="0" applyNumberFormat="1" applyFont="1" applyFill="1" applyBorder="1"/>
    <xf numFmtId="0" fontId="6" fillId="5" borderId="6" xfId="0" applyFont="1" applyFill="1" applyBorder="1"/>
    <xf numFmtId="0" fontId="6" fillId="5" borderId="0" xfId="0" applyFont="1" applyFill="1"/>
    <xf numFmtId="0" fontId="8" fillId="0" borderId="0" xfId="0" applyFont="1"/>
    <xf numFmtId="170" fontId="0" fillId="0" borderId="5" xfId="0" applyNumberFormat="1" applyBorder="1"/>
    <xf numFmtId="169" fontId="0" fillId="0" borderId="7" xfId="0" applyNumberFormat="1" applyBorder="1"/>
    <xf numFmtId="4" fontId="0" fillId="4" borderId="7" xfId="0" applyNumberFormat="1" applyFill="1" applyBorder="1"/>
    <xf numFmtId="0" fontId="2" fillId="0" borderId="0" xfId="0" applyFont="1"/>
    <xf numFmtId="0" fontId="2" fillId="0" borderId="5" xfId="0" applyFont="1" applyBorder="1"/>
    <xf numFmtId="0" fontId="2" fillId="0" borderId="7" xfId="0" applyFont="1" applyBorder="1"/>
    <xf numFmtId="3" fontId="0" fillId="0" borderId="6" xfId="0" applyNumberFormat="1" applyBorder="1"/>
    <xf numFmtId="3" fontId="0" fillId="4" borderId="6" xfId="0" applyNumberFormat="1" applyFill="1" applyBorder="1"/>
    <xf numFmtId="10" fontId="0" fillId="0" borderId="0" xfId="2" applyNumberFormat="1" applyFont="1"/>
    <xf numFmtId="3" fontId="0" fillId="4" borderId="7" xfId="0" applyNumberFormat="1" applyFill="1" applyBorder="1"/>
    <xf numFmtId="3" fontId="0" fillId="0" borderId="0" xfId="0" applyNumberFormat="1"/>
    <xf numFmtId="4" fontId="0" fillId="0" borderId="6" xfId="0" applyNumberFormat="1" applyBorder="1"/>
    <xf numFmtId="168" fontId="0" fillId="4" borderId="6" xfId="2" applyNumberFormat="1" applyFont="1" applyFill="1" applyBorder="1"/>
    <xf numFmtId="0" fontId="6" fillId="7" borderId="0" xfId="0" applyFont="1" applyFill="1"/>
    <xf numFmtId="0" fontId="6" fillId="8" borderId="0" xfId="0" applyFont="1" applyFill="1"/>
    <xf numFmtId="0" fontId="6" fillId="9" borderId="0" xfId="0" applyFont="1" applyFill="1"/>
    <xf numFmtId="164" fontId="0" fillId="3" borderId="0" xfId="0" applyNumberFormat="1" applyFill="1"/>
    <xf numFmtId="10" fontId="7" fillId="0" borderId="0" xfId="0" applyNumberFormat="1" applyFont="1"/>
    <xf numFmtId="171" fontId="7" fillId="0" borderId="0" xfId="0" applyNumberFormat="1" applyFont="1"/>
    <xf numFmtId="0" fontId="0" fillId="3" borderId="0" xfId="0" applyFill="1" applyAlignment="1">
      <alignment horizontal="center"/>
    </xf>
    <xf numFmtId="0" fontId="0" fillId="3" borderId="0" xfId="0" applyFill="1"/>
    <xf numFmtId="10" fontId="0" fillId="3" borderId="0" xfId="2" applyNumberFormat="1" applyFont="1" applyFill="1" applyBorder="1" applyAlignment="1">
      <alignment horizontal="center"/>
    </xf>
    <xf numFmtId="171" fontId="0" fillId="0" borderId="0" xfId="2" applyNumberFormat="1" applyFont="1" applyBorder="1" applyAlignment="1">
      <alignment horizontal="center"/>
    </xf>
    <xf numFmtId="171" fontId="0" fillId="3" borderId="0" xfId="0" applyNumberFormat="1" applyFill="1" applyAlignment="1">
      <alignment horizontal="center"/>
    </xf>
    <xf numFmtId="9" fontId="0" fillId="0" borderId="0" xfId="0" applyNumberFormat="1" applyAlignment="1">
      <alignment horizontal="center"/>
    </xf>
    <xf numFmtId="9" fontId="0" fillId="3" borderId="0" xfId="0" applyNumberFormat="1" applyFill="1" applyAlignment="1">
      <alignment horizontal="center"/>
    </xf>
    <xf numFmtId="10" fontId="0" fillId="0" borderId="0" xfId="0" applyNumberFormat="1" applyAlignment="1">
      <alignment horizontal="center"/>
    </xf>
    <xf numFmtId="0" fontId="0" fillId="0" borderId="5" xfId="0" applyBorder="1"/>
    <xf numFmtId="10" fontId="2" fillId="3" borderId="0" xfId="0" applyNumberFormat="1" applyFont="1" applyFill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16" fillId="10" borderId="0" xfId="0" applyFont="1" applyFill="1"/>
    <xf numFmtId="4" fontId="0" fillId="0" borderId="0" xfId="0" applyNumberFormat="1" applyAlignment="1">
      <alignment horizontal="right"/>
    </xf>
    <xf numFmtId="164" fontId="0" fillId="0" borderId="0" xfId="0" applyNumberFormat="1"/>
    <xf numFmtId="0" fontId="17" fillId="11" borderId="0" xfId="0" applyFont="1" applyFill="1"/>
    <xf numFmtId="0" fontId="0" fillId="12" borderId="0" xfId="0" applyFill="1"/>
    <xf numFmtId="0" fontId="5" fillId="12" borderId="0" xfId="0" applyFont="1" applyFill="1" applyAlignment="1">
      <alignment horizontal="center"/>
    </xf>
    <xf numFmtId="0" fontId="18" fillId="2" borderId="0" xfId="0" applyFont="1" applyFill="1" applyAlignment="1">
      <alignment horizontal="center"/>
    </xf>
    <xf numFmtId="0" fontId="0" fillId="14" borderId="0" xfId="0" applyFill="1"/>
    <xf numFmtId="0" fontId="0" fillId="15" borderId="0" xfId="0" applyFill="1"/>
    <xf numFmtId="10" fontId="0" fillId="15" borderId="0" xfId="0" applyNumberFormat="1" applyFill="1"/>
    <xf numFmtId="0" fontId="0" fillId="17" borderId="0" xfId="0" applyFill="1"/>
    <xf numFmtId="0" fontId="17" fillId="5" borderId="0" xfId="0" applyFont="1" applyFill="1"/>
    <xf numFmtId="0" fontId="13" fillId="5" borderId="0" xfId="0" applyFont="1" applyFill="1" applyAlignment="1">
      <alignment horizontal="center" wrapText="1"/>
    </xf>
    <xf numFmtId="10" fontId="2" fillId="5" borderId="0" xfId="2" applyNumberFormat="1" applyFont="1" applyFill="1" applyBorder="1" applyAlignment="1">
      <alignment horizontal="center" vertical="center"/>
    </xf>
    <xf numFmtId="0" fontId="0" fillId="5" borderId="0" xfId="0" applyFill="1"/>
    <xf numFmtId="0" fontId="0" fillId="18" borderId="0" xfId="0" applyFill="1"/>
    <xf numFmtId="0" fontId="0" fillId="19" borderId="0" xfId="0" applyFill="1"/>
    <xf numFmtId="0" fontId="0" fillId="19" borderId="5" xfId="0" applyFill="1" applyBorder="1"/>
    <xf numFmtId="4" fontId="0" fillId="19" borderId="0" xfId="0" applyNumberFormat="1" applyFill="1"/>
    <xf numFmtId="0" fontId="2" fillId="0" borderId="12" xfId="0" applyFont="1" applyBorder="1" applyAlignment="1">
      <alignment horizontal="center"/>
    </xf>
    <xf numFmtId="0" fontId="0" fillId="0" borderId="11" xfId="0" applyBorder="1" applyAlignment="1">
      <alignment horizontal="center"/>
    </xf>
    <xf numFmtId="17" fontId="6" fillId="5" borderId="5" xfId="0" applyNumberFormat="1" applyFont="1" applyFill="1" applyBorder="1"/>
    <xf numFmtId="0" fontId="6" fillId="5" borderId="5" xfId="0" applyFont="1" applyFill="1" applyBorder="1"/>
    <xf numFmtId="4" fontId="0" fillId="4" borderId="5" xfId="0" applyNumberFormat="1" applyFill="1" applyBorder="1"/>
    <xf numFmtId="3" fontId="0" fillId="4" borderId="5" xfId="0" applyNumberFormat="1" applyFill="1" applyBorder="1"/>
    <xf numFmtId="168" fontId="0" fillId="4" borderId="5" xfId="2" applyNumberFormat="1" applyFont="1" applyFill="1" applyBorder="1"/>
    <xf numFmtId="17" fontId="6" fillId="0" borderId="0" xfId="0" applyNumberFormat="1" applyFont="1"/>
    <xf numFmtId="0" fontId="6" fillId="0" borderId="0" xfId="0" applyFont="1"/>
    <xf numFmtId="17" fontId="0" fillId="15" borderId="0" xfId="0" applyNumberFormat="1" applyFill="1"/>
    <xf numFmtId="17" fontId="2" fillId="21" borderId="6" xfId="0" applyNumberFormat="1" applyFont="1" applyFill="1" applyBorder="1"/>
    <xf numFmtId="0" fontId="2" fillId="21" borderId="6" xfId="0" applyFont="1" applyFill="1" applyBorder="1"/>
    <xf numFmtId="0" fontId="0" fillId="12" borderId="13" xfId="0" applyFill="1" applyBorder="1"/>
    <xf numFmtId="0" fontId="0" fillId="0" borderId="5" xfId="0" applyBorder="1" applyAlignment="1">
      <alignment horizontal="center"/>
    </xf>
    <xf numFmtId="165" fontId="0" fillId="0" borderId="0" xfId="1" applyFont="1"/>
    <xf numFmtId="17" fontId="16" fillId="5" borderId="0" xfId="0" applyNumberFormat="1" applyFont="1" applyFill="1" applyAlignment="1">
      <alignment horizontal="center"/>
    </xf>
    <xf numFmtId="0" fontId="16" fillId="5" borderId="0" xfId="0" applyFont="1" applyFill="1" applyAlignment="1">
      <alignment horizontal="center"/>
    </xf>
    <xf numFmtId="172" fontId="0" fillId="0" borderId="6" xfId="0" applyNumberFormat="1" applyBorder="1"/>
    <xf numFmtId="0" fontId="16" fillId="21" borderId="0" xfId="0" applyFont="1" applyFill="1"/>
    <xf numFmtId="0" fontId="16" fillId="5" borderId="0" xfId="0" applyFont="1" applyFill="1"/>
    <xf numFmtId="165" fontId="0" fillId="0" borderId="0" xfId="1" applyFont="1" applyBorder="1"/>
    <xf numFmtId="0" fontId="0" fillId="0" borderId="8" xfId="0" applyBorder="1"/>
    <xf numFmtId="0" fontId="0" fillId="0" borderId="9" xfId="0" applyBorder="1"/>
    <xf numFmtId="165" fontId="0" fillId="0" borderId="10" xfId="1" applyFont="1" applyBorder="1"/>
    <xf numFmtId="9" fontId="0" fillId="12" borderId="0" xfId="2" applyFont="1" applyFill="1"/>
    <xf numFmtId="0" fontId="0" fillId="20" borderId="0" xfId="0" applyFill="1"/>
    <xf numFmtId="4" fontId="0" fillId="20" borderId="7" xfId="0" applyNumberFormat="1" applyFill="1" applyBorder="1"/>
    <xf numFmtId="3" fontId="0" fillId="20" borderId="7" xfId="0" applyNumberFormat="1" applyFill="1" applyBorder="1"/>
    <xf numFmtId="3" fontId="0" fillId="20" borderId="6" xfId="0" applyNumberFormat="1" applyFill="1" applyBorder="1"/>
    <xf numFmtId="0" fontId="27" fillId="0" borderId="5" xfId="0" applyFont="1" applyBorder="1" applyAlignment="1">
      <alignment wrapText="1"/>
    </xf>
    <xf numFmtId="0" fontId="7" fillId="0" borderId="15" xfId="0" applyFont="1" applyBorder="1" applyAlignment="1">
      <alignment wrapText="1"/>
    </xf>
    <xf numFmtId="0" fontId="25" fillId="0" borderId="0" xfId="0" applyFont="1"/>
    <xf numFmtId="0" fontId="11" fillId="0" borderId="0" xfId="0" applyFont="1"/>
    <xf numFmtId="0" fontId="17" fillId="25" borderId="15" xfId="0" applyFont="1" applyFill="1" applyBorder="1" applyAlignment="1">
      <alignment horizontal="center" vertical="center" wrapText="1"/>
    </xf>
    <xf numFmtId="0" fontId="17" fillId="26" borderId="15" xfId="0" applyFont="1" applyFill="1" applyBorder="1" applyAlignment="1">
      <alignment horizontal="center" vertical="center" wrapText="1"/>
    </xf>
    <xf numFmtId="0" fontId="0" fillId="24" borderId="15" xfId="0" applyFill="1" applyBorder="1" applyAlignment="1">
      <alignment horizontal="center" vertical="center" wrapText="1"/>
    </xf>
    <xf numFmtId="0" fontId="0" fillId="6" borderId="15" xfId="0" applyFill="1" applyBorder="1" applyAlignment="1">
      <alignment horizontal="center" vertical="center" wrapText="1"/>
    </xf>
    <xf numFmtId="0" fontId="2" fillId="6" borderId="0" xfId="0" applyFont="1" applyFill="1"/>
    <xf numFmtId="0" fontId="18" fillId="10" borderId="0" xfId="0" applyFont="1" applyFill="1" applyAlignment="1">
      <alignment horizontal="center" vertical="center" wrapText="1"/>
    </xf>
    <xf numFmtId="0" fontId="6" fillId="10" borderId="0" xfId="0" applyFont="1" applyFill="1" applyAlignment="1">
      <alignment horizontal="center" vertical="center"/>
    </xf>
    <xf numFmtId="0" fontId="6" fillId="10" borderId="0" xfId="0" applyFont="1" applyFill="1" applyAlignment="1">
      <alignment horizontal="center" vertical="center" wrapText="1"/>
    </xf>
    <xf numFmtId="0" fontId="0" fillId="23" borderId="0" xfId="0" applyFill="1"/>
    <xf numFmtId="4" fontId="0" fillId="23" borderId="0" xfId="0" applyNumberFormat="1" applyFill="1"/>
    <xf numFmtId="172" fontId="0" fillId="23" borderId="6" xfId="0" applyNumberFormat="1" applyFill="1" applyBorder="1"/>
    <xf numFmtId="3" fontId="0" fillId="23" borderId="5" xfId="0" applyNumberFormat="1" applyFill="1" applyBorder="1"/>
    <xf numFmtId="0" fontId="6" fillId="25" borderId="0" xfId="0" applyFont="1" applyFill="1"/>
    <xf numFmtId="0" fontId="17" fillId="25" borderId="0" xfId="0" applyFont="1" applyFill="1"/>
    <xf numFmtId="4" fontId="17" fillId="25" borderId="6" xfId="0" applyNumberFormat="1" applyFont="1" applyFill="1" applyBorder="1"/>
    <xf numFmtId="4" fontId="17" fillId="25" borderId="0" xfId="0" applyNumberFormat="1" applyFont="1" applyFill="1"/>
    <xf numFmtId="0" fontId="17" fillId="25" borderId="6" xfId="0" applyFont="1" applyFill="1" applyBorder="1"/>
    <xf numFmtId="3" fontId="17" fillId="25" borderId="6" xfId="0" applyNumberFormat="1" applyFont="1" applyFill="1" applyBorder="1"/>
    <xf numFmtId="172" fontId="17" fillId="25" borderId="6" xfId="0" applyNumberFormat="1" applyFont="1" applyFill="1" applyBorder="1"/>
    <xf numFmtId="3" fontId="17" fillId="25" borderId="7" xfId="0" applyNumberFormat="1" applyFont="1" applyFill="1" applyBorder="1"/>
    <xf numFmtId="0" fontId="6" fillId="14" borderId="0" xfId="0" applyFont="1" applyFill="1" applyAlignment="1">
      <alignment horizontal="center" vertical="center" wrapText="1"/>
    </xf>
    <xf numFmtId="0" fontId="6" fillId="14" borderId="0" xfId="0" applyFont="1" applyFill="1" applyAlignment="1">
      <alignment horizontal="center" vertical="center"/>
    </xf>
    <xf numFmtId="0" fontId="18" fillId="14" borderId="0" xfId="0" applyFont="1" applyFill="1" applyAlignment="1">
      <alignment horizontal="center" vertical="center" wrapText="1"/>
    </xf>
    <xf numFmtId="173" fontId="0" fillId="0" borderId="0" xfId="1" applyNumberFormat="1" applyFont="1"/>
    <xf numFmtId="0" fontId="7" fillId="13" borderId="0" xfId="0" applyFont="1" applyFill="1"/>
    <xf numFmtId="9" fontId="0" fillId="13" borderId="0" xfId="2" applyFont="1" applyFill="1" applyBorder="1"/>
    <xf numFmtId="10" fontId="0" fillId="13" borderId="0" xfId="2" applyNumberFormat="1" applyFont="1" applyFill="1" applyBorder="1"/>
    <xf numFmtId="3" fontId="0" fillId="13" borderId="0" xfId="0" applyNumberFormat="1" applyFill="1"/>
    <xf numFmtId="4" fontId="6" fillId="22" borderId="0" xfId="0" applyNumberFormat="1" applyFont="1" applyFill="1"/>
    <xf numFmtId="4" fontId="6" fillId="22" borderId="0" xfId="0" applyNumberFormat="1" applyFont="1" applyFill="1" applyAlignment="1">
      <alignment wrapText="1"/>
    </xf>
    <xf numFmtId="4" fontId="10" fillId="0" borderId="0" xfId="0" applyNumberFormat="1" applyFont="1"/>
    <xf numFmtId="0" fontId="10" fillId="0" borderId="0" xfId="0" applyFont="1"/>
    <xf numFmtId="9" fontId="0" fillId="22" borderId="0" xfId="2" applyFont="1" applyFill="1" applyBorder="1"/>
    <xf numFmtId="10" fontId="0" fillId="22" borderId="0" xfId="2" applyNumberFormat="1" applyFont="1" applyFill="1" applyBorder="1"/>
    <xf numFmtId="3" fontId="0" fillId="22" borderId="0" xfId="0" applyNumberFormat="1" applyFill="1"/>
    <xf numFmtId="165" fontId="0" fillId="12" borderId="0" xfId="1" applyFont="1" applyFill="1" applyAlignment="1"/>
    <xf numFmtId="0" fontId="7" fillId="19" borderId="0" xfId="0" applyFont="1" applyFill="1"/>
    <xf numFmtId="9" fontId="0" fillId="19" borderId="0" xfId="2" applyFont="1" applyFill="1" applyBorder="1"/>
    <xf numFmtId="10" fontId="0" fillId="19" borderId="0" xfId="2" applyNumberFormat="1" applyFont="1" applyFill="1" applyBorder="1" applyAlignment="1">
      <alignment horizontal="center"/>
    </xf>
    <xf numFmtId="3" fontId="0" fillId="19" borderId="0" xfId="0" applyNumberFormat="1" applyFill="1" applyAlignment="1">
      <alignment horizontal="center"/>
    </xf>
    <xf numFmtId="9" fontId="0" fillId="20" borderId="0" xfId="2" applyFont="1" applyFill="1"/>
    <xf numFmtId="0" fontId="0" fillId="12" borderId="1" xfId="0" applyFill="1" applyBorder="1"/>
    <xf numFmtId="0" fontId="7" fillId="12" borderId="13" xfId="0" applyFont="1" applyFill="1" applyBorder="1"/>
    <xf numFmtId="0" fontId="0" fillId="12" borderId="13" xfId="0" applyFill="1" applyBorder="1" applyAlignment="1">
      <alignment wrapText="1"/>
    </xf>
    <xf numFmtId="0" fontId="7" fillId="12" borderId="13" xfId="0" applyFont="1" applyFill="1" applyBorder="1" applyAlignment="1">
      <alignment wrapText="1"/>
    </xf>
    <xf numFmtId="0" fontId="9" fillId="12" borderId="2" xfId="0" applyFont="1" applyFill="1" applyBorder="1" applyAlignment="1">
      <alignment wrapText="1"/>
    </xf>
    <xf numFmtId="17" fontId="0" fillId="0" borderId="3" xfId="0" applyNumberFormat="1" applyBorder="1"/>
    <xf numFmtId="0" fontId="7" fillId="0" borderId="14" xfId="0" applyFont="1" applyBorder="1"/>
    <xf numFmtId="173" fontId="7" fillId="0" borderId="14" xfId="1" applyNumberFormat="1" applyFont="1" applyBorder="1"/>
    <xf numFmtId="10" fontId="7" fillId="0" borderId="14" xfId="0" applyNumberFormat="1" applyFont="1" applyBorder="1"/>
    <xf numFmtId="174" fontId="9" fillId="0" borderId="4" xfId="0" applyNumberFormat="1" applyFont="1" applyBorder="1"/>
    <xf numFmtId="167" fontId="0" fillId="0" borderId="0" xfId="0" applyNumberFormat="1"/>
    <xf numFmtId="10" fontId="0" fillId="3" borderId="0" xfId="0" applyNumberFormat="1" applyFill="1" applyAlignment="1">
      <alignment horizontal="center"/>
    </xf>
    <xf numFmtId="0" fontId="6" fillId="14" borderId="0" xfId="0" applyFont="1" applyFill="1"/>
    <xf numFmtId="4" fontId="17" fillId="0" borderId="0" xfId="0" applyNumberFormat="1" applyFont="1"/>
    <xf numFmtId="3" fontId="17" fillId="0" borderId="0" xfId="0" applyNumberFormat="1" applyFont="1"/>
    <xf numFmtId="10" fontId="0" fillId="0" borderId="0" xfId="2" applyNumberFormat="1" applyFont="1" applyFill="1" applyBorder="1" applyAlignment="1">
      <alignment horizontal="center"/>
    </xf>
    <xf numFmtId="0" fontId="6" fillId="27" borderId="0" xfId="0" applyFont="1" applyFill="1"/>
    <xf numFmtId="0" fontId="0" fillId="4" borderId="0" xfId="0" applyFill="1"/>
    <xf numFmtId="173" fontId="0" fillId="4" borderId="0" xfId="1" applyNumberFormat="1" applyFont="1" applyFill="1"/>
    <xf numFmtId="0" fontId="2" fillId="4" borderId="0" xfId="0" applyFont="1" applyFill="1" applyAlignment="1">
      <alignment horizontal="center" vertical="center" wrapText="1"/>
    </xf>
    <xf numFmtId="173" fontId="2" fillId="4" borderId="0" xfId="1" applyNumberFormat="1" applyFont="1" applyFill="1" applyAlignment="1">
      <alignment horizontal="center" vertical="center"/>
    </xf>
    <xf numFmtId="0" fontId="6" fillId="18" borderId="0" xfId="0" applyFont="1" applyFill="1"/>
    <xf numFmtId="0" fontId="0" fillId="0" borderId="0" xfId="0" applyAlignment="1">
      <alignment horizontal="center" vertical="center" wrapText="1"/>
    </xf>
    <xf numFmtId="17" fontId="0" fillId="12" borderId="0" xfId="0" applyNumberFormat="1" applyFill="1"/>
    <xf numFmtId="0" fontId="2" fillId="0" borderId="9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0" fillId="0" borderId="20" xfId="0" applyBorder="1"/>
    <xf numFmtId="0" fontId="0" fillId="0" borderId="20" xfId="0" applyBorder="1" applyAlignment="1">
      <alignment wrapText="1"/>
    </xf>
    <xf numFmtId="0" fontId="6" fillId="5" borderId="0" xfId="0" applyFont="1" applyFill="1" applyAlignment="1">
      <alignment wrapText="1"/>
    </xf>
    <xf numFmtId="17" fontId="6" fillId="9" borderId="6" xfId="0" applyNumberFormat="1" applyFont="1" applyFill="1" applyBorder="1"/>
    <xf numFmtId="0" fontId="6" fillId="9" borderId="6" xfId="0" applyFont="1" applyFill="1" applyBorder="1"/>
    <xf numFmtId="165" fontId="7" fillId="0" borderId="14" xfId="1" applyFont="1" applyBorder="1"/>
    <xf numFmtId="165" fontId="0" fillId="0" borderId="0" xfId="0" applyNumberFormat="1"/>
    <xf numFmtId="167" fontId="0" fillId="12" borderId="0" xfId="0" applyNumberFormat="1" applyFill="1"/>
    <xf numFmtId="0" fontId="7" fillId="22" borderId="0" xfId="0" applyFont="1" applyFill="1" applyAlignment="1">
      <alignment horizontal="center" vertical="center"/>
    </xf>
    <xf numFmtId="9" fontId="0" fillId="0" borderId="20" xfId="2" applyFont="1" applyFill="1" applyBorder="1"/>
    <xf numFmtId="0" fontId="7" fillId="0" borderId="8" xfId="0" applyFont="1" applyBorder="1"/>
    <xf numFmtId="165" fontId="0" fillId="12" borderId="0" xfId="1" applyFont="1" applyFill="1" applyBorder="1"/>
    <xf numFmtId="10" fontId="0" fillId="0" borderId="0" xfId="0" applyNumberFormat="1"/>
    <xf numFmtId="0" fontId="2" fillId="20" borderId="21" xfId="0" applyFont="1" applyFill="1" applyBorder="1" applyAlignment="1">
      <alignment horizontal="center"/>
    </xf>
    <xf numFmtId="10" fontId="2" fillId="20" borderId="22" xfId="0" applyNumberFormat="1" applyFont="1" applyFill="1" applyBorder="1" applyAlignment="1">
      <alignment horizontal="center"/>
    </xf>
    <xf numFmtId="0" fontId="0" fillId="0" borderId="8" xfId="0" applyBorder="1" applyAlignment="1">
      <alignment horizontal="center" vertical="center" wrapText="1"/>
    </xf>
    <xf numFmtId="0" fontId="2" fillId="0" borderId="8" xfId="0" applyFont="1" applyBorder="1" applyAlignment="1">
      <alignment horizontal="center" wrapText="1"/>
    </xf>
    <xf numFmtId="165" fontId="0" fillId="0" borderId="0" xfId="2" applyNumberFormat="1" applyFont="1" applyFill="1" applyBorder="1" applyAlignment="1">
      <alignment horizontal="center"/>
    </xf>
    <xf numFmtId="165" fontId="0" fillId="0" borderId="10" xfId="2" applyNumberFormat="1" applyFont="1" applyFill="1" applyBorder="1" applyAlignment="1">
      <alignment horizontal="center"/>
    </xf>
    <xf numFmtId="4" fontId="0" fillId="19" borderId="6" xfId="0" applyNumberFormat="1" applyFill="1" applyBorder="1"/>
    <xf numFmtId="165" fontId="2" fillId="3" borderId="0" xfId="1" applyFont="1" applyFill="1" applyAlignment="1">
      <alignment horizontal="center" vertical="center"/>
    </xf>
    <xf numFmtId="175" fontId="0" fillId="0" borderId="18" xfId="1" applyNumberFormat="1" applyFont="1" applyBorder="1"/>
    <xf numFmtId="175" fontId="0" fillId="0" borderId="19" xfId="1" applyNumberFormat="1" applyFont="1" applyBorder="1"/>
    <xf numFmtId="176" fontId="0" fillId="0" borderId="3" xfId="0" applyNumberFormat="1" applyBorder="1"/>
    <xf numFmtId="3" fontId="0" fillId="12" borderId="7" xfId="0" applyNumberFormat="1" applyFill="1" applyBorder="1"/>
    <xf numFmtId="9" fontId="0" fillId="0" borderId="0" xfId="0" applyNumberFormat="1"/>
    <xf numFmtId="3" fontId="0" fillId="23" borderId="7" xfId="0" applyNumberFormat="1" applyFill="1" applyBorder="1"/>
    <xf numFmtId="177" fontId="0" fillId="0" borderId="6" xfId="0" applyNumberFormat="1" applyBorder="1"/>
    <xf numFmtId="0" fontId="33" fillId="5" borderId="0" xfId="0" applyFont="1" applyFill="1" applyAlignment="1">
      <alignment horizontal="center" vertical="center"/>
    </xf>
    <xf numFmtId="0" fontId="17" fillId="22" borderId="0" xfId="0" applyFont="1" applyFill="1" applyAlignment="1">
      <alignment horizontal="right" vertical="center"/>
    </xf>
    <xf numFmtId="171" fontId="0" fillId="22" borderId="0" xfId="2" applyNumberFormat="1" applyFont="1" applyFill="1" applyBorder="1"/>
    <xf numFmtId="165" fontId="0" fillId="0" borderId="13" xfId="2" applyNumberFormat="1" applyFont="1" applyFill="1" applyBorder="1" applyAlignment="1">
      <alignment horizontal="center"/>
    </xf>
    <xf numFmtId="173" fontId="0" fillId="0" borderId="0" xfId="0" applyNumberFormat="1"/>
    <xf numFmtId="3" fontId="2" fillId="4" borderId="7" xfId="0" applyNumberFormat="1" applyFont="1" applyFill="1" applyBorder="1"/>
    <xf numFmtId="10" fontId="0" fillId="3" borderId="0" xfId="0" applyNumberFormat="1" applyFill="1"/>
    <xf numFmtId="177" fontId="17" fillId="25" borderId="6" xfId="0" applyNumberFormat="1" applyFont="1" applyFill="1" applyBorder="1"/>
    <xf numFmtId="3" fontId="17" fillId="30" borderId="6" xfId="0" applyNumberFormat="1" applyFont="1" applyFill="1" applyBorder="1"/>
    <xf numFmtId="3" fontId="16" fillId="5" borderId="0" xfId="0" applyNumberFormat="1" applyFont="1" applyFill="1" applyAlignment="1">
      <alignment horizontal="center" vertical="center" wrapText="1"/>
    </xf>
    <xf numFmtId="0" fontId="2" fillId="23" borderId="0" xfId="0" applyFont="1" applyFill="1"/>
    <xf numFmtId="0" fontId="0" fillId="12" borderId="0" xfId="0" applyFill="1" applyAlignment="1">
      <alignment horizontal="center"/>
    </xf>
    <xf numFmtId="173" fontId="0" fillId="12" borderId="0" xfId="1" applyNumberFormat="1" applyFont="1" applyFill="1"/>
    <xf numFmtId="173" fontId="0" fillId="12" borderId="0" xfId="0" applyNumberFormat="1" applyFill="1"/>
    <xf numFmtId="17" fontId="11" fillId="20" borderId="6" xfId="0" applyNumberFormat="1" applyFont="1" applyFill="1" applyBorder="1"/>
    <xf numFmtId="0" fontId="11" fillId="20" borderId="6" xfId="0" applyFont="1" applyFill="1" applyBorder="1"/>
    <xf numFmtId="165" fontId="0" fillId="0" borderId="0" xfId="1" applyFont="1" applyAlignment="1">
      <alignment horizontal="left"/>
    </xf>
    <xf numFmtId="9" fontId="0" fillId="0" borderId="0" xfId="0" applyNumberFormat="1" applyAlignment="1">
      <alignment horizontal="right"/>
    </xf>
    <xf numFmtId="178" fontId="0" fillId="0" borderId="0" xfId="2" applyNumberFormat="1" applyFont="1"/>
    <xf numFmtId="167" fontId="2" fillId="20" borderId="0" xfId="0" applyNumberFormat="1" applyFont="1" applyFill="1" applyAlignment="1">
      <alignment horizontal="center"/>
    </xf>
    <xf numFmtId="0" fontId="34" fillId="0" borderId="0" xfId="0" applyFont="1"/>
    <xf numFmtId="10" fontId="2" fillId="20" borderId="0" xfId="0" applyNumberFormat="1" applyFont="1" applyFill="1" applyAlignment="1">
      <alignment horizontal="center"/>
    </xf>
    <xf numFmtId="166" fontId="0" fillId="0" borderId="0" xfId="0" applyNumberFormat="1"/>
    <xf numFmtId="3" fontId="0" fillId="0" borderId="8" xfId="0" applyNumberFormat="1" applyBorder="1" applyAlignment="1">
      <alignment horizontal="left"/>
    </xf>
    <xf numFmtId="165" fontId="35" fillId="23" borderId="0" xfId="0" applyNumberFormat="1" applyFont="1" applyFill="1"/>
    <xf numFmtId="0" fontId="17" fillId="23" borderId="0" xfId="0" applyFont="1" applyFill="1" applyAlignment="1">
      <alignment horizontal="right"/>
    </xf>
    <xf numFmtId="44" fontId="0" fillId="0" borderId="0" xfId="0" applyNumberFormat="1"/>
    <xf numFmtId="9" fontId="0" fillId="20" borderId="0" xfId="0" applyNumberFormat="1" applyFill="1"/>
    <xf numFmtId="8" fontId="0" fillId="0" borderId="0" xfId="0" applyNumberFormat="1"/>
    <xf numFmtId="0" fontId="38" fillId="20" borderId="0" xfId="0" applyFont="1" applyFill="1"/>
    <xf numFmtId="0" fontId="39" fillId="20" borderId="0" xfId="0" applyFont="1" applyFill="1"/>
    <xf numFmtId="8" fontId="34" fillId="0" borderId="0" xfId="0" applyNumberFormat="1" applyFont="1"/>
    <xf numFmtId="165" fontId="0" fillId="12" borderId="0" xfId="0" applyNumberFormat="1" applyFill="1"/>
    <xf numFmtId="0" fontId="2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0" fillId="12" borderId="0" xfId="0" applyFill="1" applyAlignment="1">
      <alignment horizontal="center" vertical="center"/>
    </xf>
    <xf numFmtId="0" fontId="6" fillId="5" borderId="0" xfId="0" applyFont="1" applyFill="1" applyAlignment="1">
      <alignment horizontal="center"/>
    </xf>
    <xf numFmtId="17" fontId="6" fillId="5" borderId="5" xfId="0" applyNumberFormat="1" applyFont="1" applyFill="1" applyBorder="1" applyAlignment="1">
      <alignment horizontal="center"/>
    </xf>
    <xf numFmtId="17" fontId="6" fillId="5" borderId="7" xfId="0" applyNumberFormat="1" applyFont="1" applyFill="1" applyBorder="1" applyAlignment="1">
      <alignment horizontal="center"/>
    </xf>
    <xf numFmtId="0" fontId="6" fillId="5" borderId="0" xfId="0" applyFont="1" applyFill="1" applyAlignment="1">
      <alignment horizontal="center"/>
    </xf>
    <xf numFmtId="0" fontId="25" fillId="12" borderId="0" xfId="0" applyFont="1" applyFill="1" applyAlignment="1">
      <alignment horizontal="center"/>
    </xf>
    <xf numFmtId="0" fontId="25" fillId="20" borderId="0" xfId="0" applyFont="1" applyFill="1" applyAlignment="1">
      <alignment horizontal="center"/>
    </xf>
    <xf numFmtId="0" fontId="16" fillId="28" borderId="0" xfId="0" applyFont="1" applyFill="1" applyAlignment="1">
      <alignment horizontal="center"/>
    </xf>
    <xf numFmtId="0" fontId="36" fillId="34" borderId="0" xfId="0" applyFont="1" applyFill="1" applyAlignment="1">
      <alignment horizontal="center"/>
    </xf>
    <xf numFmtId="0" fontId="6" fillId="35" borderId="0" xfId="0" applyFont="1" applyFill="1" applyAlignment="1">
      <alignment horizontal="center"/>
    </xf>
    <xf numFmtId="0" fontId="36" fillId="33" borderId="0" xfId="0" applyFont="1" applyFill="1" applyAlignment="1">
      <alignment horizontal="center"/>
    </xf>
    <xf numFmtId="0" fontId="31" fillId="28" borderId="0" xfId="0" applyFont="1" applyFill="1" applyAlignment="1">
      <alignment horizontal="center"/>
    </xf>
    <xf numFmtId="0" fontId="32" fillId="28" borderId="0" xfId="0" applyFont="1" applyFill="1" applyAlignment="1">
      <alignment horizontal="center"/>
    </xf>
    <xf numFmtId="0" fontId="28" fillId="29" borderId="0" xfId="0" applyFont="1" applyFill="1" applyAlignment="1">
      <alignment horizontal="center"/>
    </xf>
    <xf numFmtId="0" fontId="29" fillId="29" borderId="0" xfId="0" applyFont="1" applyFill="1" applyAlignment="1">
      <alignment horizontal="center"/>
    </xf>
    <xf numFmtId="0" fontId="6" fillId="28" borderId="0" xfId="0" applyFont="1" applyFill="1" applyAlignment="1">
      <alignment horizontal="center"/>
    </xf>
    <xf numFmtId="0" fontId="11" fillId="20" borderId="0" xfId="0" applyFont="1" applyFill="1" applyAlignment="1">
      <alignment horizontal="center"/>
    </xf>
    <xf numFmtId="0" fontId="11" fillId="31" borderId="0" xfId="0" applyFont="1" applyFill="1" applyAlignment="1">
      <alignment horizontal="center"/>
    </xf>
    <xf numFmtId="0" fontId="37" fillId="32" borderId="0" xfId="0" applyFont="1" applyFill="1" applyAlignment="1">
      <alignment horizontal="center"/>
    </xf>
    <xf numFmtId="0" fontId="2" fillId="2" borderId="13" xfId="0" applyFont="1" applyFill="1" applyBorder="1" applyAlignment="1">
      <alignment horizontal="center"/>
    </xf>
    <xf numFmtId="0" fontId="14" fillId="5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0" fillId="0" borderId="9" xfId="0" applyBorder="1" applyAlignment="1">
      <alignment horizontal="center"/>
    </xf>
    <xf numFmtId="0" fontId="6" fillId="2" borderId="0" xfId="0" applyFont="1" applyFill="1" applyAlignment="1">
      <alignment horizontal="center" vertical="center"/>
    </xf>
    <xf numFmtId="0" fontId="0" fillId="12" borderId="0" xfId="0" applyFill="1" applyAlignment="1">
      <alignment horizontal="center" vertical="center"/>
    </xf>
    <xf numFmtId="0" fontId="0" fillId="0" borderId="8" xfId="0" applyBorder="1" applyAlignment="1">
      <alignment horizontal="center"/>
    </xf>
    <xf numFmtId="0" fontId="26" fillId="5" borderId="0" xfId="0" applyFont="1" applyFill="1" applyAlignment="1">
      <alignment horizontal="center" vertical="center"/>
    </xf>
    <xf numFmtId="0" fontId="12" fillId="20" borderId="0" xfId="0" applyFont="1" applyFill="1" applyAlignment="1">
      <alignment horizontal="center" vertical="center"/>
    </xf>
    <xf numFmtId="0" fontId="18" fillId="9" borderId="0" xfId="0" applyFont="1" applyFill="1" applyAlignment="1">
      <alignment horizontal="center" vertical="center" wrapText="1"/>
    </xf>
    <xf numFmtId="0" fontId="6" fillId="9" borderId="0" xfId="0" applyFont="1" applyFill="1" applyAlignment="1">
      <alignment horizontal="center" vertical="center"/>
    </xf>
    <xf numFmtId="0" fontId="9" fillId="3" borderId="1" xfId="0" applyFont="1" applyFill="1" applyBorder="1" applyAlignment="1">
      <alignment horizontal="center"/>
    </xf>
    <xf numFmtId="0" fontId="9" fillId="3" borderId="2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3" borderId="2" xfId="0" applyFont="1" applyFill="1" applyBorder="1" applyAlignment="1">
      <alignment horizontal="center"/>
    </xf>
    <xf numFmtId="0" fontId="6" fillId="5" borderId="0" xfId="0" applyFont="1" applyFill="1" applyAlignment="1">
      <alignment horizontal="center" vertical="center"/>
    </xf>
    <xf numFmtId="0" fontId="18" fillId="5" borderId="0" xfId="0" applyFont="1" applyFill="1" applyAlignment="1">
      <alignment horizontal="center" vertical="center" wrapText="1"/>
    </xf>
    <xf numFmtId="0" fontId="6" fillId="21" borderId="0" xfId="0" applyFont="1" applyFill="1" applyAlignment="1">
      <alignment horizontal="center" vertical="center" wrapText="1"/>
    </xf>
    <xf numFmtId="0" fontId="6" fillId="21" borderId="0" xfId="0" applyFont="1" applyFill="1" applyAlignment="1">
      <alignment horizontal="center" vertical="center"/>
    </xf>
    <xf numFmtId="0" fontId="15" fillId="5" borderId="0" xfId="0" applyFont="1" applyFill="1" applyAlignment="1">
      <alignment horizontal="center" vertical="center"/>
    </xf>
    <xf numFmtId="0" fontId="0" fillId="18" borderId="0" xfId="0" applyFill="1" applyAlignment="1">
      <alignment horizontal="center" vertical="center" wrapText="1"/>
    </xf>
    <xf numFmtId="0" fontId="13" fillId="2" borderId="8" xfId="0" applyFont="1" applyFill="1" applyBorder="1" applyAlignment="1">
      <alignment horizontal="center" wrapText="1"/>
    </xf>
    <xf numFmtId="0" fontId="13" fillId="2" borderId="9" xfId="0" applyFont="1" applyFill="1" applyBorder="1" applyAlignment="1">
      <alignment horizontal="center" wrapText="1"/>
    </xf>
    <xf numFmtId="10" fontId="2" fillId="10" borderId="9" xfId="2" applyNumberFormat="1" applyFont="1" applyFill="1" applyBorder="1" applyAlignment="1">
      <alignment horizontal="center" vertical="center"/>
    </xf>
    <xf numFmtId="10" fontId="2" fillId="10" borderId="10" xfId="2" applyNumberFormat="1" applyFont="1" applyFill="1" applyBorder="1" applyAlignment="1">
      <alignment horizontal="center" vertical="center"/>
    </xf>
    <xf numFmtId="0" fontId="0" fillId="14" borderId="0" xfId="0" applyFill="1" applyAlignment="1">
      <alignment horizontal="center" vertical="center" wrapText="1"/>
    </xf>
    <xf numFmtId="0" fontId="13" fillId="2" borderId="8" xfId="0" applyFont="1" applyFill="1" applyBorder="1" applyAlignment="1">
      <alignment horizontal="center" vertical="center" wrapText="1"/>
    </xf>
    <xf numFmtId="0" fontId="13" fillId="2" borderId="9" xfId="0" applyFont="1" applyFill="1" applyBorder="1" applyAlignment="1">
      <alignment horizontal="center" vertical="center" wrapText="1"/>
    </xf>
    <xf numFmtId="0" fontId="0" fillId="16" borderId="0" xfId="0" applyFill="1" applyAlignment="1">
      <alignment horizontal="center" vertical="center" wrapText="1"/>
    </xf>
    <xf numFmtId="0" fontId="12" fillId="10" borderId="0" xfId="0" applyFont="1" applyFill="1" applyAlignment="1">
      <alignment horizontal="center" vertical="center"/>
    </xf>
    <xf numFmtId="3" fontId="0" fillId="0" borderId="3" xfId="0" applyNumberFormat="1" applyBorder="1" applyAlignment="1">
      <alignment horizontal="center" vertical="center"/>
    </xf>
    <xf numFmtId="3" fontId="0" fillId="0" borderId="4" xfId="0" applyNumberFormat="1" applyBorder="1" applyAlignment="1">
      <alignment horizontal="center" vertical="center"/>
    </xf>
    <xf numFmtId="0" fontId="0" fillId="0" borderId="10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16" xfId="0" applyBorder="1" applyAlignment="1">
      <alignment horizontal="center" vertical="center"/>
    </xf>
    <xf numFmtId="0" fontId="0" fillId="0" borderId="17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13" xfId="0" applyBorder="1" applyAlignment="1">
      <alignment horizontal="center"/>
    </xf>
    <xf numFmtId="0" fontId="13" fillId="5" borderId="0" xfId="0" applyFont="1" applyFill="1" applyAlignment="1">
      <alignment horizontal="center" vertical="center"/>
    </xf>
    <xf numFmtId="0" fontId="16" fillId="23" borderId="0" xfId="0" applyFont="1" applyFill="1" applyAlignment="1">
      <alignment horizontal="center" vertical="center"/>
    </xf>
    <xf numFmtId="0" fontId="16" fillId="23" borderId="14" xfId="0" applyFont="1" applyFill="1" applyBorder="1" applyAlignment="1">
      <alignment horizontal="center" vertical="center"/>
    </xf>
    <xf numFmtId="0" fontId="16" fillId="23" borderId="12" xfId="0" applyFont="1" applyFill="1" applyBorder="1" applyAlignment="1">
      <alignment horizontal="center" vertical="center"/>
    </xf>
    <xf numFmtId="0" fontId="16" fillId="23" borderId="4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5" fillId="0" borderId="5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0" fontId="15" fillId="11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/>
    </xf>
  </cellXfs>
  <cellStyles count="769">
    <cellStyle name="Hiperlink" xfId="65" builtinId="8" hidden="1"/>
    <cellStyle name="Hiperlink" xfId="69" builtinId="8" hidden="1"/>
    <cellStyle name="Hiperlink" xfId="73" builtinId="8" hidden="1"/>
    <cellStyle name="Hiperlink" xfId="77" builtinId="8" hidden="1"/>
    <cellStyle name="Hiperlink" xfId="81" builtinId="8" hidden="1"/>
    <cellStyle name="Hiperlink" xfId="85" builtinId="8" hidden="1"/>
    <cellStyle name="Hiperlink" xfId="89" builtinId="8" hidden="1"/>
    <cellStyle name="Hiperlink" xfId="93" builtinId="8" hidden="1"/>
    <cellStyle name="Hiperlink" xfId="97" builtinId="8" hidden="1"/>
    <cellStyle name="Hiperlink" xfId="101" builtinId="8" hidden="1"/>
    <cellStyle name="Hiperlink" xfId="105" builtinId="8" hidden="1"/>
    <cellStyle name="Hiperlink" xfId="109" builtinId="8" hidden="1"/>
    <cellStyle name="Hiperlink" xfId="113" builtinId="8" hidden="1"/>
    <cellStyle name="Hiperlink" xfId="117" builtinId="8" hidden="1"/>
    <cellStyle name="Hiperlink" xfId="121" builtinId="8" hidden="1"/>
    <cellStyle name="Hiperlink" xfId="125" builtinId="8" hidden="1"/>
    <cellStyle name="Hiperlink" xfId="129" builtinId="8" hidden="1"/>
    <cellStyle name="Hiperlink" xfId="133" builtinId="8" hidden="1"/>
    <cellStyle name="Hiperlink" xfId="137" builtinId="8" hidden="1"/>
    <cellStyle name="Hiperlink" xfId="141" builtinId="8" hidden="1"/>
    <cellStyle name="Hiperlink" xfId="145" builtinId="8" hidden="1"/>
    <cellStyle name="Hiperlink" xfId="149" builtinId="8" hidden="1"/>
    <cellStyle name="Hiperlink" xfId="153" builtinId="8" hidden="1"/>
    <cellStyle name="Hiperlink" xfId="157" builtinId="8" hidden="1"/>
    <cellStyle name="Hiperlink" xfId="161" builtinId="8" hidden="1"/>
    <cellStyle name="Hiperlink" xfId="165" builtinId="8" hidden="1"/>
    <cellStyle name="Hiperlink" xfId="169" builtinId="8" hidden="1"/>
    <cellStyle name="Hiperlink" xfId="173" builtinId="8" hidden="1"/>
    <cellStyle name="Hiperlink" xfId="177" builtinId="8" hidden="1"/>
    <cellStyle name="Hiperlink" xfId="181" builtinId="8" hidden="1"/>
    <cellStyle name="Hiperlink" xfId="185" builtinId="8" hidden="1"/>
    <cellStyle name="Hiperlink" xfId="189" builtinId="8" hidden="1"/>
    <cellStyle name="Hiperlink" xfId="193" builtinId="8" hidden="1"/>
    <cellStyle name="Hiperlink" xfId="197" builtinId="8" hidden="1"/>
    <cellStyle name="Hiperlink" xfId="201" builtinId="8" hidden="1"/>
    <cellStyle name="Hiperlink" xfId="205" builtinId="8" hidden="1"/>
    <cellStyle name="Hiperlink" xfId="209" builtinId="8" hidden="1"/>
    <cellStyle name="Hiperlink" xfId="213" builtinId="8" hidden="1"/>
    <cellStyle name="Hiperlink" xfId="217" builtinId="8" hidden="1"/>
    <cellStyle name="Hiperlink" xfId="221" builtinId="8" hidden="1"/>
    <cellStyle name="Hiperlink" xfId="225" builtinId="8" hidden="1"/>
    <cellStyle name="Hiperlink" xfId="229" builtinId="8" hidden="1"/>
    <cellStyle name="Hiperlink" xfId="233" builtinId="8" hidden="1"/>
    <cellStyle name="Hiperlink" xfId="237" builtinId="8" hidden="1"/>
    <cellStyle name="Hiperlink" xfId="241" builtinId="8" hidden="1"/>
    <cellStyle name="Hiperlink" xfId="245" builtinId="8" hidden="1"/>
    <cellStyle name="Hiperlink" xfId="249" builtinId="8" hidden="1"/>
    <cellStyle name="Hiperlink" xfId="253" builtinId="8" hidden="1"/>
    <cellStyle name="Hiperlink" xfId="257" builtinId="8" hidden="1"/>
    <cellStyle name="Hiperlink" xfId="261" builtinId="8" hidden="1"/>
    <cellStyle name="Hiperlink" xfId="265" builtinId="8" hidden="1"/>
    <cellStyle name="Hiperlink" xfId="269" builtinId="8" hidden="1"/>
    <cellStyle name="Hiperlink" xfId="273" builtinId="8" hidden="1"/>
    <cellStyle name="Hiperlink" xfId="277" builtinId="8" hidden="1"/>
    <cellStyle name="Hiperlink" xfId="281" builtinId="8" hidden="1"/>
    <cellStyle name="Hiperlink" xfId="285" builtinId="8" hidden="1"/>
    <cellStyle name="Hiperlink" xfId="289" builtinId="8" hidden="1"/>
    <cellStyle name="Hiperlink" xfId="293" builtinId="8" hidden="1"/>
    <cellStyle name="Hiperlink" xfId="297" builtinId="8" hidden="1"/>
    <cellStyle name="Hiperlink" xfId="301" builtinId="8" hidden="1"/>
    <cellStyle name="Hiperlink" xfId="305" builtinId="8" hidden="1"/>
    <cellStyle name="Hiperlink" xfId="309" builtinId="8" hidden="1"/>
    <cellStyle name="Hiperlink" xfId="313" builtinId="8" hidden="1"/>
    <cellStyle name="Hiperlink" xfId="317" builtinId="8" hidden="1"/>
    <cellStyle name="Hiperlink" xfId="321" builtinId="8" hidden="1"/>
    <cellStyle name="Hiperlink" xfId="325" builtinId="8" hidden="1"/>
    <cellStyle name="Hiperlink" xfId="329" builtinId="8" hidden="1"/>
    <cellStyle name="Hiperlink" xfId="333" builtinId="8" hidden="1"/>
    <cellStyle name="Hiperlink" xfId="337" builtinId="8" hidden="1"/>
    <cellStyle name="Hiperlink" xfId="341" builtinId="8" hidden="1"/>
    <cellStyle name="Hiperlink" xfId="345" builtinId="8" hidden="1"/>
    <cellStyle name="Hiperlink" xfId="349" builtinId="8" hidden="1"/>
    <cellStyle name="Hiperlink" xfId="353" builtinId="8" hidden="1"/>
    <cellStyle name="Hiperlink" xfId="357" builtinId="8" hidden="1"/>
    <cellStyle name="Hiperlink" xfId="361" builtinId="8" hidden="1"/>
    <cellStyle name="Hiperlink" xfId="365" builtinId="8" hidden="1"/>
    <cellStyle name="Hiperlink" xfId="369" builtinId="8" hidden="1"/>
    <cellStyle name="Hiperlink" xfId="373" builtinId="8" hidden="1"/>
    <cellStyle name="Hiperlink" xfId="377" builtinId="8" hidden="1"/>
    <cellStyle name="Hiperlink" xfId="381" builtinId="8" hidden="1"/>
    <cellStyle name="Hiperlink" xfId="385" builtinId="8" hidden="1"/>
    <cellStyle name="Hiperlink" xfId="389" builtinId="8" hidden="1"/>
    <cellStyle name="Hiperlink" xfId="393" builtinId="8" hidden="1"/>
    <cellStyle name="Hiperlink" xfId="397" builtinId="8" hidden="1"/>
    <cellStyle name="Hiperlink" xfId="401" builtinId="8" hidden="1"/>
    <cellStyle name="Hiperlink" xfId="405" builtinId="8" hidden="1"/>
    <cellStyle name="Hiperlink" xfId="409" builtinId="8" hidden="1"/>
    <cellStyle name="Hiperlink" xfId="413" builtinId="8" hidden="1"/>
    <cellStyle name="Hiperlink" xfId="417" builtinId="8" hidden="1"/>
    <cellStyle name="Hiperlink" xfId="421" builtinId="8" hidden="1"/>
    <cellStyle name="Hiperlink" xfId="425" builtinId="8" hidden="1"/>
    <cellStyle name="Hiperlink" xfId="429" builtinId="8" hidden="1"/>
    <cellStyle name="Hiperlink" xfId="433" builtinId="8" hidden="1"/>
    <cellStyle name="Hiperlink" xfId="437" builtinId="8" hidden="1"/>
    <cellStyle name="Hiperlink" xfId="441" builtinId="8" hidden="1"/>
    <cellStyle name="Hiperlink" xfId="445" builtinId="8" hidden="1"/>
    <cellStyle name="Hiperlink" xfId="449" builtinId="8" hidden="1"/>
    <cellStyle name="Hiperlink" xfId="453" builtinId="8" hidden="1"/>
    <cellStyle name="Hiperlink" xfId="457" builtinId="8" hidden="1"/>
    <cellStyle name="Hiperlink" xfId="461" builtinId="8" hidden="1"/>
    <cellStyle name="Hiperlink" xfId="465" builtinId="8" hidden="1"/>
    <cellStyle name="Hiperlink" xfId="469" builtinId="8" hidden="1"/>
    <cellStyle name="Hiperlink" xfId="473" builtinId="8" hidden="1"/>
    <cellStyle name="Hiperlink" xfId="477" builtinId="8" hidden="1"/>
    <cellStyle name="Hiperlink" xfId="481" builtinId="8" hidden="1"/>
    <cellStyle name="Hiperlink" xfId="485" builtinId="8" hidden="1"/>
    <cellStyle name="Hiperlink" xfId="489" builtinId="8" hidden="1"/>
    <cellStyle name="Hiperlink" xfId="493" builtinId="8" hidden="1"/>
    <cellStyle name="Hiperlink" xfId="497" builtinId="8" hidden="1"/>
    <cellStyle name="Hiperlink" xfId="501" builtinId="8" hidden="1"/>
    <cellStyle name="Hiperlink" xfId="505" builtinId="8" hidden="1"/>
    <cellStyle name="Hiperlink" xfId="509" builtinId="8" hidden="1"/>
    <cellStyle name="Hiperlink" xfId="513" builtinId="8" hidden="1"/>
    <cellStyle name="Hiperlink" xfId="517" builtinId="8" hidden="1"/>
    <cellStyle name="Hiperlink" xfId="521" builtinId="8" hidden="1"/>
    <cellStyle name="Hiperlink" xfId="525" builtinId="8" hidden="1"/>
    <cellStyle name="Hiperlink" xfId="529" builtinId="8" hidden="1"/>
    <cellStyle name="Hiperlink" xfId="533" builtinId="8" hidden="1"/>
    <cellStyle name="Hiperlink" xfId="537" builtinId="8" hidden="1"/>
    <cellStyle name="Hiperlink" xfId="541" builtinId="8" hidden="1"/>
    <cellStyle name="Hiperlink" xfId="545" builtinId="8" hidden="1"/>
    <cellStyle name="Hiperlink" xfId="549" builtinId="8" hidden="1"/>
    <cellStyle name="Hiperlink" xfId="553" builtinId="8" hidden="1"/>
    <cellStyle name="Hiperlink" xfId="557" builtinId="8" hidden="1"/>
    <cellStyle name="Hiperlink" xfId="561" builtinId="8" hidden="1"/>
    <cellStyle name="Hiperlink" xfId="565" builtinId="8" hidden="1"/>
    <cellStyle name="Hiperlink" xfId="569" builtinId="8" hidden="1"/>
    <cellStyle name="Hiperlink" xfId="573" builtinId="8" hidden="1"/>
    <cellStyle name="Hiperlink" xfId="577" builtinId="8" hidden="1"/>
    <cellStyle name="Hiperlink" xfId="581" builtinId="8" hidden="1"/>
    <cellStyle name="Hiperlink" xfId="585" builtinId="8" hidden="1"/>
    <cellStyle name="Hiperlink" xfId="589" builtinId="8" hidden="1"/>
    <cellStyle name="Hiperlink" xfId="593" builtinId="8" hidden="1"/>
    <cellStyle name="Hiperlink" xfId="597" builtinId="8" hidden="1"/>
    <cellStyle name="Hiperlink" xfId="601" builtinId="8" hidden="1"/>
    <cellStyle name="Hiperlink" xfId="605" builtinId="8" hidden="1"/>
    <cellStyle name="Hiperlink" xfId="609" builtinId="8" hidden="1"/>
    <cellStyle name="Hiperlink" xfId="613" builtinId="8" hidden="1"/>
    <cellStyle name="Hiperlink" xfId="617" builtinId="8" hidden="1"/>
    <cellStyle name="Hiperlink" xfId="621" builtinId="8" hidden="1"/>
    <cellStyle name="Hiperlink" xfId="625" builtinId="8" hidden="1"/>
    <cellStyle name="Hiperlink" xfId="629" builtinId="8" hidden="1"/>
    <cellStyle name="Hiperlink" xfId="633" builtinId="8" hidden="1"/>
    <cellStyle name="Hiperlink" xfId="637" builtinId="8" hidden="1"/>
    <cellStyle name="Hiperlink" xfId="641" builtinId="8" hidden="1"/>
    <cellStyle name="Hiperlink" xfId="645" builtinId="8" hidden="1"/>
    <cellStyle name="Hiperlink" xfId="649" builtinId="8" hidden="1"/>
    <cellStyle name="Hiperlink" xfId="653" builtinId="8" hidden="1"/>
    <cellStyle name="Hiperlink" xfId="657" builtinId="8" hidden="1"/>
    <cellStyle name="Hiperlink" xfId="661" builtinId="8" hidden="1"/>
    <cellStyle name="Hiperlink" xfId="665" builtinId="8" hidden="1"/>
    <cellStyle name="Hiperlink" xfId="669" builtinId="8" hidden="1"/>
    <cellStyle name="Hiperlink" xfId="673" builtinId="8" hidden="1"/>
    <cellStyle name="Hiperlink" xfId="677" builtinId="8" hidden="1"/>
    <cellStyle name="Hiperlink" xfId="681" builtinId="8" hidden="1"/>
    <cellStyle name="Hiperlink" xfId="685" builtinId="8" hidden="1"/>
    <cellStyle name="Hiperlink" xfId="689" builtinId="8" hidden="1"/>
    <cellStyle name="Hiperlink" xfId="693" builtinId="8" hidden="1"/>
    <cellStyle name="Hiperlink" xfId="697" builtinId="8" hidden="1"/>
    <cellStyle name="Hiperlink" xfId="701" builtinId="8" hidden="1"/>
    <cellStyle name="Hiperlink" xfId="705" builtinId="8" hidden="1"/>
    <cellStyle name="Hiperlink" xfId="709" builtinId="8" hidden="1"/>
    <cellStyle name="Hiperlink" xfId="713" builtinId="8" hidden="1"/>
    <cellStyle name="Hiperlink" xfId="717" builtinId="8" hidden="1"/>
    <cellStyle name="Hiperlink" xfId="721" builtinId="8" hidden="1"/>
    <cellStyle name="Hiperlink" xfId="725" builtinId="8" hidden="1"/>
    <cellStyle name="Hiperlink" xfId="729" builtinId="8" hidden="1"/>
    <cellStyle name="Hiperlink" xfId="733" builtinId="8" hidden="1"/>
    <cellStyle name="Hiperlink" xfId="737" builtinId="8" hidden="1"/>
    <cellStyle name="Hiperlink" xfId="741" builtinId="8" hidden="1"/>
    <cellStyle name="Hiperlink" xfId="745" builtinId="8" hidden="1"/>
    <cellStyle name="Hiperlink" xfId="749" builtinId="8" hidden="1"/>
    <cellStyle name="Hiperlink" xfId="753" builtinId="8" hidden="1"/>
    <cellStyle name="Hiperlink" xfId="757" builtinId="8" hidden="1"/>
    <cellStyle name="Hiperlink" xfId="761" builtinId="8" hidden="1"/>
    <cellStyle name="Hiperlink" xfId="765" builtinId="8" hidden="1"/>
    <cellStyle name="Hiperlink" xfId="767" builtinId="8" hidden="1"/>
    <cellStyle name="Hiperlink" xfId="763" builtinId="8" hidden="1"/>
    <cellStyle name="Hiperlink" xfId="759" builtinId="8" hidden="1"/>
    <cellStyle name="Hiperlink" xfId="755" builtinId="8" hidden="1"/>
    <cellStyle name="Hiperlink" xfId="751" builtinId="8" hidden="1"/>
    <cellStyle name="Hiperlink" xfId="747" builtinId="8" hidden="1"/>
    <cellStyle name="Hiperlink" xfId="743" builtinId="8" hidden="1"/>
    <cellStyle name="Hiperlink" xfId="739" builtinId="8" hidden="1"/>
    <cellStyle name="Hiperlink" xfId="735" builtinId="8" hidden="1"/>
    <cellStyle name="Hiperlink" xfId="731" builtinId="8" hidden="1"/>
    <cellStyle name="Hiperlink" xfId="727" builtinId="8" hidden="1"/>
    <cellStyle name="Hiperlink" xfId="723" builtinId="8" hidden="1"/>
    <cellStyle name="Hiperlink" xfId="719" builtinId="8" hidden="1"/>
    <cellStyle name="Hiperlink" xfId="715" builtinId="8" hidden="1"/>
    <cellStyle name="Hiperlink" xfId="711" builtinId="8" hidden="1"/>
    <cellStyle name="Hiperlink" xfId="707" builtinId="8" hidden="1"/>
    <cellStyle name="Hiperlink" xfId="703" builtinId="8" hidden="1"/>
    <cellStyle name="Hiperlink" xfId="699" builtinId="8" hidden="1"/>
    <cellStyle name="Hiperlink" xfId="695" builtinId="8" hidden="1"/>
    <cellStyle name="Hiperlink" xfId="691" builtinId="8" hidden="1"/>
    <cellStyle name="Hiperlink" xfId="687" builtinId="8" hidden="1"/>
    <cellStyle name="Hiperlink" xfId="683" builtinId="8" hidden="1"/>
    <cellStyle name="Hiperlink" xfId="679" builtinId="8" hidden="1"/>
    <cellStyle name="Hiperlink" xfId="675" builtinId="8" hidden="1"/>
    <cellStyle name="Hiperlink" xfId="671" builtinId="8" hidden="1"/>
    <cellStyle name="Hiperlink" xfId="667" builtinId="8" hidden="1"/>
    <cellStyle name="Hiperlink" xfId="663" builtinId="8" hidden="1"/>
    <cellStyle name="Hiperlink" xfId="659" builtinId="8" hidden="1"/>
    <cellStyle name="Hiperlink" xfId="655" builtinId="8" hidden="1"/>
    <cellStyle name="Hiperlink" xfId="651" builtinId="8" hidden="1"/>
    <cellStyle name="Hiperlink" xfId="647" builtinId="8" hidden="1"/>
    <cellStyle name="Hiperlink" xfId="643" builtinId="8" hidden="1"/>
    <cellStyle name="Hiperlink" xfId="639" builtinId="8" hidden="1"/>
    <cellStyle name="Hiperlink" xfId="635" builtinId="8" hidden="1"/>
    <cellStyle name="Hiperlink" xfId="631" builtinId="8" hidden="1"/>
    <cellStyle name="Hiperlink" xfId="627" builtinId="8" hidden="1"/>
    <cellStyle name="Hiperlink" xfId="623" builtinId="8" hidden="1"/>
    <cellStyle name="Hiperlink" xfId="619" builtinId="8" hidden="1"/>
    <cellStyle name="Hiperlink" xfId="615" builtinId="8" hidden="1"/>
    <cellStyle name="Hiperlink" xfId="611" builtinId="8" hidden="1"/>
    <cellStyle name="Hiperlink" xfId="607" builtinId="8" hidden="1"/>
    <cellStyle name="Hiperlink" xfId="603" builtinId="8" hidden="1"/>
    <cellStyle name="Hiperlink" xfId="599" builtinId="8" hidden="1"/>
    <cellStyle name="Hiperlink" xfId="595" builtinId="8" hidden="1"/>
    <cellStyle name="Hiperlink" xfId="591" builtinId="8" hidden="1"/>
    <cellStyle name="Hiperlink" xfId="587" builtinId="8" hidden="1"/>
    <cellStyle name="Hiperlink" xfId="583" builtinId="8" hidden="1"/>
    <cellStyle name="Hiperlink" xfId="579" builtinId="8" hidden="1"/>
    <cellStyle name="Hiperlink" xfId="575" builtinId="8" hidden="1"/>
    <cellStyle name="Hiperlink" xfId="571" builtinId="8" hidden="1"/>
    <cellStyle name="Hiperlink" xfId="567" builtinId="8" hidden="1"/>
    <cellStyle name="Hiperlink" xfId="563" builtinId="8" hidden="1"/>
    <cellStyle name="Hiperlink" xfId="559" builtinId="8" hidden="1"/>
    <cellStyle name="Hiperlink" xfId="555" builtinId="8" hidden="1"/>
    <cellStyle name="Hiperlink" xfId="551" builtinId="8" hidden="1"/>
    <cellStyle name="Hiperlink" xfId="547" builtinId="8" hidden="1"/>
    <cellStyle name="Hiperlink" xfId="543" builtinId="8" hidden="1"/>
    <cellStyle name="Hiperlink" xfId="539" builtinId="8" hidden="1"/>
    <cellStyle name="Hiperlink" xfId="535" builtinId="8" hidden="1"/>
    <cellStyle name="Hiperlink" xfId="531" builtinId="8" hidden="1"/>
    <cellStyle name="Hiperlink" xfId="527" builtinId="8" hidden="1"/>
    <cellStyle name="Hiperlink" xfId="523" builtinId="8" hidden="1"/>
    <cellStyle name="Hiperlink" xfId="519" builtinId="8" hidden="1"/>
    <cellStyle name="Hiperlink" xfId="515" builtinId="8" hidden="1"/>
    <cellStyle name="Hiperlink" xfId="511" builtinId="8" hidden="1"/>
    <cellStyle name="Hiperlink" xfId="507" builtinId="8" hidden="1"/>
    <cellStyle name="Hiperlink" xfId="503" builtinId="8" hidden="1"/>
    <cellStyle name="Hiperlink" xfId="499" builtinId="8" hidden="1"/>
    <cellStyle name="Hiperlink" xfId="495" builtinId="8" hidden="1"/>
    <cellStyle name="Hiperlink" xfId="491" builtinId="8" hidden="1"/>
    <cellStyle name="Hiperlink" xfId="487" builtinId="8" hidden="1"/>
    <cellStyle name="Hiperlink" xfId="483" builtinId="8" hidden="1"/>
    <cellStyle name="Hiperlink" xfId="479" builtinId="8" hidden="1"/>
    <cellStyle name="Hiperlink" xfId="475" builtinId="8" hidden="1"/>
    <cellStyle name="Hiperlink" xfId="471" builtinId="8" hidden="1"/>
    <cellStyle name="Hiperlink" xfId="467" builtinId="8" hidden="1"/>
    <cellStyle name="Hiperlink" xfId="463" builtinId="8" hidden="1"/>
    <cellStyle name="Hiperlink" xfId="459" builtinId="8" hidden="1"/>
    <cellStyle name="Hiperlink" xfId="455" builtinId="8" hidden="1"/>
    <cellStyle name="Hiperlink" xfId="451" builtinId="8" hidden="1"/>
    <cellStyle name="Hiperlink" xfId="447" builtinId="8" hidden="1"/>
    <cellStyle name="Hiperlink" xfId="443" builtinId="8" hidden="1"/>
    <cellStyle name="Hiperlink" xfId="439" builtinId="8" hidden="1"/>
    <cellStyle name="Hiperlink" xfId="435" builtinId="8" hidden="1"/>
    <cellStyle name="Hiperlink" xfId="431" builtinId="8" hidden="1"/>
    <cellStyle name="Hiperlink" xfId="427" builtinId="8" hidden="1"/>
    <cellStyle name="Hiperlink" xfId="423" builtinId="8" hidden="1"/>
    <cellStyle name="Hiperlink" xfId="419" builtinId="8" hidden="1"/>
    <cellStyle name="Hiperlink" xfId="415" builtinId="8" hidden="1"/>
    <cellStyle name="Hiperlink" xfId="411" builtinId="8" hidden="1"/>
    <cellStyle name="Hiperlink" xfId="407" builtinId="8" hidden="1"/>
    <cellStyle name="Hiperlink" xfId="403" builtinId="8" hidden="1"/>
    <cellStyle name="Hiperlink" xfId="399" builtinId="8" hidden="1"/>
    <cellStyle name="Hiperlink" xfId="395" builtinId="8" hidden="1"/>
    <cellStyle name="Hiperlink" xfId="391" builtinId="8" hidden="1"/>
    <cellStyle name="Hiperlink" xfId="387" builtinId="8" hidden="1"/>
    <cellStyle name="Hiperlink" xfId="383" builtinId="8" hidden="1"/>
    <cellStyle name="Hiperlink" xfId="379" builtinId="8" hidden="1"/>
    <cellStyle name="Hiperlink" xfId="375" builtinId="8" hidden="1"/>
    <cellStyle name="Hiperlink" xfId="371" builtinId="8" hidden="1"/>
    <cellStyle name="Hiperlink" xfId="367" builtinId="8" hidden="1"/>
    <cellStyle name="Hiperlink" xfId="363" builtinId="8" hidden="1"/>
    <cellStyle name="Hiperlink" xfId="359" builtinId="8" hidden="1"/>
    <cellStyle name="Hiperlink" xfId="355" builtinId="8" hidden="1"/>
    <cellStyle name="Hiperlink" xfId="351" builtinId="8" hidden="1"/>
    <cellStyle name="Hiperlink" xfId="347" builtinId="8" hidden="1"/>
    <cellStyle name="Hiperlink" xfId="343" builtinId="8" hidden="1"/>
    <cellStyle name="Hiperlink" xfId="339" builtinId="8" hidden="1"/>
    <cellStyle name="Hiperlink" xfId="335" builtinId="8" hidden="1"/>
    <cellStyle name="Hiperlink" xfId="331" builtinId="8" hidden="1"/>
    <cellStyle name="Hiperlink" xfId="327" builtinId="8" hidden="1"/>
    <cellStyle name="Hiperlink" xfId="323" builtinId="8" hidden="1"/>
    <cellStyle name="Hiperlink" xfId="319" builtinId="8" hidden="1"/>
    <cellStyle name="Hiperlink" xfId="315" builtinId="8" hidden="1"/>
    <cellStyle name="Hiperlink" xfId="311" builtinId="8" hidden="1"/>
    <cellStyle name="Hiperlink" xfId="307" builtinId="8" hidden="1"/>
    <cellStyle name="Hiperlink" xfId="303" builtinId="8" hidden="1"/>
    <cellStyle name="Hiperlink" xfId="299" builtinId="8" hidden="1"/>
    <cellStyle name="Hiperlink" xfId="295" builtinId="8" hidden="1"/>
    <cellStyle name="Hiperlink" xfId="291" builtinId="8" hidden="1"/>
    <cellStyle name="Hiperlink" xfId="287" builtinId="8" hidden="1"/>
    <cellStyle name="Hiperlink" xfId="283" builtinId="8" hidden="1"/>
    <cellStyle name="Hiperlink" xfId="279" builtinId="8" hidden="1"/>
    <cellStyle name="Hiperlink" xfId="275" builtinId="8" hidden="1"/>
    <cellStyle name="Hiperlink" xfId="271" builtinId="8" hidden="1"/>
    <cellStyle name="Hiperlink" xfId="267" builtinId="8" hidden="1"/>
    <cellStyle name="Hiperlink" xfId="263" builtinId="8" hidden="1"/>
    <cellStyle name="Hiperlink" xfId="259" builtinId="8" hidden="1"/>
    <cellStyle name="Hiperlink" xfId="255" builtinId="8" hidden="1"/>
    <cellStyle name="Hiperlink" xfId="251" builtinId="8" hidden="1"/>
    <cellStyle name="Hiperlink" xfId="247" builtinId="8" hidden="1"/>
    <cellStyle name="Hiperlink" xfId="243" builtinId="8" hidden="1"/>
    <cellStyle name="Hiperlink" xfId="239" builtinId="8" hidden="1"/>
    <cellStyle name="Hiperlink" xfId="235" builtinId="8" hidden="1"/>
    <cellStyle name="Hiperlink" xfId="231" builtinId="8" hidden="1"/>
    <cellStyle name="Hiperlink" xfId="227" builtinId="8" hidden="1"/>
    <cellStyle name="Hiperlink" xfId="223" builtinId="8" hidden="1"/>
    <cellStyle name="Hiperlink" xfId="219" builtinId="8" hidden="1"/>
    <cellStyle name="Hiperlink" xfId="215" builtinId="8" hidden="1"/>
    <cellStyle name="Hiperlink" xfId="211" builtinId="8" hidden="1"/>
    <cellStyle name="Hiperlink" xfId="207" builtinId="8" hidden="1"/>
    <cellStyle name="Hiperlink" xfId="203" builtinId="8" hidden="1"/>
    <cellStyle name="Hiperlink" xfId="199" builtinId="8" hidden="1"/>
    <cellStyle name="Hiperlink" xfId="195" builtinId="8" hidden="1"/>
    <cellStyle name="Hiperlink" xfId="191" builtinId="8" hidden="1"/>
    <cellStyle name="Hiperlink" xfId="187" builtinId="8" hidden="1"/>
    <cellStyle name="Hiperlink" xfId="183" builtinId="8" hidden="1"/>
    <cellStyle name="Hiperlink" xfId="179" builtinId="8" hidden="1"/>
    <cellStyle name="Hiperlink" xfId="175" builtinId="8" hidden="1"/>
    <cellStyle name="Hiperlink" xfId="171" builtinId="8" hidden="1"/>
    <cellStyle name="Hiperlink" xfId="167" builtinId="8" hidden="1"/>
    <cellStyle name="Hiperlink" xfId="163" builtinId="8" hidden="1"/>
    <cellStyle name="Hiperlink" xfId="159" builtinId="8" hidden="1"/>
    <cellStyle name="Hiperlink" xfId="155" builtinId="8" hidden="1"/>
    <cellStyle name="Hiperlink" xfId="151" builtinId="8" hidden="1"/>
    <cellStyle name="Hiperlink" xfId="147" builtinId="8" hidden="1"/>
    <cellStyle name="Hiperlink" xfId="143" builtinId="8" hidden="1"/>
    <cellStyle name="Hiperlink" xfId="139" builtinId="8" hidden="1"/>
    <cellStyle name="Hiperlink" xfId="135" builtinId="8" hidden="1"/>
    <cellStyle name="Hiperlink" xfId="131" builtinId="8" hidden="1"/>
    <cellStyle name="Hiperlink" xfId="127" builtinId="8" hidden="1"/>
    <cellStyle name="Hiperlink" xfId="123" builtinId="8" hidden="1"/>
    <cellStyle name="Hiperlink" xfId="119" builtinId="8" hidden="1"/>
    <cellStyle name="Hiperlink" xfId="115" builtinId="8" hidden="1"/>
    <cellStyle name="Hiperlink" xfId="111" builtinId="8" hidden="1"/>
    <cellStyle name="Hiperlink" xfId="107" builtinId="8" hidden="1"/>
    <cellStyle name="Hiperlink" xfId="103" builtinId="8" hidden="1"/>
    <cellStyle name="Hiperlink" xfId="99" builtinId="8" hidden="1"/>
    <cellStyle name="Hiperlink" xfId="95" builtinId="8" hidden="1"/>
    <cellStyle name="Hiperlink" xfId="91" builtinId="8" hidden="1"/>
    <cellStyle name="Hiperlink" xfId="87" builtinId="8" hidden="1"/>
    <cellStyle name="Hiperlink" xfId="83" builtinId="8" hidden="1"/>
    <cellStyle name="Hiperlink" xfId="79" builtinId="8" hidden="1"/>
    <cellStyle name="Hiperlink" xfId="75" builtinId="8" hidden="1"/>
    <cellStyle name="Hiperlink" xfId="71" builtinId="8" hidden="1"/>
    <cellStyle name="Hiperlink" xfId="67" builtinId="8" hidden="1"/>
    <cellStyle name="Hiperlink" xfId="63" builtinId="8" hidden="1"/>
    <cellStyle name="Hiperlink" xfId="23" builtinId="8" hidden="1"/>
    <cellStyle name="Hiperlink" xfId="25" builtinId="8" hidden="1"/>
    <cellStyle name="Hiperlink" xfId="29" builtinId="8" hidden="1"/>
    <cellStyle name="Hiperlink" xfId="31" builtinId="8" hidden="1"/>
    <cellStyle name="Hiperlink" xfId="33" builtinId="8" hidden="1"/>
    <cellStyle name="Hiperlink" xfId="37" builtinId="8" hidden="1"/>
    <cellStyle name="Hiperlink" xfId="39" builtinId="8" hidden="1"/>
    <cellStyle name="Hiperlink" xfId="41" builtinId="8" hidden="1"/>
    <cellStyle name="Hiperlink" xfId="45" builtinId="8" hidden="1"/>
    <cellStyle name="Hiperlink" xfId="47" builtinId="8" hidden="1"/>
    <cellStyle name="Hiperlink" xfId="49" builtinId="8" hidden="1"/>
    <cellStyle name="Hiperlink" xfId="53" builtinId="8" hidden="1"/>
    <cellStyle name="Hiperlink" xfId="55" builtinId="8" hidden="1"/>
    <cellStyle name="Hiperlink" xfId="57" builtinId="8" hidden="1"/>
    <cellStyle name="Hiperlink" xfId="61" builtinId="8" hidden="1"/>
    <cellStyle name="Hiperlink" xfId="59" builtinId="8" hidden="1"/>
    <cellStyle name="Hiperlink" xfId="51" builtinId="8" hidden="1"/>
    <cellStyle name="Hiperlink" xfId="43" builtinId="8" hidden="1"/>
    <cellStyle name="Hiperlink" xfId="35" builtinId="8" hidden="1"/>
    <cellStyle name="Hiperlink" xfId="27" builtinId="8" hidden="1"/>
    <cellStyle name="Hiperlink" xfId="11" builtinId="8" hidden="1"/>
    <cellStyle name="Hiperlink" xfId="13" builtinId="8" hidden="1"/>
    <cellStyle name="Hiperlink" xfId="15" builtinId="8" hidden="1"/>
    <cellStyle name="Hiperlink" xfId="17" builtinId="8" hidden="1"/>
    <cellStyle name="Hiperlink" xfId="21" builtinId="8" hidden="1"/>
    <cellStyle name="Hiperlink" xfId="19" builtinId="8" hidden="1"/>
    <cellStyle name="Hiperlink" xfId="7" builtinId="8" hidden="1"/>
    <cellStyle name="Hiperlink" xfId="9" builtinId="8" hidden="1"/>
    <cellStyle name="Hiperlink" xfId="5" builtinId="8" hidden="1"/>
    <cellStyle name="Hiperlink" xfId="3" builtinId="8" hidden="1"/>
    <cellStyle name="Hiperlink Visitado" xfId="280" builtinId="9" hidden="1"/>
    <cellStyle name="Hiperlink Visitado" xfId="282" builtinId="9" hidden="1"/>
    <cellStyle name="Hiperlink Visitado" xfId="284" builtinId="9" hidden="1"/>
    <cellStyle name="Hiperlink Visitado" xfId="288" builtinId="9" hidden="1"/>
    <cellStyle name="Hiperlink Visitado" xfId="290" builtinId="9" hidden="1"/>
    <cellStyle name="Hiperlink Visitado" xfId="292" builtinId="9" hidden="1"/>
    <cellStyle name="Hiperlink Visitado" xfId="296" builtinId="9" hidden="1"/>
    <cellStyle name="Hiperlink Visitado" xfId="298" builtinId="9" hidden="1"/>
    <cellStyle name="Hiperlink Visitado" xfId="300" builtinId="9" hidden="1"/>
    <cellStyle name="Hiperlink Visitado" xfId="304" builtinId="9" hidden="1"/>
    <cellStyle name="Hiperlink Visitado" xfId="306" builtinId="9" hidden="1"/>
    <cellStyle name="Hiperlink Visitado" xfId="308" builtinId="9" hidden="1"/>
    <cellStyle name="Hiperlink Visitado" xfId="312" builtinId="9" hidden="1"/>
    <cellStyle name="Hiperlink Visitado" xfId="314" builtinId="9" hidden="1"/>
    <cellStyle name="Hiperlink Visitado" xfId="316" builtinId="9" hidden="1"/>
    <cellStyle name="Hiperlink Visitado" xfId="320" builtinId="9" hidden="1"/>
    <cellStyle name="Hiperlink Visitado" xfId="322" builtinId="9" hidden="1"/>
    <cellStyle name="Hiperlink Visitado" xfId="324" builtinId="9" hidden="1"/>
    <cellStyle name="Hiperlink Visitado" xfId="328" builtinId="9" hidden="1"/>
    <cellStyle name="Hiperlink Visitado" xfId="330" builtinId="9" hidden="1"/>
    <cellStyle name="Hiperlink Visitado" xfId="332" builtinId="9" hidden="1"/>
    <cellStyle name="Hiperlink Visitado" xfId="336" builtinId="9" hidden="1"/>
    <cellStyle name="Hiperlink Visitado" xfId="338" builtinId="9" hidden="1"/>
    <cellStyle name="Hiperlink Visitado" xfId="340" builtinId="9" hidden="1"/>
    <cellStyle name="Hiperlink Visitado" xfId="344" builtinId="9" hidden="1"/>
    <cellStyle name="Hiperlink Visitado" xfId="346" builtinId="9" hidden="1"/>
    <cellStyle name="Hiperlink Visitado" xfId="348" builtinId="9" hidden="1"/>
    <cellStyle name="Hiperlink Visitado" xfId="352" builtinId="9" hidden="1"/>
    <cellStyle name="Hiperlink Visitado" xfId="354" builtinId="9" hidden="1"/>
    <cellStyle name="Hiperlink Visitado" xfId="356" builtinId="9" hidden="1"/>
    <cellStyle name="Hiperlink Visitado" xfId="360" builtinId="9" hidden="1"/>
    <cellStyle name="Hiperlink Visitado" xfId="362" builtinId="9" hidden="1"/>
    <cellStyle name="Hiperlink Visitado" xfId="364" builtinId="9" hidden="1"/>
    <cellStyle name="Hiperlink Visitado" xfId="368" builtinId="9" hidden="1"/>
    <cellStyle name="Hiperlink Visitado" xfId="370" builtinId="9" hidden="1"/>
    <cellStyle name="Hiperlink Visitado" xfId="372" builtinId="9" hidden="1"/>
    <cellStyle name="Hiperlink Visitado" xfId="376" builtinId="9" hidden="1"/>
    <cellStyle name="Hiperlink Visitado" xfId="378" builtinId="9" hidden="1"/>
    <cellStyle name="Hiperlink Visitado" xfId="380" builtinId="9" hidden="1"/>
    <cellStyle name="Hiperlink Visitado" xfId="384" builtinId="9" hidden="1"/>
    <cellStyle name="Hiperlink Visitado" xfId="386" builtinId="9" hidden="1"/>
    <cellStyle name="Hiperlink Visitado" xfId="388" builtinId="9" hidden="1"/>
    <cellStyle name="Hiperlink Visitado" xfId="392" builtinId="9" hidden="1"/>
    <cellStyle name="Hiperlink Visitado" xfId="394" builtinId="9" hidden="1"/>
    <cellStyle name="Hiperlink Visitado" xfId="396" builtinId="9" hidden="1"/>
    <cellStyle name="Hiperlink Visitado" xfId="400" builtinId="9" hidden="1"/>
    <cellStyle name="Hiperlink Visitado" xfId="402" builtinId="9" hidden="1"/>
    <cellStyle name="Hiperlink Visitado" xfId="404" builtinId="9" hidden="1"/>
    <cellStyle name="Hiperlink Visitado" xfId="408" builtinId="9" hidden="1"/>
    <cellStyle name="Hiperlink Visitado" xfId="410" builtinId="9" hidden="1"/>
    <cellStyle name="Hiperlink Visitado" xfId="412" builtinId="9" hidden="1"/>
    <cellStyle name="Hiperlink Visitado" xfId="416" builtinId="9" hidden="1"/>
    <cellStyle name="Hiperlink Visitado" xfId="418" builtinId="9" hidden="1"/>
    <cellStyle name="Hiperlink Visitado" xfId="420" builtinId="9" hidden="1"/>
    <cellStyle name="Hiperlink Visitado" xfId="424" builtinId="9" hidden="1"/>
    <cellStyle name="Hiperlink Visitado" xfId="426" builtinId="9" hidden="1"/>
    <cellStyle name="Hiperlink Visitado" xfId="428" builtinId="9" hidden="1"/>
    <cellStyle name="Hiperlink Visitado" xfId="432" builtinId="9" hidden="1"/>
    <cellStyle name="Hiperlink Visitado" xfId="434" builtinId="9" hidden="1"/>
    <cellStyle name="Hiperlink Visitado" xfId="436" builtinId="9" hidden="1"/>
    <cellStyle name="Hiperlink Visitado" xfId="440" builtinId="9" hidden="1"/>
    <cellStyle name="Hiperlink Visitado" xfId="442" builtinId="9" hidden="1"/>
    <cellStyle name="Hiperlink Visitado" xfId="444" builtinId="9" hidden="1"/>
    <cellStyle name="Hiperlink Visitado" xfId="448" builtinId="9" hidden="1"/>
    <cellStyle name="Hiperlink Visitado" xfId="450" builtinId="9" hidden="1"/>
    <cellStyle name="Hiperlink Visitado" xfId="452" builtinId="9" hidden="1"/>
    <cellStyle name="Hiperlink Visitado" xfId="456" builtinId="9" hidden="1"/>
    <cellStyle name="Hiperlink Visitado" xfId="458" builtinId="9" hidden="1"/>
    <cellStyle name="Hiperlink Visitado" xfId="460" builtinId="9" hidden="1"/>
    <cellStyle name="Hiperlink Visitado" xfId="464" builtinId="9" hidden="1"/>
    <cellStyle name="Hiperlink Visitado" xfId="466" builtinId="9" hidden="1"/>
    <cellStyle name="Hiperlink Visitado" xfId="468" builtinId="9" hidden="1"/>
    <cellStyle name="Hiperlink Visitado" xfId="472" builtinId="9" hidden="1"/>
    <cellStyle name="Hiperlink Visitado" xfId="474" builtinId="9" hidden="1"/>
    <cellStyle name="Hiperlink Visitado" xfId="476" builtinId="9" hidden="1"/>
    <cellStyle name="Hiperlink Visitado" xfId="480" builtinId="9" hidden="1"/>
    <cellStyle name="Hiperlink Visitado" xfId="482" builtinId="9" hidden="1"/>
    <cellStyle name="Hiperlink Visitado" xfId="484" builtinId="9" hidden="1"/>
    <cellStyle name="Hiperlink Visitado" xfId="488" builtinId="9" hidden="1"/>
    <cellStyle name="Hiperlink Visitado" xfId="490" builtinId="9" hidden="1"/>
    <cellStyle name="Hiperlink Visitado" xfId="492" builtinId="9" hidden="1"/>
    <cellStyle name="Hiperlink Visitado" xfId="496" builtinId="9" hidden="1"/>
    <cellStyle name="Hiperlink Visitado" xfId="498" builtinId="9" hidden="1"/>
    <cellStyle name="Hiperlink Visitado" xfId="500" builtinId="9" hidden="1"/>
    <cellStyle name="Hiperlink Visitado" xfId="504" builtinId="9" hidden="1"/>
    <cellStyle name="Hiperlink Visitado" xfId="506" builtinId="9" hidden="1"/>
    <cellStyle name="Hiperlink Visitado" xfId="508" builtinId="9" hidden="1"/>
    <cellStyle name="Hiperlink Visitado" xfId="512" builtinId="9" hidden="1"/>
    <cellStyle name="Hiperlink Visitado" xfId="514" builtinId="9" hidden="1"/>
    <cellStyle name="Hiperlink Visitado" xfId="516" builtinId="9" hidden="1"/>
    <cellStyle name="Hiperlink Visitado" xfId="520" builtinId="9" hidden="1"/>
    <cellStyle name="Hiperlink Visitado" xfId="522" builtinId="9" hidden="1"/>
    <cellStyle name="Hiperlink Visitado" xfId="524" builtinId="9" hidden="1"/>
    <cellStyle name="Hiperlink Visitado" xfId="528" builtinId="9" hidden="1"/>
    <cellStyle name="Hiperlink Visitado" xfId="530" builtinId="9" hidden="1"/>
    <cellStyle name="Hiperlink Visitado" xfId="532" builtinId="9" hidden="1"/>
    <cellStyle name="Hiperlink Visitado" xfId="536" builtinId="9" hidden="1"/>
    <cellStyle name="Hiperlink Visitado" xfId="538" builtinId="9" hidden="1"/>
    <cellStyle name="Hiperlink Visitado" xfId="540" builtinId="9" hidden="1"/>
    <cellStyle name="Hiperlink Visitado" xfId="544" builtinId="9" hidden="1"/>
    <cellStyle name="Hiperlink Visitado" xfId="546" builtinId="9" hidden="1"/>
    <cellStyle name="Hiperlink Visitado" xfId="548" builtinId="9" hidden="1"/>
    <cellStyle name="Hiperlink Visitado" xfId="552" builtinId="9" hidden="1"/>
    <cellStyle name="Hiperlink Visitado" xfId="554" builtinId="9" hidden="1"/>
    <cellStyle name="Hiperlink Visitado" xfId="556" builtinId="9" hidden="1"/>
    <cellStyle name="Hiperlink Visitado" xfId="560" builtinId="9" hidden="1"/>
    <cellStyle name="Hiperlink Visitado" xfId="562" builtinId="9" hidden="1"/>
    <cellStyle name="Hiperlink Visitado" xfId="564" builtinId="9" hidden="1"/>
    <cellStyle name="Hiperlink Visitado" xfId="568" builtinId="9" hidden="1"/>
    <cellStyle name="Hiperlink Visitado" xfId="570" builtinId="9" hidden="1"/>
    <cellStyle name="Hiperlink Visitado" xfId="572" builtinId="9" hidden="1"/>
    <cellStyle name="Hiperlink Visitado" xfId="576" builtinId="9" hidden="1"/>
    <cellStyle name="Hiperlink Visitado" xfId="578" builtinId="9" hidden="1"/>
    <cellStyle name="Hiperlink Visitado" xfId="580" builtinId="9" hidden="1"/>
    <cellStyle name="Hiperlink Visitado" xfId="584" builtinId="9" hidden="1"/>
    <cellStyle name="Hiperlink Visitado" xfId="586" builtinId="9" hidden="1"/>
    <cellStyle name="Hiperlink Visitado" xfId="588" builtinId="9" hidden="1"/>
    <cellStyle name="Hiperlink Visitado" xfId="592" builtinId="9" hidden="1"/>
    <cellStyle name="Hiperlink Visitado" xfId="594" builtinId="9" hidden="1"/>
    <cellStyle name="Hiperlink Visitado" xfId="596" builtinId="9" hidden="1"/>
    <cellStyle name="Hiperlink Visitado" xfId="600" builtinId="9" hidden="1"/>
    <cellStyle name="Hiperlink Visitado" xfId="602" builtinId="9" hidden="1"/>
    <cellStyle name="Hiperlink Visitado" xfId="604" builtinId="9" hidden="1"/>
    <cellStyle name="Hiperlink Visitado" xfId="608" builtinId="9" hidden="1"/>
    <cellStyle name="Hiperlink Visitado" xfId="610" builtinId="9" hidden="1"/>
    <cellStyle name="Hiperlink Visitado" xfId="612" builtinId="9" hidden="1"/>
    <cellStyle name="Hiperlink Visitado" xfId="616" builtinId="9" hidden="1"/>
    <cellStyle name="Hiperlink Visitado" xfId="618" builtinId="9" hidden="1"/>
    <cellStyle name="Hiperlink Visitado" xfId="620" builtinId="9" hidden="1"/>
    <cellStyle name="Hiperlink Visitado" xfId="624" builtinId="9" hidden="1"/>
    <cellStyle name="Hiperlink Visitado" xfId="626" builtinId="9" hidden="1"/>
    <cellStyle name="Hiperlink Visitado" xfId="628" builtinId="9" hidden="1"/>
    <cellStyle name="Hiperlink Visitado" xfId="632" builtinId="9" hidden="1"/>
    <cellStyle name="Hiperlink Visitado" xfId="634" builtinId="9" hidden="1"/>
    <cellStyle name="Hiperlink Visitado" xfId="636" builtinId="9" hidden="1"/>
    <cellStyle name="Hiperlink Visitado" xfId="640" builtinId="9" hidden="1"/>
    <cellStyle name="Hiperlink Visitado" xfId="642" builtinId="9" hidden="1"/>
    <cellStyle name="Hiperlink Visitado" xfId="644" builtinId="9" hidden="1"/>
    <cellStyle name="Hiperlink Visitado" xfId="648" builtinId="9" hidden="1"/>
    <cellStyle name="Hiperlink Visitado" xfId="650" builtinId="9" hidden="1"/>
    <cellStyle name="Hiperlink Visitado" xfId="652" builtinId="9" hidden="1"/>
    <cellStyle name="Hiperlink Visitado" xfId="656" builtinId="9" hidden="1"/>
    <cellStyle name="Hiperlink Visitado" xfId="658" builtinId="9" hidden="1"/>
    <cellStyle name="Hiperlink Visitado" xfId="660" builtinId="9" hidden="1"/>
    <cellStyle name="Hiperlink Visitado" xfId="664" builtinId="9" hidden="1"/>
    <cellStyle name="Hiperlink Visitado" xfId="666" builtinId="9" hidden="1"/>
    <cellStyle name="Hiperlink Visitado" xfId="668" builtinId="9" hidden="1"/>
    <cellStyle name="Hiperlink Visitado" xfId="672" builtinId="9" hidden="1"/>
    <cellStyle name="Hiperlink Visitado" xfId="674" builtinId="9" hidden="1"/>
    <cellStyle name="Hiperlink Visitado" xfId="676" builtinId="9" hidden="1"/>
    <cellStyle name="Hiperlink Visitado" xfId="680" builtinId="9" hidden="1"/>
    <cellStyle name="Hiperlink Visitado" xfId="682" builtinId="9" hidden="1"/>
    <cellStyle name="Hiperlink Visitado" xfId="684" builtinId="9" hidden="1"/>
    <cellStyle name="Hiperlink Visitado" xfId="688" builtinId="9" hidden="1"/>
    <cellStyle name="Hiperlink Visitado" xfId="690" builtinId="9" hidden="1"/>
    <cellStyle name="Hiperlink Visitado" xfId="692" builtinId="9" hidden="1"/>
    <cellStyle name="Hiperlink Visitado" xfId="696" builtinId="9" hidden="1"/>
    <cellStyle name="Hiperlink Visitado" xfId="698" builtinId="9" hidden="1"/>
    <cellStyle name="Hiperlink Visitado" xfId="700" builtinId="9" hidden="1"/>
    <cellStyle name="Hiperlink Visitado" xfId="704" builtinId="9" hidden="1"/>
    <cellStyle name="Hiperlink Visitado" xfId="706" builtinId="9" hidden="1"/>
    <cellStyle name="Hiperlink Visitado" xfId="708" builtinId="9" hidden="1"/>
    <cellStyle name="Hiperlink Visitado" xfId="712" builtinId="9" hidden="1"/>
    <cellStyle name="Hiperlink Visitado" xfId="714" builtinId="9" hidden="1"/>
    <cellStyle name="Hiperlink Visitado" xfId="716" builtinId="9" hidden="1"/>
    <cellStyle name="Hiperlink Visitado" xfId="720" builtinId="9" hidden="1"/>
    <cellStyle name="Hiperlink Visitado" xfId="722" builtinId="9" hidden="1"/>
    <cellStyle name="Hiperlink Visitado" xfId="724" builtinId="9" hidden="1"/>
    <cellStyle name="Hiperlink Visitado" xfId="728" builtinId="9" hidden="1"/>
    <cellStyle name="Hiperlink Visitado" xfId="730" builtinId="9" hidden="1"/>
    <cellStyle name="Hiperlink Visitado" xfId="732" builtinId="9" hidden="1"/>
    <cellStyle name="Hiperlink Visitado" xfId="736" builtinId="9" hidden="1"/>
    <cellStyle name="Hiperlink Visitado" xfId="738" builtinId="9" hidden="1"/>
    <cellStyle name="Hiperlink Visitado" xfId="740" builtinId="9" hidden="1"/>
    <cellStyle name="Hiperlink Visitado" xfId="744" builtinId="9" hidden="1"/>
    <cellStyle name="Hiperlink Visitado" xfId="746" builtinId="9" hidden="1"/>
    <cellStyle name="Hiperlink Visitado" xfId="748" builtinId="9" hidden="1"/>
    <cellStyle name="Hiperlink Visitado" xfId="752" builtinId="9" hidden="1"/>
    <cellStyle name="Hiperlink Visitado" xfId="754" builtinId="9" hidden="1"/>
    <cellStyle name="Hiperlink Visitado" xfId="756" builtinId="9" hidden="1"/>
    <cellStyle name="Hiperlink Visitado" xfId="760" builtinId="9" hidden="1"/>
    <cellStyle name="Hiperlink Visitado" xfId="762" builtinId="9" hidden="1"/>
    <cellStyle name="Hiperlink Visitado" xfId="764" builtinId="9" hidden="1"/>
    <cellStyle name="Hiperlink Visitado" xfId="768" builtinId="9" hidden="1"/>
    <cellStyle name="Hiperlink Visitado" xfId="766" builtinId="9" hidden="1"/>
    <cellStyle name="Hiperlink Visitado" xfId="758" builtinId="9" hidden="1"/>
    <cellStyle name="Hiperlink Visitado" xfId="750" builtinId="9" hidden="1"/>
    <cellStyle name="Hiperlink Visitado" xfId="742" builtinId="9" hidden="1"/>
    <cellStyle name="Hiperlink Visitado" xfId="734" builtinId="9" hidden="1"/>
    <cellStyle name="Hiperlink Visitado" xfId="726" builtinId="9" hidden="1"/>
    <cellStyle name="Hiperlink Visitado" xfId="718" builtinId="9" hidden="1"/>
    <cellStyle name="Hiperlink Visitado" xfId="710" builtinId="9" hidden="1"/>
    <cellStyle name="Hiperlink Visitado" xfId="702" builtinId="9" hidden="1"/>
    <cellStyle name="Hiperlink Visitado" xfId="694" builtinId="9" hidden="1"/>
    <cellStyle name="Hiperlink Visitado" xfId="686" builtinId="9" hidden="1"/>
    <cellStyle name="Hiperlink Visitado" xfId="678" builtinId="9" hidden="1"/>
    <cellStyle name="Hiperlink Visitado" xfId="670" builtinId="9" hidden="1"/>
    <cellStyle name="Hiperlink Visitado" xfId="662" builtinId="9" hidden="1"/>
    <cellStyle name="Hiperlink Visitado" xfId="654" builtinId="9" hidden="1"/>
    <cellStyle name="Hiperlink Visitado" xfId="646" builtinId="9" hidden="1"/>
    <cellStyle name="Hiperlink Visitado" xfId="638" builtinId="9" hidden="1"/>
    <cellStyle name="Hiperlink Visitado" xfId="630" builtinId="9" hidden="1"/>
    <cellStyle name="Hiperlink Visitado" xfId="622" builtinId="9" hidden="1"/>
    <cellStyle name="Hiperlink Visitado" xfId="614" builtinId="9" hidden="1"/>
    <cellStyle name="Hiperlink Visitado" xfId="606" builtinId="9" hidden="1"/>
    <cellStyle name="Hiperlink Visitado" xfId="598" builtinId="9" hidden="1"/>
    <cellStyle name="Hiperlink Visitado" xfId="590" builtinId="9" hidden="1"/>
    <cellStyle name="Hiperlink Visitado" xfId="582" builtinId="9" hidden="1"/>
    <cellStyle name="Hiperlink Visitado" xfId="574" builtinId="9" hidden="1"/>
    <cellStyle name="Hiperlink Visitado" xfId="566" builtinId="9" hidden="1"/>
    <cellStyle name="Hiperlink Visitado" xfId="558" builtinId="9" hidden="1"/>
    <cellStyle name="Hiperlink Visitado" xfId="550" builtinId="9" hidden="1"/>
    <cellStyle name="Hiperlink Visitado" xfId="542" builtinId="9" hidden="1"/>
    <cellStyle name="Hiperlink Visitado" xfId="534" builtinId="9" hidden="1"/>
    <cellStyle name="Hiperlink Visitado" xfId="526" builtinId="9" hidden="1"/>
    <cellStyle name="Hiperlink Visitado" xfId="518" builtinId="9" hidden="1"/>
    <cellStyle name="Hiperlink Visitado" xfId="510" builtinId="9" hidden="1"/>
    <cellStyle name="Hiperlink Visitado" xfId="502" builtinId="9" hidden="1"/>
    <cellStyle name="Hiperlink Visitado" xfId="494" builtinId="9" hidden="1"/>
    <cellStyle name="Hiperlink Visitado" xfId="486" builtinId="9" hidden="1"/>
    <cellStyle name="Hiperlink Visitado" xfId="478" builtinId="9" hidden="1"/>
    <cellStyle name="Hiperlink Visitado" xfId="470" builtinId="9" hidden="1"/>
    <cellStyle name="Hiperlink Visitado" xfId="462" builtinId="9" hidden="1"/>
    <cellStyle name="Hiperlink Visitado" xfId="454" builtinId="9" hidden="1"/>
    <cellStyle name="Hiperlink Visitado" xfId="446" builtinId="9" hidden="1"/>
    <cellStyle name="Hiperlink Visitado" xfId="438" builtinId="9" hidden="1"/>
    <cellStyle name="Hiperlink Visitado" xfId="430" builtinId="9" hidden="1"/>
    <cellStyle name="Hiperlink Visitado" xfId="422" builtinId="9" hidden="1"/>
    <cellStyle name="Hiperlink Visitado" xfId="414" builtinId="9" hidden="1"/>
    <cellStyle name="Hiperlink Visitado" xfId="406" builtinId="9" hidden="1"/>
    <cellStyle name="Hiperlink Visitado" xfId="398" builtinId="9" hidden="1"/>
    <cellStyle name="Hiperlink Visitado" xfId="390" builtinId="9" hidden="1"/>
    <cellStyle name="Hiperlink Visitado" xfId="382" builtinId="9" hidden="1"/>
    <cellStyle name="Hiperlink Visitado" xfId="374" builtinId="9" hidden="1"/>
    <cellStyle name="Hiperlink Visitado" xfId="366" builtinId="9" hidden="1"/>
    <cellStyle name="Hiperlink Visitado" xfId="358" builtinId="9" hidden="1"/>
    <cellStyle name="Hiperlink Visitado" xfId="350" builtinId="9" hidden="1"/>
    <cellStyle name="Hiperlink Visitado" xfId="342" builtinId="9" hidden="1"/>
    <cellStyle name="Hiperlink Visitado" xfId="334" builtinId="9" hidden="1"/>
    <cellStyle name="Hiperlink Visitado" xfId="326" builtinId="9" hidden="1"/>
    <cellStyle name="Hiperlink Visitado" xfId="318" builtinId="9" hidden="1"/>
    <cellStyle name="Hiperlink Visitado" xfId="310" builtinId="9" hidden="1"/>
    <cellStyle name="Hiperlink Visitado" xfId="302" builtinId="9" hidden="1"/>
    <cellStyle name="Hiperlink Visitado" xfId="294" builtinId="9" hidden="1"/>
    <cellStyle name="Hiperlink Visitado" xfId="286" builtinId="9" hidden="1"/>
    <cellStyle name="Hiperlink Visitado" xfId="278" builtinId="9" hidden="1"/>
    <cellStyle name="Hiperlink Visitado" xfId="122" builtinId="9" hidden="1"/>
    <cellStyle name="Hiperlink Visitado" xfId="124" builtinId="9" hidden="1"/>
    <cellStyle name="Hiperlink Visitado" xfId="126" builtinId="9" hidden="1"/>
    <cellStyle name="Hiperlink Visitado" xfId="128" builtinId="9" hidden="1"/>
    <cellStyle name="Hiperlink Visitado" xfId="130" builtinId="9" hidden="1"/>
    <cellStyle name="Hiperlink Visitado" xfId="132" builtinId="9" hidden="1"/>
    <cellStyle name="Hiperlink Visitado" xfId="136" builtinId="9" hidden="1"/>
    <cellStyle name="Hiperlink Visitado" xfId="138" builtinId="9" hidden="1"/>
    <cellStyle name="Hiperlink Visitado" xfId="140" builtinId="9" hidden="1"/>
    <cellStyle name="Hiperlink Visitado" xfId="142" builtinId="9" hidden="1"/>
    <cellStyle name="Hiperlink Visitado" xfId="144" builtinId="9" hidden="1"/>
    <cellStyle name="Hiperlink Visitado" xfId="146" builtinId="9" hidden="1"/>
    <cellStyle name="Hiperlink Visitado" xfId="148" builtinId="9" hidden="1"/>
    <cellStyle name="Hiperlink Visitado" xfId="152" builtinId="9" hidden="1"/>
    <cellStyle name="Hiperlink Visitado" xfId="154" builtinId="9" hidden="1"/>
    <cellStyle name="Hiperlink Visitado" xfId="156" builtinId="9" hidden="1"/>
    <cellStyle name="Hiperlink Visitado" xfId="158" builtinId="9" hidden="1"/>
    <cellStyle name="Hiperlink Visitado" xfId="160" builtinId="9" hidden="1"/>
    <cellStyle name="Hiperlink Visitado" xfId="162" builtinId="9" hidden="1"/>
    <cellStyle name="Hiperlink Visitado" xfId="164" builtinId="9" hidden="1"/>
    <cellStyle name="Hiperlink Visitado" xfId="168" builtinId="9" hidden="1"/>
    <cellStyle name="Hiperlink Visitado" xfId="170" builtinId="9" hidden="1"/>
    <cellStyle name="Hiperlink Visitado" xfId="172" builtinId="9" hidden="1"/>
    <cellStyle name="Hiperlink Visitado" xfId="174" builtinId="9" hidden="1"/>
    <cellStyle name="Hiperlink Visitado" xfId="176" builtinId="9" hidden="1"/>
    <cellStyle name="Hiperlink Visitado" xfId="178" builtinId="9" hidden="1"/>
    <cellStyle name="Hiperlink Visitado" xfId="180" builtinId="9" hidden="1"/>
    <cellStyle name="Hiperlink Visitado" xfId="184" builtinId="9" hidden="1"/>
    <cellStyle name="Hiperlink Visitado" xfId="186" builtinId="9" hidden="1"/>
    <cellStyle name="Hiperlink Visitado" xfId="188" builtinId="9" hidden="1"/>
    <cellStyle name="Hiperlink Visitado" xfId="190" builtinId="9" hidden="1"/>
    <cellStyle name="Hiperlink Visitado" xfId="192" builtinId="9" hidden="1"/>
    <cellStyle name="Hiperlink Visitado" xfId="194" builtinId="9" hidden="1"/>
    <cellStyle name="Hiperlink Visitado" xfId="196" builtinId="9" hidden="1"/>
    <cellStyle name="Hiperlink Visitado" xfId="200" builtinId="9" hidden="1"/>
    <cellStyle name="Hiperlink Visitado" xfId="202" builtinId="9" hidden="1"/>
    <cellStyle name="Hiperlink Visitado" xfId="204" builtinId="9" hidden="1"/>
    <cellStyle name="Hiperlink Visitado" xfId="206" builtinId="9" hidden="1"/>
    <cellStyle name="Hiperlink Visitado" xfId="208" builtinId="9" hidden="1"/>
    <cellStyle name="Hiperlink Visitado" xfId="210" builtinId="9" hidden="1"/>
    <cellStyle name="Hiperlink Visitado" xfId="212" builtinId="9" hidden="1"/>
    <cellStyle name="Hiperlink Visitado" xfId="216" builtinId="9" hidden="1"/>
    <cellStyle name="Hiperlink Visitado" xfId="218" builtinId="9" hidden="1"/>
    <cellStyle name="Hiperlink Visitado" xfId="220" builtinId="9" hidden="1"/>
    <cellStyle name="Hiperlink Visitado" xfId="222" builtinId="9" hidden="1"/>
    <cellStyle name="Hiperlink Visitado" xfId="224" builtinId="9" hidden="1"/>
    <cellStyle name="Hiperlink Visitado" xfId="226" builtinId="9" hidden="1"/>
    <cellStyle name="Hiperlink Visitado" xfId="228" builtinId="9" hidden="1"/>
    <cellStyle name="Hiperlink Visitado" xfId="232" builtinId="9" hidden="1"/>
    <cellStyle name="Hiperlink Visitado" xfId="234" builtinId="9" hidden="1"/>
    <cellStyle name="Hiperlink Visitado" xfId="236" builtinId="9" hidden="1"/>
    <cellStyle name="Hiperlink Visitado" xfId="238" builtinId="9" hidden="1"/>
    <cellStyle name="Hiperlink Visitado" xfId="240" builtinId="9" hidden="1"/>
    <cellStyle name="Hiperlink Visitado" xfId="242" builtinId="9" hidden="1"/>
    <cellStyle name="Hiperlink Visitado" xfId="244" builtinId="9" hidden="1"/>
    <cellStyle name="Hiperlink Visitado" xfId="248" builtinId="9" hidden="1"/>
    <cellStyle name="Hiperlink Visitado" xfId="250" builtinId="9" hidden="1"/>
    <cellStyle name="Hiperlink Visitado" xfId="252" builtinId="9" hidden="1"/>
    <cellStyle name="Hiperlink Visitado" xfId="254" builtinId="9" hidden="1"/>
    <cellStyle name="Hiperlink Visitado" xfId="256" builtinId="9" hidden="1"/>
    <cellStyle name="Hiperlink Visitado" xfId="258" builtinId="9" hidden="1"/>
    <cellStyle name="Hiperlink Visitado" xfId="260" builtinId="9" hidden="1"/>
    <cellStyle name="Hiperlink Visitado" xfId="264" builtinId="9" hidden="1"/>
    <cellStyle name="Hiperlink Visitado" xfId="266" builtinId="9" hidden="1"/>
    <cellStyle name="Hiperlink Visitado" xfId="268" builtinId="9" hidden="1"/>
    <cellStyle name="Hiperlink Visitado" xfId="270" builtinId="9" hidden="1"/>
    <cellStyle name="Hiperlink Visitado" xfId="272" builtinId="9" hidden="1"/>
    <cellStyle name="Hiperlink Visitado" xfId="274" builtinId="9" hidden="1"/>
    <cellStyle name="Hiperlink Visitado" xfId="276" builtinId="9" hidden="1"/>
    <cellStyle name="Hiperlink Visitado" xfId="262" builtinId="9" hidden="1"/>
    <cellStyle name="Hiperlink Visitado" xfId="246" builtinId="9" hidden="1"/>
    <cellStyle name="Hiperlink Visitado" xfId="230" builtinId="9" hidden="1"/>
    <cellStyle name="Hiperlink Visitado" xfId="214" builtinId="9" hidden="1"/>
    <cellStyle name="Hiperlink Visitado" xfId="198" builtinId="9" hidden="1"/>
    <cellStyle name="Hiperlink Visitado" xfId="182" builtinId="9" hidden="1"/>
    <cellStyle name="Hiperlink Visitado" xfId="166" builtinId="9" hidden="1"/>
    <cellStyle name="Hiperlink Visitado" xfId="150" builtinId="9" hidden="1"/>
    <cellStyle name="Hiperlink Visitado" xfId="134" builtinId="9" hidden="1"/>
    <cellStyle name="Hiperlink Visitado" xfId="58" builtinId="9" hidden="1"/>
    <cellStyle name="Hiperlink Visitado" xfId="60" builtinId="9" hidden="1"/>
    <cellStyle name="Hiperlink Visitado" xfId="62" builtinId="9" hidden="1"/>
    <cellStyle name="Hiperlink Visitado" xfId="64" builtinId="9" hidden="1"/>
    <cellStyle name="Hiperlink Visitado" xfId="66" builtinId="9" hidden="1"/>
    <cellStyle name="Hiperlink Visitado" xfId="68" builtinId="9" hidden="1"/>
    <cellStyle name="Hiperlink Visitado" xfId="72" builtinId="9" hidden="1"/>
    <cellStyle name="Hiperlink Visitado" xfId="74" builtinId="9" hidden="1"/>
    <cellStyle name="Hiperlink Visitado" xfId="76" builtinId="9" hidden="1"/>
    <cellStyle name="Hiperlink Visitado" xfId="78" builtinId="9" hidden="1"/>
    <cellStyle name="Hiperlink Visitado" xfId="80" builtinId="9" hidden="1"/>
    <cellStyle name="Hiperlink Visitado" xfId="82" builtinId="9" hidden="1"/>
    <cellStyle name="Hiperlink Visitado" xfId="84" builtinId="9" hidden="1"/>
    <cellStyle name="Hiperlink Visitado" xfId="86" builtinId="9" hidden="1"/>
    <cellStyle name="Hiperlink Visitado" xfId="88" builtinId="9" hidden="1"/>
    <cellStyle name="Hiperlink Visitado" xfId="90" builtinId="9" hidden="1"/>
    <cellStyle name="Hiperlink Visitado" xfId="92" builtinId="9" hidden="1"/>
    <cellStyle name="Hiperlink Visitado" xfId="94" builtinId="9" hidden="1"/>
    <cellStyle name="Hiperlink Visitado" xfId="96" builtinId="9" hidden="1"/>
    <cellStyle name="Hiperlink Visitado" xfId="98" builtinId="9" hidden="1"/>
    <cellStyle name="Hiperlink Visitado" xfId="100" builtinId="9" hidden="1"/>
    <cellStyle name="Hiperlink Visitado" xfId="104" builtinId="9" hidden="1"/>
    <cellStyle name="Hiperlink Visitado" xfId="106" builtinId="9" hidden="1"/>
    <cellStyle name="Hiperlink Visitado" xfId="108" builtinId="9" hidden="1"/>
    <cellStyle name="Hiperlink Visitado" xfId="110" builtinId="9" hidden="1"/>
    <cellStyle name="Hiperlink Visitado" xfId="112" builtinId="9" hidden="1"/>
    <cellStyle name="Hiperlink Visitado" xfId="114" builtinId="9" hidden="1"/>
    <cellStyle name="Hiperlink Visitado" xfId="116" builtinId="9" hidden="1"/>
    <cellStyle name="Hiperlink Visitado" xfId="118" builtinId="9" hidden="1"/>
    <cellStyle name="Hiperlink Visitado" xfId="120" builtinId="9" hidden="1"/>
    <cellStyle name="Hiperlink Visitado" xfId="102" builtinId="9" hidden="1"/>
    <cellStyle name="Hiperlink Visitado" xfId="70" builtinId="9" hidden="1"/>
    <cellStyle name="Hiperlink Visitado" xfId="30" builtinId="9" hidden="1"/>
    <cellStyle name="Hiperlink Visitado" xfId="32" builtinId="9" hidden="1"/>
    <cellStyle name="Hiperlink Visitado" xfId="34" builtinId="9" hidden="1"/>
    <cellStyle name="Hiperlink Visitado" xfId="36" builtinId="9" hidden="1"/>
    <cellStyle name="Hiperlink Visitado" xfId="38" builtinId="9" hidden="1"/>
    <cellStyle name="Hiperlink Visitado" xfId="40" builtinId="9" hidden="1"/>
    <cellStyle name="Hiperlink Visitado" xfId="42" builtinId="9" hidden="1"/>
    <cellStyle name="Hiperlink Visitado" xfId="44" builtinId="9" hidden="1"/>
    <cellStyle name="Hiperlink Visitado" xfId="46" builtinId="9" hidden="1"/>
    <cellStyle name="Hiperlink Visitado" xfId="48" builtinId="9" hidden="1"/>
    <cellStyle name="Hiperlink Visitado" xfId="50" builtinId="9" hidden="1"/>
    <cellStyle name="Hiperlink Visitado" xfId="52" builtinId="9" hidden="1"/>
    <cellStyle name="Hiperlink Visitado" xfId="54" builtinId="9" hidden="1"/>
    <cellStyle name="Hiperlink Visitado" xfId="56" builtinId="9" hidden="1"/>
    <cellStyle name="Hiperlink Visitado" xfId="16" builtinId="9" hidden="1"/>
    <cellStyle name="Hiperlink Visitado" xfId="18" builtinId="9" hidden="1"/>
    <cellStyle name="Hiperlink Visitado" xfId="20" builtinId="9" hidden="1"/>
    <cellStyle name="Hiperlink Visitado" xfId="22" builtinId="9" hidden="1"/>
    <cellStyle name="Hiperlink Visitado" xfId="24" builtinId="9" hidden="1"/>
    <cellStyle name="Hiperlink Visitado" xfId="26" builtinId="9" hidden="1"/>
    <cellStyle name="Hiperlink Visitado" xfId="28" builtinId="9" hidden="1"/>
    <cellStyle name="Hiperlink Visitado" xfId="10" builtinId="9" hidden="1"/>
    <cellStyle name="Hiperlink Visitado" xfId="12" builtinId="9" hidden="1"/>
    <cellStyle name="Hiperlink Visitado" xfId="14" builtinId="9" hidden="1"/>
    <cellStyle name="Hiperlink Visitado" xfId="6" builtinId="9" hidden="1"/>
    <cellStyle name="Hiperlink Visitado" xfId="8" builtinId="9" hidden="1"/>
    <cellStyle name="Hiperlink Visitado" xfId="4" builtinId="9" hidden="1"/>
    <cellStyle name="Moeda" xfId="1" builtinId="4"/>
    <cellStyle name="Normal" xfId="0" builtinId="0"/>
    <cellStyle name="Porcentagem" xfId="2" builtinId="5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736600</xdr:colOff>
      <xdr:row>11</xdr:row>
      <xdr:rowOff>88900</xdr:rowOff>
    </xdr:from>
    <xdr:to>
      <xdr:col>9</xdr:col>
      <xdr:colOff>914400</xdr:colOff>
      <xdr:row>32</xdr:row>
      <xdr:rowOff>190500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973300" y="2184400"/>
          <a:ext cx="6426200" cy="4445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3" tint="0.39997558519241921"/>
  </sheetPr>
  <dimension ref="A1:O54"/>
  <sheetViews>
    <sheetView showGridLines="0" tabSelected="1" topLeftCell="A28" workbookViewId="0">
      <selection activeCell="F34" sqref="F34"/>
    </sheetView>
  </sheetViews>
  <sheetFormatPr defaultColWidth="11" defaultRowHeight="15.75" x14ac:dyDescent="0.25"/>
  <cols>
    <col min="1" max="1" width="25.625" bestFit="1" customWidth="1"/>
    <col min="2" max="2" width="50.5" bestFit="1" customWidth="1"/>
    <col min="3" max="3" width="15.125" bestFit="1" customWidth="1"/>
    <col min="4" max="4" width="27" bestFit="1" customWidth="1"/>
    <col min="5" max="5" width="28.625" customWidth="1"/>
    <col min="6" max="6" width="39.5" bestFit="1" customWidth="1"/>
    <col min="7" max="7" width="11.125" bestFit="1" customWidth="1"/>
    <col min="8" max="8" width="64.625" bestFit="1" customWidth="1"/>
    <col min="9" max="9" width="17.375" bestFit="1" customWidth="1"/>
    <col min="10" max="10" width="19.375" customWidth="1"/>
    <col min="11" max="11" width="13.5" bestFit="1" customWidth="1"/>
    <col min="12" max="12" width="12.625" customWidth="1"/>
    <col min="13" max="13" width="13.375" customWidth="1"/>
    <col min="15" max="15" width="14.125" bestFit="1" customWidth="1"/>
    <col min="16" max="16" width="19.375" bestFit="1" customWidth="1"/>
  </cols>
  <sheetData>
    <row r="1" spans="1:15" ht="15" customHeight="1" x14ac:dyDescent="0.25">
      <c r="A1" s="253" t="s">
        <v>0</v>
      </c>
      <c r="B1" s="253"/>
      <c r="C1" s="253"/>
    </row>
    <row r="2" spans="1:15" ht="15" customHeight="1" x14ac:dyDescent="0.25">
      <c r="A2" s="253"/>
      <c r="B2" s="253"/>
      <c r="C2" s="253"/>
      <c r="F2" t="s">
        <v>1</v>
      </c>
      <c r="H2" s="214">
        <v>125000</v>
      </c>
    </row>
    <row r="3" spans="1:15" ht="15" customHeight="1" x14ac:dyDescent="0.25">
      <c r="A3" s="253"/>
      <c r="B3" s="253"/>
      <c r="C3" s="253"/>
      <c r="F3" t="s">
        <v>2</v>
      </c>
      <c r="H3" s="84">
        <v>137000</v>
      </c>
    </row>
    <row r="4" spans="1:15" ht="15" customHeight="1" x14ac:dyDescent="0.25">
      <c r="A4" s="253"/>
      <c r="B4" s="253"/>
      <c r="C4" s="253"/>
      <c r="F4" t="s">
        <v>3</v>
      </c>
    </row>
    <row r="5" spans="1:15" ht="15" customHeight="1" x14ac:dyDescent="0.25">
      <c r="A5" s="254" t="s">
        <v>4</v>
      </c>
      <c r="B5" s="254"/>
      <c r="C5" s="254"/>
    </row>
    <row r="6" spans="1:15" ht="15" customHeight="1" x14ac:dyDescent="0.25">
      <c r="B6" t="s">
        <v>5</v>
      </c>
      <c r="C6" s="3">
        <v>42705</v>
      </c>
      <c r="E6" s="55"/>
      <c r="F6" s="55"/>
      <c r="G6" s="55"/>
      <c r="H6" s="55" t="s">
        <v>6</v>
      </c>
    </row>
    <row r="7" spans="1:15" ht="15" customHeight="1" x14ac:dyDescent="0.25">
      <c r="B7" t="s">
        <v>7</v>
      </c>
      <c r="C7">
        <v>0</v>
      </c>
      <c r="E7" s="55" t="s">
        <v>8</v>
      </c>
      <c r="F7" s="55" t="s">
        <v>9</v>
      </c>
      <c r="G7" s="210">
        <v>110250</v>
      </c>
      <c r="H7" s="55"/>
    </row>
    <row r="8" spans="1:15" ht="15" customHeight="1" x14ac:dyDescent="0.25">
      <c r="B8" t="s">
        <v>10</v>
      </c>
      <c r="C8" s="3">
        <f>EDATE(C6,C7)</f>
        <v>42705</v>
      </c>
      <c r="E8" s="55" t="s">
        <v>11</v>
      </c>
      <c r="F8" s="55" t="s">
        <v>12</v>
      </c>
      <c r="G8" s="210">
        <f>19500</f>
        <v>19500</v>
      </c>
      <c r="H8" s="55" t="s">
        <v>13</v>
      </c>
    </row>
    <row r="9" spans="1:15" ht="15" customHeight="1" x14ac:dyDescent="0.25">
      <c r="B9" t="s">
        <v>14</v>
      </c>
      <c r="C9">
        <v>2</v>
      </c>
      <c r="E9" s="55" t="s">
        <v>15</v>
      </c>
      <c r="F9" s="55" t="s">
        <v>16</v>
      </c>
      <c r="G9" s="210">
        <v>13450</v>
      </c>
      <c r="H9" s="55" t="s">
        <v>17</v>
      </c>
    </row>
    <row r="10" spans="1:15" ht="15" customHeight="1" x14ac:dyDescent="0.25">
      <c r="B10" s="59" t="s">
        <v>18</v>
      </c>
      <c r="C10" s="79">
        <f>EDATE(C6,C9)</f>
        <v>42767</v>
      </c>
      <c r="E10" s="55"/>
      <c r="F10" s="55"/>
      <c r="G10" s="211">
        <f>SUM(G7:G9)</f>
        <v>143200</v>
      </c>
      <c r="H10" s="55"/>
      <c r="N10" s="1"/>
      <c r="O10" s="1"/>
    </row>
    <row r="11" spans="1:15" ht="15" customHeight="1" x14ac:dyDescent="0.25">
      <c r="B11" t="s">
        <v>19</v>
      </c>
      <c r="C11">
        <v>2</v>
      </c>
    </row>
    <row r="12" spans="1:15" ht="15" customHeight="1" x14ac:dyDescent="0.25">
      <c r="B12" t="s">
        <v>20</v>
      </c>
      <c r="C12" s="3">
        <f>EDATE(C15,C11)</f>
        <v>44652</v>
      </c>
      <c r="F12" t="s">
        <v>21</v>
      </c>
      <c r="G12" s="211">
        <v>600</v>
      </c>
    </row>
    <row r="13" spans="1:15" ht="15" customHeight="1" x14ac:dyDescent="0.25">
      <c r="A13" s="259" t="s">
        <v>22</v>
      </c>
      <c r="B13" s="55" t="s">
        <v>23</v>
      </c>
      <c r="C13" s="55">
        <v>60</v>
      </c>
      <c r="F13" s="55" t="s">
        <v>24</v>
      </c>
      <c r="G13" s="211">
        <v>500</v>
      </c>
    </row>
    <row r="14" spans="1:15" ht="15" customHeight="1" x14ac:dyDescent="0.25">
      <c r="A14" s="259"/>
      <c r="B14" s="55" t="s">
        <v>25</v>
      </c>
      <c r="C14" s="55">
        <v>0</v>
      </c>
      <c r="F14" s="55" t="s">
        <v>26</v>
      </c>
      <c r="G14">
        <v>2150</v>
      </c>
    </row>
    <row r="15" spans="1:15" ht="15" customHeight="1" x14ac:dyDescent="0.25">
      <c r="A15" s="259"/>
      <c r="B15" s="55" t="s">
        <v>27</v>
      </c>
      <c r="C15" s="167">
        <f>EDATE(C10,C13)</f>
        <v>44593</v>
      </c>
    </row>
    <row r="16" spans="1:15" ht="15" customHeight="1" x14ac:dyDescent="0.25">
      <c r="A16" s="259"/>
      <c r="B16" s="55" t="s">
        <v>20</v>
      </c>
      <c r="C16" s="167">
        <f>EDATE(C15,2)</f>
        <v>44652</v>
      </c>
    </row>
    <row r="17" spans="1:8" x14ac:dyDescent="0.25">
      <c r="A17" s="259"/>
      <c r="B17" s="55" t="s">
        <v>28</v>
      </c>
      <c r="C17" s="181"/>
    </row>
    <row r="18" spans="1:8" x14ac:dyDescent="0.25">
      <c r="A18" s="254" t="s">
        <v>29</v>
      </c>
      <c r="B18" s="254"/>
      <c r="C18" s="254"/>
    </row>
    <row r="19" spans="1:8" x14ac:dyDescent="0.25">
      <c r="B19" t="s">
        <v>30</v>
      </c>
      <c r="C19">
        <v>12</v>
      </c>
      <c r="E19" s="258" t="s">
        <v>31</v>
      </c>
      <c r="F19" s="258"/>
    </row>
    <row r="20" spans="1:8" x14ac:dyDescent="0.25">
      <c r="B20" t="s">
        <v>32</v>
      </c>
      <c r="C20" s="3">
        <f>EDATE(C10,C19)</f>
        <v>43132</v>
      </c>
      <c r="E20" s="258"/>
      <c r="F20" s="258"/>
    </row>
    <row r="21" spans="1:8" x14ac:dyDescent="0.25">
      <c r="B21" t="s">
        <v>33</v>
      </c>
      <c r="C21" t="s">
        <v>34</v>
      </c>
      <c r="E21" s="55" t="s">
        <v>35</v>
      </c>
      <c r="F21" s="55" t="s">
        <v>36</v>
      </c>
    </row>
    <row r="22" spans="1:8" ht="23.25" x14ac:dyDescent="0.35">
      <c r="B22" s="59" t="s">
        <v>37</v>
      </c>
      <c r="C22" s="60">
        <v>0.03</v>
      </c>
      <c r="D22" s="223" t="s">
        <v>38</v>
      </c>
      <c r="E22" s="222">
        <f>C33</f>
        <v>257000</v>
      </c>
      <c r="F22" s="232">
        <v>0</v>
      </c>
    </row>
    <row r="23" spans="1:8" x14ac:dyDescent="0.25">
      <c r="A23" s="254" t="s">
        <v>39</v>
      </c>
      <c r="B23" s="254"/>
      <c r="C23" s="254"/>
      <c r="D23" s="195">
        <v>0.25</v>
      </c>
      <c r="E23" s="177">
        <f t="shared" ref="E23:E29" si="0">E22*(1-D23)</f>
        <v>192750</v>
      </c>
      <c r="F23" s="209">
        <v>1</v>
      </c>
    </row>
    <row r="24" spans="1:8" x14ac:dyDescent="0.25">
      <c r="A24" s="95" t="s">
        <v>40</v>
      </c>
      <c r="B24" s="95" t="s">
        <v>41</v>
      </c>
      <c r="C24" s="143" t="s">
        <v>42</v>
      </c>
      <c r="D24" s="215">
        <v>0.13</v>
      </c>
      <c r="E24" s="154">
        <f t="shared" si="0"/>
        <v>167692.5</v>
      </c>
      <c r="F24" s="232">
        <v>2</v>
      </c>
    </row>
    <row r="25" spans="1:8" x14ac:dyDescent="0.25">
      <c r="A25" s="95" t="s">
        <v>43</v>
      </c>
      <c r="B25" s="95" t="s">
        <v>41</v>
      </c>
      <c r="C25" s="143" t="s">
        <v>42</v>
      </c>
      <c r="D25" s="195">
        <v>0.13</v>
      </c>
      <c r="E25" s="177">
        <f t="shared" si="0"/>
        <v>145892.47500000001</v>
      </c>
      <c r="F25" s="209">
        <v>3</v>
      </c>
    </row>
    <row r="26" spans="1:8" x14ac:dyDescent="0.25">
      <c r="A26" s="233" t="s">
        <v>22</v>
      </c>
      <c r="B26" s="55" t="s">
        <v>44</v>
      </c>
      <c r="C26" s="94"/>
      <c r="D26" s="195">
        <v>0.13</v>
      </c>
      <c r="E26" s="176">
        <f t="shared" si="0"/>
        <v>126926.45325000001</v>
      </c>
      <c r="F26" s="232">
        <v>4</v>
      </c>
    </row>
    <row r="27" spans="1:8" x14ac:dyDescent="0.25">
      <c r="A27" s="233"/>
      <c r="B27" s="55"/>
      <c r="C27" s="94"/>
      <c r="D27" s="195">
        <v>0.13</v>
      </c>
      <c r="E27" s="230">
        <f t="shared" si="0"/>
        <v>110426.0143275</v>
      </c>
      <c r="F27" s="209">
        <v>5</v>
      </c>
    </row>
    <row r="28" spans="1:8" ht="16.5" thickBot="1" x14ac:dyDescent="0.3">
      <c r="A28" s="254" t="s">
        <v>45</v>
      </c>
      <c r="B28" s="254"/>
      <c r="C28" s="254"/>
      <c r="D28" s="225">
        <v>0.2</v>
      </c>
      <c r="E28" s="176">
        <f t="shared" si="0"/>
        <v>88340.811462000012</v>
      </c>
      <c r="F28" s="232">
        <v>6</v>
      </c>
    </row>
    <row r="29" spans="1:8" ht="16.5" thickBot="1" x14ac:dyDescent="0.3">
      <c r="A29" s="221" t="s">
        <v>46</v>
      </c>
      <c r="B29" s="92" t="s">
        <v>47</v>
      </c>
      <c r="C29" s="93">
        <v>257000</v>
      </c>
      <c r="D29" s="225">
        <v>0.2</v>
      </c>
      <c r="E29" s="230">
        <f t="shared" si="0"/>
        <v>70672.649169600016</v>
      </c>
      <c r="F29" s="209">
        <v>7</v>
      </c>
      <c r="H29" s="176">
        <f>C32</f>
        <v>257000</v>
      </c>
    </row>
    <row r="30" spans="1:8" ht="16.5" thickBot="1" x14ac:dyDescent="0.3">
      <c r="A30" s="91" t="s">
        <v>48</v>
      </c>
      <c r="B30" s="92" t="s">
        <v>47</v>
      </c>
      <c r="C30" s="93"/>
      <c r="D30" s="225">
        <v>0.13</v>
      </c>
      <c r="E30" s="176">
        <f t="shared" ref="E30:E32" si="1">E29*(1-D30)</f>
        <v>61485.204777552011</v>
      </c>
      <c r="F30" s="232">
        <v>8</v>
      </c>
    </row>
    <row r="31" spans="1:8" ht="16.5" thickBot="1" x14ac:dyDescent="0.3">
      <c r="A31" s="91" t="s">
        <v>49</v>
      </c>
      <c r="B31" s="92" t="s">
        <v>50</v>
      </c>
      <c r="C31" s="93"/>
      <c r="D31" s="225">
        <v>0.13</v>
      </c>
      <c r="E31" s="230">
        <f t="shared" si="1"/>
        <v>53492.128156470251</v>
      </c>
      <c r="F31" s="209">
        <v>9</v>
      </c>
    </row>
    <row r="32" spans="1:8" ht="30" customHeight="1" thickBot="1" x14ac:dyDescent="0.3">
      <c r="A32" s="185" t="s">
        <v>51</v>
      </c>
      <c r="B32" s="92" t="s">
        <v>47</v>
      </c>
      <c r="C32" s="93">
        <f>C29+C30</f>
        <v>257000</v>
      </c>
      <c r="D32" s="225">
        <v>0.13</v>
      </c>
      <c r="E32" s="176">
        <f t="shared" si="1"/>
        <v>46538.151496129118</v>
      </c>
      <c r="F32" s="232">
        <v>10</v>
      </c>
    </row>
    <row r="33" spans="1:6" ht="30" customHeight="1" x14ac:dyDescent="0.25">
      <c r="A33" s="166" t="s">
        <v>52</v>
      </c>
      <c r="B33" t="s">
        <v>47</v>
      </c>
      <c r="C33" s="90">
        <f>SUM(C31:C32)</f>
        <v>257000</v>
      </c>
      <c r="E33" s="154">
        <f>1*0.8*0.85</f>
        <v>0.68</v>
      </c>
    </row>
    <row r="34" spans="1:6" ht="16.5" thickBot="1" x14ac:dyDescent="0.3">
      <c r="A34" s="231" t="s">
        <v>53</v>
      </c>
      <c r="B34" s="231"/>
      <c r="C34" s="231"/>
      <c r="E34" s="217" t="s">
        <v>54</v>
      </c>
      <c r="F34" s="219">
        <v>5.8000000000000003E-2</v>
      </c>
    </row>
    <row r="35" spans="1:6" ht="33" customHeight="1" thickBot="1" x14ac:dyDescent="0.3">
      <c r="A35" s="186" t="s">
        <v>55</v>
      </c>
      <c r="B35" s="168"/>
      <c r="C35" s="169">
        <v>10</v>
      </c>
      <c r="D35" s="176">
        <f>C30*0.3</f>
        <v>0</v>
      </c>
      <c r="E35" s="154"/>
      <c r="F35" s="176"/>
    </row>
    <row r="36" spans="1:6" ht="30.95" customHeight="1" thickBot="1" x14ac:dyDescent="0.3">
      <c r="A36" s="91" t="str">
        <f>A29</f>
        <v>express</v>
      </c>
      <c r="B36" s="92" t="s">
        <v>47</v>
      </c>
      <c r="C36" s="93">
        <v>43838.938709353628</v>
      </c>
      <c r="D36" s="176" t="s">
        <v>56</v>
      </c>
      <c r="E36" s="154"/>
      <c r="F36" s="176"/>
    </row>
    <row r="37" spans="1:6" x14ac:dyDescent="0.25">
      <c r="A37" s="254" t="s">
        <v>57</v>
      </c>
      <c r="B37" s="254"/>
      <c r="C37" s="254"/>
      <c r="E37" s="154"/>
      <c r="F37" s="176"/>
    </row>
    <row r="38" spans="1:6" x14ac:dyDescent="0.25">
      <c r="A38" s="255" t="s">
        <v>58</v>
      </c>
      <c r="B38" s="255"/>
      <c r="C38" s="42">
        <v>0.25</v>
      </c>
      <c r="E38" s="154"/>
    </row>
    <row r="39" spans="1:6" ht="16.5" thickBot="1" x14ac:dyDescent="0.3">
      <c r="A39" s="255" t="s">
        <v>59</v>
      </c>
      <c r="B39" s="256"/>
      <c r="C39" s="159">
        <f>C38/12</f>
        <v>2.0833333333333332E-2</v>
      </c>
      <c r="D39" s="231"/>
      <c r="E39" s="231"/>
    </row>
    <row r="40" spans="1:6" ht="32.25" thickBot="1" x14ac:dyDescent="0.3">
      <c r="A40" s="255" t="s">
        <v>60</v>
      </c>
      <c r="B40" s="255"/>
      <c r="C40" s="187">
        <f>C32</f>
        <v>257000</v>
      </c>
      <c r="D40" s="170" t="s">
        <v>61</v>
      </c>
      <c r="E40" s="171" t="s">
        <v>62</v>
      </c>
    </row>
    <row r="41" spans="1:6" ht="16.5" thickBot="1" x14ac:dyDescent="0.3">
      <c r="A41" s="260" t="s">
        <v>63</v>
      </c>
      <c r="B41" s="257"/>
      <c r="C41" s="188">
        <f>C40*C39</f>
        <v>5354.1666666666661</v>
      </c>
      <c r="D41" s="179">
        <f>C36/(C29+C30)</f>
        <v>0.17057952805195964</v>
      </c>
      <c r="E41" s="179">
        <f>1-D41</f>
        <v>0.82942047194804036</v>
      </c>
    </row>
    <row r="42" spans="1:6" ht="16.5" thickBot="1" x14ac:dyDescent="0.3">
      <c r="A42" s="257" t="s">
        <v>64</v>
      </c>
      <c r="B42" s="257"/>
      <c r="C42" s="201">
        <f>SUM(Cashflow!H21:EG21)</f>
        <v>256999.9999999998</v>
      </c>
    </row>
    <row r="43" spans="1:6" ht="16.5" thickBot="1" x14ac:dyDescent="0.3">
      <c r="A43" s="257"/>
      <c r="B43" s="257"/>
      <c r="C43" s="201"/>
    </row>
    <row r="44" spans="1:6" x14ac:dyDescent="0.25">
      <c r="A44" s="252" t="s">
        <v>65</v>
      </c>
      <c r="B44" s="252"/>
      <c r="C44" s="252"/>
      <c r="D44" s="224">
        <f>C36+35000</f>
        <v>78838.938709353621</v>
      </c>
    </row>
    <row r="45" spans="1:6" x14ac:dyDescent="0.25">
      <c r="B45" s="5"/>
      <c r="C45" s="5" t="s">
        <v>66</v>
      </c>
    </row>
    <row r="46" spans="1:6" x14ac:dyDescent="0.25">
      <c r="B46" s="5" t="s">
        <v>67</v>
      </c>
      <c r="C46" s="35">
        <v>6.4999999999999997E-3</v>
      </c>
    </row>
    <row r="47" spans="1:6" x14ac:dyDescent="0.25">
      <c r="B47" s="5" t="s">
        <v>68</v>
      </c>
      <c r="C47" s="36">
        <v>0.03</v>
      </c>
    </row>
    <row r="48" spans="1:6" x14ac:dyDescent="0.25">
      <c r="B48" s="5" t="s">
        <v>69</v>
      </c>
      <c r="C48" s="36">
        <v>3.6999999999999998E-2</v>
      </c>
    </row>
    <row r="54" ht="27" customHeight="1" x14ac:dyDescent="0.25"/>
  </sheetData>
  <mergeCells count="15">
    <mergeCell ref="E19:F20"/>
    <mergeCell ref="A13:A17"/>
    <mergeCell ref="A40:B40"/>
    <mergeCell ref="A41:B41"/>
    <mergeCell ref="A42:B42"/>
    <mergeCell ref="A44:C44"/>
    <mergeCell ref="A1:C4"/>
    <mergeCell ref="A37:C37"/>
    <mergeCell ref="A38:B38"/>
    <mergeCell ref="A39:B39"/>
    <mergeCell ref="A5:C5"/>
    <mergeCell ref="A18:C18"/>
    <mergeCell ref="A23:C23"/>
    <mergeCell ref="A28:C28"/>
    <mergeCell ref="A43:B43"/>
  </mergeCells>
  <pageMargins left="0.75" right="0.75" top="1" bottom="1" header="0.5" footer="0.5"/>
  <pageSetup paperSize="9" orientation="portrait" horizontalDpi="4294967292" verticalDpi="4294967292"/>
  <drawing r:id="rId1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8000"/>
  </sheetPr>
  <dimension ref="A1:XEO96"/>
  <sheetViews>
    <sheetView showGridLines="0" topLeftCell="F1" zoomScale="90" zoomScaleNormal="90" zoomScalePageLayoutView="90" workbookViewId="0">
      <pane xSplit="5" ySplit="9" topLeftCell="AQ61" activePane="bottomRight" state="frozen"/>
      <selection pane="topRight" activeCell="K1" sqref="K1"/>
      <selection pane="bottomLeft" activeCell="F15" sqref="F15"/>
      <selection pane="bottomRight" activeCell="H68" sqref="H68"/>
    </sheetView>
  </sheetViews>
  <sheetFormatPr defaultColWidth="11" defaultRowHeight="15.75" x14ac:dyDescent="0.25"/>
  <cols>
    <col min="1" max="5" width="10.875" hidden="1" customWidth="1"/>
    <col min="6" max="6" width="3.625" customWidth="1"/>
    <col min="7" max="7" width="51.875" customWidth="1"/>
    <col min="8" max="8" width="19.125" bestFit="1" customWidth="1"/>
    <col min="9" max="9" width="10.875" customWidth="1"/>
    <col min="10" max="10" width="13.625" bestFit="1" customWidth="1"/>
    <col min="11" max="11" width="12.5" customWidth="1"/>
  </cols>
  <sheetData>
    <row r="1" spans="1:132" x14ac:dyDescent="0.25">
      <c r="G1" s="235" t="s">
        <v>70</v>
      </c>
      <c r="H1" s="236"/>
    </row>
    <row r="2" spans="1:132" ht="15.95" customHeight="1" x14ac:dyDescent="0.25">
      <c r="G2" s="85" t="s">
        <v>71</v>
      </c>
      <c r="H2" s="86">
        <f>Dados!C13</f>
        <v>60</v>
      </c>
    </row>
    <row r="3" spans="1:132" ht="32.1" customHeight="1" x14ac:dyDescent="0.25">
      <c r="G3" s="85" t="s">
        <v>72</v>
      </c>
      <c r="H3" s="207" t="str">
        <f>Dados!A29</f>
        <v>express</v>
      </c>
    </row>
    <row r="4" spans="1:132" x14ac:dyDescent="0.25">
      <c r="G4" s="85" t="s">
        <v>73</v>
      </c>
      <c r="H4" s="86">
        <f>Dados!C14</f>
        <v>0</v>
      </c>
    </row>
    <row r="5" spans="1:132" x14ac:dyDescent="0.25">
      <c r="G5" s="237"/>
      <c r="H5" s="237"/>
      <c r="I5" s="101"/>
      <c r="J5" s="238" t="s">
        <v>74</v>
      </c>
      <c r="K5" s="238"/>
      <c r="L5" s="238"/>
      <c r="M5" s="238"/>
      <c r="N5" s="238"/>
      <c r="O5" s="238"/>
      <c r="P5" s="238"/>
      <c r="Q5" s="238"/>
      <c r="R5" s="238"/>
      <c r="S5" s="238"/>
      <c r="T5" s="238"/>
      <c r="U5" s="238"/>
      <c r="V5" s="239" t="s">
        <v>75</v>
      </c>
      <c r="W5" s="239"/>
      <c r="X5" s="239"/>
      <c r="Y5" s="239"/>
      <c r="Z5" s="239"/>
      <c r="AA5" s="239"/>
      <c r="AB5" s="239"/>
      <c r="AC5" s="239"/>
      <c r="AD5" s="239"/>
      <c r="AE5" s="239"/>
      <c r="AF5" s="239"/>
      <c r="AG5" s="239"/>
      <c r="AH5" s="240" t="s">
        <v>76</v>
      </c>
      <c r="AI5" s="240"/>
      <c r="AJ5" s="240"/>
      <c r="AK5" s="240"/>
      <c r="AL5" s="240"/>
      <c r="AM5" s="240"/>
      <c r="AN5" s="240"/>
      <c r="AO5" s="240"/>
      <c r="AP5" s="240"/>
      <c r="AQ5" s="240"/>
      <c r="AR5" s="240"/>
      <c r="AS5" s="240"/>
      <c r="AT5" s="249" t="s">
        <v>77</v>
      </c>
      <c r="AU5" s="249"/>
      <c r="AV5" s="249"/>
      <c r="AW5" s="249"/>
      <c r="AX5" s="249"/>
      <c r="AY5" s="249"/>
      <c r="AZ5" s="249"/>
      <c r="BA5" s="249"/>
      <c r="BB5" s="249"/>
      <c r="BC5" s="249"/>
      <c r="BD5" s="249"/>
      <c r="BE5" s="249"/>
      <c r="BF5" s="250" t="s">
        <v>78</v>
      </c>
      <c r="BG5" s="250"/>
      <c r="BH5" s="250"/>
      <c r="BI5" s="250"/>
      <c r="BJ5" s="250"/>
      <c r="BK5" s="250"/>
      <c r="BL5" s="250"/>
      <c r="BM5" s="250"/>
      <c r="BN5" s="250"/>
      <c r="BO5" s="250"/>
      <c r="BP5" s="250"/>
      <c r="BQ5" s="250"/>
      <c r="BR5" s="251" t="s">
        <v>79</v>
      </c>
      <c r="BS5" s="251"/>
      <c r="BT5" s="251"/>
      <c r="BU5" s="251"/>
      <c r="BV5" s="251"/>
      <c r="BW5" s="251"/>
      <c r="BX5" s="251"/>
      <c r="BY5" s="251"/>
      <c r="BZ5" s="251"/>
      <c r="CA5" s="251"/>
      <c r="CB5" s="251"/>
      <c r="CC5" s="251"/>
      <c r="CD5" s="243" t="s">
        <v>80</v>
      </c>
      <c r="CE5" s="243"/>
      <c r="CF5" s="243"/>
      <c r="CG5" s="243"/>
      <c r="CH5" s="243"/>
      <c r="CI5" s="243"/>
      <c r="CJ5" s="243"/>
      <c r="CK5" s="243"/>
      <c r="CL5" s="243"/>
      <c r="CM5" s="243"/>
      <c r="CN5" s="243"/>
      <c r="CO5" s="243"/>
      <c r="CP5" s="241" t="s">
        <v>81</v>
      </c>
      <c r="CQ5" s="241"/>
      <c r="CR5" s="241"/>
      <c r="CS5" s="241"/>
      <c r="CT5" s="241"/>
      <c r="CU5" s="241"/>
      <c r="CV5" s="241"/>
      <c r="CW5" s="241"/>
      <c r="CX5" s="241"/>
      <c r="CY5" s="241"/>
      <c r="CZ5" s="241"/>
      <c r="DA5" s="241"/>
      <c r="DB5" s="242" t="s">
        <v>82</v>
      </c>
      <c r="DC5" s="242"/>
      <c r="DD5" s="242"/>
      <c r="DE5" s="242"/>
      <c r="DF5" s="242"/>
      <c r="DG5" s="242"/>
      <c r="DH5" s="242"/>
      <c r="DI5" s="242"/>
      <c r="DJ5" s="242"/>
      <c r="DK5" s="242"/>
      <c r="DL5" s="242"/>
      <c r="DM5" s="242"/>
      <c r="DN5" s="243" t="s">
        <v>83</v>
      </c>
      <c r="DO5" s="243"/>
      <c r="DP5" s="243"/>
      <c r="DQ5" s="243"/>
      <c r="DR5" s="243"/>
      <c r="DS5" s="243"/>
      <c r="DT5" s="243"/>
      <c r="DU5" s="243"/>
      <c r="DV5" s="243"/>
      <c r="DW5" s="243"/>
      <c r="DX5" s="243"/>
      <c r="DY5" s="243"/>
      <c r="DZ5" s="208" t="s">
        <v>84</v>
      </c>
      <c r="EA5" s="208"/>
      <c r="EB5" s="208"/>
    </row>
    <row r="6" spans="1:132" x14ac:dyDescent="0.25">
      <c r="E6">
        <v>6</v>
      </c>
      <c r="DZ6" s="102"/>
      <c r="EA6" s="102"/>
      <c r="EB6" s="102"/>
    </row>
    <row r="7" spans="1:132" x14ac:dyDescent="0.25">
      <c r="G7" s="5"/>
      <c r="H7" s="14">
        <v>43282</v>
      </c>
      <c r="I7" s="14">
        <f>EDATE(H7,1)</f>
        <v>43313</v>
      </c>
      <c r="J7" s="14">
        <f t="shared" ref="J7:T7" si="0">EDATE(I7,1)</f>
        <v>43344</v>
      </c>
      <c r="K7" s="14">
        <f t="shared" si="0"/>
        <v>43374</v>
      </c>
      <c r="L7" s="14">
        <f t="shared" si="0"/>
        <v>43405</v>
      </c>
      <c r="M7" s="14">
        <f t="shared" si="0"/>
        <v>43435</v>
      </c>
      <c r="N7" s="14">
        <f t="shared" si="0"/>
        <v>43466</v>
      </c>
      <c r="O7" s="14">
        <f t="shared" si="0"/>
        <v>43497</v>
      </c>
      <c r="P7" s="14">
        <f t="shared" si="0"/>
        <v>43525</v>
      </c>
      <c r="Q7" s="14">
        <f t="shared" si="0"/>
        <v>43556</v>
      </c>
      <c r="R7" s="14">
        <f t="shared" si="0"/>
        <v>43586</v>
      </c>
      <c r="S7" s="14">
        <f t="shared" si="0"/>
        <v>43617</v>
      </c>
      <c r="T7" s="14">
        <f t="shared" si="0"/>
        <v>43647</v>
      </c>
      <c r="U7" s="14">
        <f>EDATE(T7,1)</f>
        <v>43678</v>
      </c>
      <c r="V7" s="14">
        <f t="shared" ref="V7:AG7" si="1">EDATE(U7,1)</f>
        <v>43709</v>
      </c>
      <c r="W7" s="14">
        <f t="shared" si="1"/>
        <v>43739</v>
      </c>
      <c r="X7" s="14">
        <f t="shared" si="1"/>
        <v>43770</v>
      </c>
      <c r="Y7" s="14">
        <f t="shared" si="1"/>
        <v>43800</v>
      </c>
      <c r="Z7" s="14">
        <f t="shared" si="1"/>
        <v>43831</v>
      </c>
      <c r="AA7" s="14">
        <f t="shared" si="1"/>
        <v>43862</v>
      </c>
      <c r="AB7" s="14">
        <f t="shared" si="1"/>
        <v>43891</v>
      </c>
      <c r="AC7" s="14">
        <f t="shared" si="1"/>
        <v>43922</v>
      </c>
      <c r="AD7" s="14">
        <f t="shared" si="1"/>
        <v>43952</v>
      </c>
      <c r="AE7" s="14">
        <f t="shared" si="1"/>
        <v>43983</v>
      </c>
      <c r="AF7" s="14">
        <f t="shared" si="1"/>
        <v>44013</v>
      </c>
      <c r="AG7" s="14">
        <f t="shared" si="1"/>
        <v>44044</v>
      </c>
      <c r="AH7" s="14">
        <f>EDATE(AG7,1)</f>
        <v>44075</v>
      </c>
      <c r="AI7" s="14">
        <f t="shared" ref="AI7:AS7" si="2">EDATE(AH7,1)</f>
        <v>44105</v>
      </c>
      <c r="AJ7" s="14">
        <f t="shared" si="2"/>
        <v>44136</v>
      </c>
      <c r="AK7" s="14">
        <f t="shared" si="2"/>
        <v>44166</v>
      </c>
      <c r="AL7" s="14">
        <f t="shared" si="2"/>
        <v>44197</v>
      </c>
      <c r="AM7" s="14">
        <f t="shared" si="2"/>
        <v>44228</v>
      </c>
      <c r="AN7" s="14">
        <f t="shared" si="2"/>
        <v>44256</v>
      </c>
      <c r="AO7" s="14">
        <f t="shared" si="2"/>
        <v>44287</v>
      </c>
      <c r="AP7" s="14">
        <f t="shared" si="2"/>
        <v>44317</v>
      </c>
      <c r="AQ7" s="14">
        <f t="shared" si="2"/>
        <v>44348</v>
      </c>
      <c r="AR7" s="14">
        <f t="shared" si="2"/>
        <v>44378</v>
      </c>
      <c r="AS7" s="14">
        <f t="shared" si="2"/>
        <v>44409</v>
      </c>
      <c r="AT7" s="14">
        <f>EDATE(AS7,1)</f>
        <v>44440</v>
      </c>
      <c r="AU7" s="14">
        <f t="shared" ref="AU7" si="3">EDATE(AT7,1)</f>
        <v>44470</v>
      </c>
      <c r="AV7" s="14">
        <f t="shared" ref="AV7" si="4">EDATE(AU7,1)</f>
        <v>44501</v>
      </c>
      <c r="AW7" s="14">
        <f t="shared" ref="AW7" si="5">EDATE(AV7,1)</f>
        <v>44531</v>
      </c>
      <c r="AX7" s="14">
        <f t="shared" ref="AX7" si="6">EDATE(AW7,1)</f>
        <v>44562</v>
      </c>
      <c r="AY7" s="14">
        <f t="shared" ref="AY7" si="7">EDATE(AX7,1)</f>
        <v>44593</v>
      </c>
      <c r="AZ7" s="14">
        <f t="shared" ref="AZ7" si="8">EDATE(AY7,1)</f>
        <v>44621</v>
      </c>
      <c r="BA7" s="14">
        <f t="shared" ref="BA7" si="9">EDATE(AZ7,1)</f>
        <v>44652</v>
      </c>
      <c r="BB7" s="14">
        <f t="shared" ref="BB7" si="10">EDATE(BA7,1)</f>
        <v>44682</v>
      </c>
      <c r="BC7" s="14">
        <f t="shared" ref="BC7" si="11">EDATE(BB7,1)</f>
        <v>44713</v>
      </c>
      <c r="BD7" s="14">
        <f t="shared" ref="BD7" si="12">EDATE(BC7,1)</f>
        <v>44743</v>
      </c>
      <c r="BE7" s="14">
        <f t="shared" ref="BE7" si="13">EDATE(BD7,1)</f>
        <v>44774</v>
      </c>
      <c r="BF7" s="14">
        <f>EDATE(BE7,1)</f>
        <v>44805</v>
      </c>
      <c r="BG7" s="14">
        <f t="shared" ref="BG7" si="14">EDATE(BF7,1)</f>
        <v>44835</v>
      </c>
      <c r="BH7" s="14">
        <f t="shared" ref="BH7" si="15">EDATE(BG7,1)</f>
        <v>44866</v>
      </c>
      <c r="BI7" s="14">
        <f t="shared" ref="BI7" si="16">EDATE(BH7,1)</f>
        <v>44896</v>
      </c>
      <c r="BJ7" s="14">
        <f t="shared" ref="BJ7" si="17">EDATE(BI7,1)</f>
        <v>44927</v>
      </c>
      <c r="BK7" s="14">
        <f t="shared" ref="BK7" si="18">EDATE(BJ7,1)</f>
        <v>44958</v>
      </c>
      <c r="BL7" s="14">
        <f t="shared" ref="BL7" si="19">EDATE(BK7,1)</f>
        <v>44986</v>
      </c>
      <c r="BM7" s="14">
        <f t="shared" ref="BM7" si="20">EDATE(BL7,1)</f>
        <v>45017</v>
      </c>
      <c r="BN7" s="14">
        <f t="shared" ref="BN7" si="21">EDATE(BM7,1)</f>
        <v>45047</v>
      </c>
      <c r="BO7" s="14">
        <f t="shared" ref="BO7" si="22">EDATE(BN7,1)</f>
        <v>45078</v>
      </c>
      <c r="BP7" s="14">
        <f t="shared" ref="BP7:BU7" si="23">EDATE(BJ7,1)</f>
        <v>44958</v>
      </c>
      <c r="BQ7" s="14">
        <f t="shared" si="23"/>
        <v>44986</v>
      </c>
      <c r="BR7" s="14">
        <f t="shared" si="23"/>
        <v>45017</v>
      </c>
      <c r="BS7" s="14">
        <f t="shared" si="23"/>
        <v>45047</v>
      </c>
      <c r="BT7" s="14">
        <f t="shared" si="23"/>
        <v>45078</v>
      </c>
      <c r="BU7" s="14">
        <f t="shared" si="23"/>
        <v>45108</v>
      </c>
      <c r="BV7" s="14">
        <f t="shared" ref="BV7" si="24">EDATE(BU7,1)</f>
        <v>45139</v>
      </c>
      <c r="BW7" s="14">
        <f>EDATE(BV7,1)</f>
        <v>45170</v>
      </c>
      <c r="BX7" s="14">
        <f t="shared" ref="BX7" si="25">EDATE(BW7,1)</f>
        <v>45200</v>
      </c>
      <c r="BY7" s="14">
        <f t="shared" ref="BY7" si="26">EDATE(BX7,1)</f>
        <v>45231</v>
      </c>
      <c r="BZ7" s="14">
        <f t="shared" ref="BZ7" si="27">EDATE(BY7,1)</f>
        <v>45261</v>
      </c>
      <c r="CA7" s="14">
        <f t="shared" ref="CA7" si="28">EDATE(BZ7,1)</f>
        <v>45292</v>
      </c>
      <c r="CB7" s="14">
        <f t="shared" ref="CB7" si="29">EDATE(CA7,1)</f>
        <v>45323</v>
      </c>
      <c r="CC7" s="14">
        <f t="shared" ref="CC7" si="30">EDATE(CB7,1)</f>
        <v>45352</v>
      </c>
      <c r="CD7" s="14">
        <f t="shared" ref="CD7" si="31">EDATE(CC7,1)</f>
        <v>45383</v>
      </c>
      <c r="CE7" s="14">
        <f t="shared" ref="CE7" si="32">EDATE(CD7,1)</f>
        <v>45413</v>
      </c>
      <c r="CF7" s="14">
        <f t="shared" ref="CF7" si="33">EDATE(CE7,1)</f>
        <v>45444</v>
      </c>
      <c r="CG7" s="14">
        <f t="shared" ref="CG7" si="34">EDATE(CF7,1)</f>
        <v>45474</v>
      </c>
      <c r="CH7" s="14">
        <f>EDATE(CG7,1)</f>
        <v>45505</v>
      </c>
      <c r="CI7" s="14">
        <f t="shared" ref="CI7" si="35">EDATE(CH7,1)</f>
        <v>45536</v>
      </c>
      <c r="CJ7" s="14">
        <f t="shared" ref="CJ7" si="36">EDATE(CI7,1)</f>
        <v>45566</v>
      </c>
      <c r="CK7" s="14">
        <f t="shared" ref="CK7" si="37">EDATE(CJ7,1)</f>
        <v>45597</v>
      </c>
      <c r="CL7" s="14">
        <f t="shared" ref="CL7" si="38">EDATE(CK7,1)</f>
        <v>45627</v>
      </c>
      <c r="CM7" s="14">
        <f t="shared" ref="CM7" si="39">EDATE(CL7,1)</f>
        <v>45658</v>
      </c>
      <c r="CN7" s="14">
        <f>EDATE(CL7,1)</f>
        <v>45658</v>
      </c>
      <c r="CO7" s="14">
        <f>EDATE(CM7,1)</f>
        <v>45689</v>
      </c>
      <c r="CP7" s="14">
        <f t="shared" ref="CP7" si="40">EDATE(CO7,1)</f>
        <v>45717</v>
      </c>
      <c r="CQ7" s="14">
        <f t="shared" ref="CQ7" si="41">EDATE(CP7,1)</f>
        <v>45748</v>
      </c>
      <c r="CR7" s="14">
        <f t="shared" ref="CR7" si="42">EDATE(CQ7,1)</f>
        <v>45778</v>
      </c>
      <c r="CS7" s="14">
        <f t="shared" ref="CS7" si="43">EDATE(CR7,1)</f>
        <v>45809</v>
      </c>
      <c r="CT7" s="14">
        <f>EDATE(CS7,1)</f>
        <v>45839</v>
      </c>
      <c r="CU7" s="14">
        <f t="shared" ref="CU7" si="44">EDATE(CT7,1)</f>
        <v>45870</v>
      </c>
      <c r="CV7" s="14">
        <f t="shared" ref="CV7" si="45">EDATE(CU7,1)</f>
        <v>45901</v>
      </c>
      <c r="CW7" s="14">
        <f t="shared" ref="CW7" si="46">EDATE(CV7,1)</f>
        <v>45931</v>
      </c>
      <c r="CX7" s="14">
        <f t="shared" ref="CX7" si="47">EDATE(CW7,1)</f>
        <v>45962</v>
      </c>
      <c r="CY7" s="14">
        <f t="shared" ref="CY7" si="48">EDATE(CX7,1)</f>
        <v>45992</v>
      </c>
      <c r="CZ7" s="14">
        <f>EDATE(CX7,1)</f>
        <v>45992</v>
      </c>
      <c r="DA7" s="14">
        <f>EDATE(CY7,1)</f>
        <v>46023</v>
      </c>
      <c r="DB7" s="14">
        <f t="shared" ref="DB7" si="49">EDATE(DA7,1)</f>
        <v>46054</v>
      </c>
      <c r="DC7" s="14">
        <f t="shared" ref="DC7" si="50">EDATE(DB7,1)</f>
        <v>46082</v>
      </c>
      <c r="DD7" s="14">
        <f t="shared" ref="DD7" si="51">EDATE(DC7,1)</f>
        <v>46113</v>
      </c>
      <c r="DE7" s="14">
        <f t="shared" ref="DE7" si="52">EDATE(DD7,1)</f>
        <v>46143</v>
      </c>
      <c r="DF7" s="14">
        <f>EDATE(DE7,1)</f>
        <v>46174</v>
      </c>
      <c r="DG7" s="14">
        <f t="shared" ref="DG7" si="53">EDATE(DF7,1)</f>
        <v>46204</v>
      </c>
      <c r="DH7" s="14">
        <f t="shared" ref="DH7" si="54">EDATE(DG7,1)</f>
        <v>46235</v>
      </c>
      <c r="DI7" s="14">
        <f t="shared" ref="DI7" si="55">EDATE(DH7,1)</f>
        <v>46266</v>
      </c>
      <c r="DJ7" s="14">
        <f t="shared" ref="DJ7" si="56">EDATE(DI7,1)</f>
        <v>46296</v>
      </c>
      <c r="DK7" s="14">
        <f t="shared" ref="DK7" si="57">EDATE(DJ7,1)</f>
        <v>46327</v>
      </c>
      <c r="DL7" s="14">
        <f>EDATE(DJ7,1)</f>
        <v>46327</v>
      </c>
      <c r="DM7" s="14">
        <f>EDATE(DK7,1)</f>
        <v>46357</v>
      </c>
      <c r="DN7" s="14">
        <f t="shared" ref="DN7" si="58">EDATE(DM7,1)</f>
        <v>46388</v>
      </c>
      <c r="DO7" s="14">
        <f t="shared" ref="DO7" si="59">EDATE(DN7,1)</f>
        <v>46419</v>
      </c>
      <c r="DP7" s="14">
        <f t="shared" ref="DP7" si="60">EDATE(DO7,1)</f>
        <v>46447</v>
      </c>
      <c r="DQ7" s="14">
        <f t="shared" ref="DQ7" si="61">EDATE(DP7,1)</f>
        <v>46478</v>
      </c>
      <c r="DR7" s="14">
        <f>EDATE(DQ7,1)</f>
        <v>46508</v>
      </c>
      <c r="DS7" s="14">
        <f t="shared" ref="DS7" si="62">EDATE(DR7,1)</f>
        <v>46539</v>
      </c>
      <c r="DT7" s="14">
        <f t="shared" ref="DT7" si="63">EDATE(DS7,1)</f>
        <v>46569</v>
      </c>
      <c r="DU7" s="14">
        <f t="shared" ref="DU7" si="64">EDATE(DT7,1)</f>
        <v>46600</v>
      </c>
      <c r="DV7" s="14">
        <f t="shared" ref="DV7" si="65">EDATE(DU7,1)</f>
        <v>46631</v>
      </c>
      <c r="DW7" s="14">
        <f t="shared" ref="DW7" si="66">EDATE(DV7,1)</f>
        <v>46661</v>
      </c>
      <c r="DX7" s="14">
        <f>EDATE(DV7,1)</f>
        <v>46661</v>
      </c>
      <c r="DY7" s="14">
        <f>EDATE(DW7,1)</f>
        <v>46692</v>
      </c>
      <c r="DZ7" s="14">
        <f t="shared" ref="DZ7" si="67">EDATE(CH7,1)</f>
        <v>45536</v>
      </c>
      <c r="EA7" s="14">
        <f t="shared" ref="EA7" si="68">EDATE(DZ7,1)</f>
        <v>45566</v>
      </c>
      <c r="EB7" s="14">
        <f t="shared" ref="EB7" si="69">EDATE(EA7,1)</f>
        <v>45597</v>
      </c>
    </row>
    <row r="8" spans="1:132" x14ac:dyDescent="0.25">
      <c r="G8" s="16" t="s">
        <v>85</v>
      </c>
      <c r="H8" s="15">
        <v>0</v>
      </c>
      <c r="I8" s="15">
        <f>H8+1</f>
        <v>1</v>
      </c>
      <c r="J8" s="15">
        <f>I8+1</f>
        <v>2</v>
      </c>
      <c r="K8" s="15">
        <f t="shared" ref="K8:T8" si="70">J8+1</f>
        <v>3</v>
      </c>
      <c r="L8" s="15">
        <f t="shared" si="70"/>
        <v>4</v>
      </c>
      <c r="M8" s="15">
        <f t="shared" si="70"/>
        <v>5</v>
      </c>
      <c r="N8" s="15">
        <f t="shared" si="70"/>
        <v>6</v>
      </c>
      <c r="O8" s="15">
        <f t="shared" si="70"/>
        <v>7</v>
      </c>
      <c r="P8" s="15">
        <f t="shared" si="70"/>
        <v>8</v>
      </c>
      <c r="Q8" s="15">
        <f t="shared" si="70"/>
        <v>9</v>
      </c>
      <c r="R8" s="15">
        <f t="shared" si="70"/>
        <v>10</v>
      </c>
      <c r="S8" s="15">
        <f t="shared" si="70"/>
        <v>11</v>
      </c>
      <c r="T8" s="15">
        <f t="shared" si="70"/>
        <v>12</v>
      </c>
      <c r="U8" s="15">
        <f>T8+1</f>
        <v>13</v>
      </c>
      <c r="V8" s="15">
        <f t="shared" ref="V8:AG8" si="71">U8+1</f>
        <v>14</v>
      </c>
      <c r="W8" s="15">
        <f t="shared" si="71"/>
        <v>15</v>
      </c>
      <c r="X8" s="15">
        <f t="shared" si="71"/>
        <v>16</v>
      </c>
      <c r="Y8" s="15">
        <f t="shared" si="71"/>
        <v>17</v>
      </c>
      <c r="Z8" s="15">
        <f t="shared" si="71"/>
        <v>18</v>
      </c>
      <c r="AA8" s="15">
        <f t="shared" si="71"/>
        <v>19</v>
      </c>
      <c r="AB8" s="15">
        <f t="shared" si="71"/>
        <v>20</v>
      </c>
      <c r="AC8" s="15">
        <f t="shared" si="71"/>
        <v>21</v>
      </c>
      <c r="AD8" s="15">
        <f t="shared" si="71"/>
        <v>22</v>
      </c>
      <c r="AE8" s="15">
        <f t="shared" si="71"/>
        <v>23</v>
      </c>
      <c r="AF8" s="15">
        <f t="shared" si="71"/>
        <v>24</v>
      </c>
      <c r="AG8" s="15">
        <f t="shared" si="71"/>
        <v>25</v>
      </c>
      <c r="AH8" s="15">
        <f>AG8+1</f>
        <v>26</v>
      </c>
      <c r="AI8" s="15">
        <f t="shared" ref="AI8:AS8" si="72">AH8+1</f>
        <v>27</v>
      </c>
      <c r="AJ8" s="15">
        <f t="shared" si="72"/>
        <v>28</v>
      </c>
      <c r="AK8" s="15">
        <f t="shared" si="72"/>
        <v>29</v>
      </c>
      <c r="AL8" s="15">
        <f t="shared" si="72"/>
        <v>30</v>
      </c>
      <c r="AM8" s="15">
        <f t="shared" si="72"/>
        <v>31</v>
      </c>
      <c r="AN8" s="15">
        <f t="shared" si="72"/>
        <v>32</v>
      </c>
      <c r="AO8" s="15">
        <f t="shared" si="72"/>
        <v>33</v>
      </c>
      <c r="AP8" s="15">
        <f t="shared" si="72"/>
        <v>34</v>
      </c>
      <c r="AQ8" s="15">
        <f t="shared" si="72"/>
        <v>35</v>
      </c>
      <c r="AR8" s="15">
        <f t="shared" si="72"/>
        <v>36</v>
      </c>
      <c r="AS8" s="15">
        <f t="shared" si="72"/>
        <v>37</v>
      </c>
      <c r="AT8" s="15">
        <f t="shared" ref="AT8" si="73">AS8+1</f>
        <v>38</v>
      </c>
      <c r="AU8" s="15">
        <f t="shared" ref="AU8" si="74">AT8+1</f>
        <v>39</v>
      </c>
      <c r="AV8" s="15">
        <f t="shared" ref="AV8" si="75">AU8+1</f>
        <v>40</v>
      </c>
      <c r="AW8" s="15">
        <f t="shared" ref="AW8" si="76">AV8+1</f>
        <v>41</v>
      </c>
      <c r="AX8" s="15">
        <f t="shared" ref="AX8" si="77">AW8+1</f>
        <v>42</v>
      </c>
      <c r="AY8" s="15">
        <f t="shared" ref="AY8:AY9" si="78">AX8+1</f>
        <v>43</v>
      </c>
      <c r="AZ8" s="15">
        <f t="shared" ref="AZ8:AZ9" si="79">AY8+1</f>
        <v>44</v>
      </c>
      <c r="BA8" s="15">
        <f t="shared" ref="BA8:BA9" si="80">AZ8+1</f>
        <v>45</v>
      </c>
      <c r="BB8" s="15">
        <f t="shared" ref="BB8:BB9" si="81">BA8+1</f>
        <v>46</v>
      </c>
      <c r="BC8" s="15">
        <f t="shared" ref="BC8:BC9" si="82">BB8+1</f>
        <v>47</v>
      </c>
      <c r="BD8" s="15">
        <f t="shared" ref="BD8:BD9" si="83">BC8+1</f>
        <v>48</v>
      </c>
      <c r="BE8" s="15">
        <f t="shared" ref="BE8:BE9" si="84">BD8+1</f>
        <v>49</v>
      </c>
      <c r="BF8" s="15">
        <f t="shared" ref="BF8:BF9" si="85">BE8+1</f>
        <v>50</v>
      </c>
      <c r="BG8" s="15">
        <f t="shared" ref="BG8:BG9" si="86">BF8+1</f>
        <v>51</v>
      </c>
      <c r="BH8" s="15">
        <f t="shared" ref="BH8:BH9" si="87">BG8+1</f>
        <v>52</v>
      </c>
      <c r="BI8" s="15">
        <f t="shared" ref="BI8:BI9" si="88">BH8+1</f>
        <v>53</v>
      </c>
      <c r="BJ8" s="15">
        <f t="shared" ref="BJ8:BJ9" si="89">BI8+1</f>
        <v>54</v>
      </c>
      <c r="BK8" s="15">
        <f t="shared" ref="BK8:BK9" si="90">BJ8+1</f>
        <v>55</v>
      </c>
      <c r="BL8" s="15">
        <f t="shared" ref="BL8:BL9" si="91">BK8+1</f>
        <v>56</v>
      </c>
      <c r="BM8" s="15">
        <f t="shared" ref="BM8:BM9" si="92">BL8+1</f>
        <v>57</v>
      </c>
      <c r="BN8" s="15">
        <f t="shared" ref="BN8:BN9" si="93">BM8+1</f>
        <v>58</v>
      </c>
      <c r="BO8" s="15">
        <f t="shared" ref="BO8:BO9" si="94">BN8+1</f>
        <v>59</v>
      </c>
      <c r="BP8" s="15">
        <f t="shared" ref="BP8:BP9" si="95">BO8+1</f>
        <v>60</v>
      </c>
      <c r="BQ8" s="15">
        <f t="shared" ref="BQ8:BQ9" si="96">BP8+1</f>
        <v>61</v>
      </c>
      <c r="BR8" s="15">
        <f t="shared" ref="BR8:BR9" si="97">BQ8+1</f>
        <v>62</v>
      </c>
      <c r="BS8" s="15">
        <f t="shared" ref="BS8:BS9" si="98">BR8+1</f>
        <v>63</v>
      </c>
      <c r="BT8" s="15">
        <f t="shared" ref="BT8:BT9" si="99">BS8+1</f>
        <v>64</v>
      </c>
      <c r="BU8" s="15">
        <f t="shared" ref="BU8:BU9" si="100">BT8+1</f>
        <v>65</v>
      </c>
      <c r="BV8" s="15">
        <f t="shared" ref="BV8:BV9" si="101">BU8+1</f>
        <v>66</v>
      </c>
      <c r="BW8" s="15">
        <f t="shared" ref="BW8:BW9" si="102">BV8+1</f>
        <v>67</v>
      </c>
      <c r="BX8" s="15">
        <f t="shared" ref="BX8:BX9" si="103">BW8+1</f>
        <v>68</v>
      </c>
      <c r="BY8" s="15">
        <f t="shared" ref="BY8:BY9" si="104">BX8+1</f>
        <v>69</v>
      </c>
      <c r="BZ8" s="15">
        <f t="shared" ref="BZ8:BZ9" si="105">BY8+1</f>
        <v>70</v>
      </c>
      <c r="CA8" s="15">
        <f t="shared" ref="CA8:CA9" si="106">BZ8+1</f>
        <v>71</v>
      </c>
      <c r="CB8" s="15">
        <f t="shared" ref="CB8:CB9" si="107">CA8+1</f>
        <v>72</v>
      </c>
      <c r="CC8" s="15">
        <f t="shared" ref="CC8:CC9" si="108">CB8+1</f>
        <v>73</v>
      </c>
      <c r="CD8" s="15">
        <f t="shared" ref="CD8:CD9" si="109">CC8+1</f>
        <v>74</v>
      </c>
      <c r="CE8" s="15">
        <f t="shared" ref="CE8:CE9" si="110">CD8+1</f>
        <v>75</v>
      </c>
      <c r="CF8" s="15">
        <f t="shared" ref="CF8:CF9" si="111">CE8+1</f>
        <v>76</v>
      </c>
      <c r="CG8" s="15">
        <f t="shared" ref="CG8:CG9" si="112">CF8+1</f>
        <v>77</v>
      </c>
      <c r="CH8" s="15">
        <f t="shared" ref="CH8:CH9" si="113">CG8+1</f>
        <v>78</v>
      </c>
      <c r="CI8" s="15">
        <f t="shared" ref="CI8:CI9" si="114">CH8+1</f>
        <v>79</v>
      </c>
      <c r="CJ8" s="15">
        <f t="shared" ref="CJ8:CJ9" si="115">CI8+1</f>
        <v>80</v>
      </c>
      <c r="CK8" s="15">
        <f t="shared" ref="CK8:CK9" si="116">CJ8+1</f>
        <v>81</v>
      </c>
      <c r="CL8" s="15">
        <f t="shared" ref="CL8:CL9" si="117">CK8+1</f>
        <v>82</v>
      </c>
      <c r="CM8" s="15">
        <f t="shared" ref="CM8:CM9" si="118">CL8+1</f>
        <v>83</v>
      </c>
      <c r="CN8" s="15">
        <f t="shared" ref="CN8" si="119">CL8+1</f>
        <v>83</v>
      </c>
      <c r="CO8" s="15">
        <f t="shared" ref="CO8" si="120">CM8+1</f>
        <v>84</v>
      </c>
      <c r="CP8" s="15">
        <f t="shared" ref="CP8:CP9" si="121">CO8+1</f>
        <v>85</v>
      </c>
      <c r="CQ8" s="15">
        <f t="shared" ref="CQ8:CQ9" si="122">CP8+1</f>
        <v>86</v>
      </c>
      <c r="CR8" s="15">
        <f t="shared" ref="CR8:CR9" si="123">CQ8+1</f>
        <v>87</v>
      </c>
      <c r="CS8" s="15">
        <f t="shared" ref="CS8:CS9" si="124">CR8+1</f>
        <v>88</v>
      </c>
      <c r="CT8" s="15">
        <f t="shared" ref="CT8:CT9" si="125">CS8+1</f>
        <v>89</v>
      </c>
      <c r="CU8" s="15">
        <f t="shared" ref="CU8:CU9" si="126">CT8+1</f>
        <v>90</v>
      </c>
      <c r="CV8" s="15">
        <f t="shared" ref="CV8:CV9" si="127">CU8+1</f>
        <v>91</v>
      </c>
      <c r="CW8" s="15">
        <f t="shared" ref="CW8:CW9" si="128">CV8+1</f>
        <v>92</v>
      </c>
      <c r="CX8" s="15">
        <f t="shared" ref="CX8:CX9" si="129">CW8+1</f>
        <v>93</v>
      </c>
      <c r="CY8" s="15">
        <f t="shared" ref="CY8:CY9" si="130">CX8+1</f>
        <v>94</v>
      </c>
      <c r="CZ8" s="15">
        <f t="shared" ref="CZ8" si="131">CX8+1</f>
        <v>94</v>
      </c>
      <c r="DA8" s="15">
        <f t="shared" ref="DA8" si="132">CY8+1</f>
        <v>95</v>
      </c>
      <c r="DB8" s="15">
        <f t="shared" ref="DB8:DB9" si="133">DA8+1</f>
        <v>96</v>
      </c>
      <c r="DC8" s="15">
        <f t="shared" ref="DC8:DC9" si="134">DB8+1</f>
        <v>97</v>
      </c>
      <c r="DD8" s="15">
        <f t="shared" ref="DD8:DD9" si="135">DC8+1</f>
        <v>98</v>
      </c>
      <c r="DE8" s="15">
        <f t="shared" ref="DE8:DE9" si="136">DD8+1</f>
        <v>99</v>
      </c>
      <c r="DF8" s="15">
        <f t="shared" ref="DF8:DF9" si="137">DE8+1</f>
        <v>100</v>
      </c>
      <c r="DG8" s="15">
        <f t="shared" ref="DG8:DG9" si="138">DF8+1</f>
        <v>101</v>
      </c>
      <c r="DH8" s="15">
        <f t="shared" ref="DH8:DH9" si="139">DG8+1</f>
        <v>102</v>
      </c>
      <c r="DI8" s="15">
        <f t="shared" ref="DI8:DI9" si="140">DH8+1</f>
        <v>103</v>
      </c>
      <c r="DJ8" s="15">
        <f t="shared" ref="DJ8:DJ9" si="141">DI8+1</f>
        <v>104</v>
      </c>
      <c r="DK8" s="15">
        <f t="shared" ref="DK8:DK9" si="142">DJ8+1</f>
        <v>105</v>
      </c>
      <c r="DL8" s="15">
        <f t="shared" ref="DL8" si="143">DJ8+1</f>
        <v>105</v>
      </c>
      <c r="DM8" s="15">
        <f t="shared" ref="DM8" si="144">DK8+1</f>
        <v>106</v>
      </c>
      <c r="DN8" s="15">
        <f t="shared" ref="DN8:DN9" si="145">DM8+1</f>
        <v>107</v>
      </c>
      <c r="DO8" s="15">
        <f t="shared" ref="DO8:DO9" si="146">DN8+1</f>
        <v>108</v>
      </c>
      <c r="DP8" s="15">
        <f t="shared" ref="DP8:DP9" si="147">DO8+1</f>
        <v>109</v>
      </c>
      <c r="DQ8" s="15">
        <f t="shared" ref="DQ8:DQ9" si="148">DP8+1</f>
        <v>110</v>
      </c>
      <c r="DR8" s="15">
        <f t="shared" ref="DR8:DR9" si="149">DQ8+1</f>
        <v>111</v>
      </c>
      <c r="DS8" s="15">
        <f t="shared" ref="DS8:DS9" si="150">DR8+1</f>
        <v>112</v>
      </c>
      <c r="DT8" s="15">
        <f t="shared" ref="DT8:DT9" si="151">DS8+1</f>
        <v>113</v>
      </c>
      <c r="DU8" s="15">
        <f t="shared" ref="DU8:DU9" si="152">DT8+1</f>
        <v>114</v>
      </c>
      <c r="DV8" s="15">
        <f t="shared" ref="DV8:DV9" si="153">DU8+1</f>
        <v>115</v>
      </c>
      <c r="DW8" s="15">
        <f t="shared" ref="DW8:DW9" si="154">DV8+1</f>
        <v>116</v>
      </c>
      <c r="DX8" s="15">
        <f t="shared" ref="DX8" si="155">DV8+1</f>
        <v>116</v>
      </c>
      <c r="DY8" s="15">
        <f t="shared" ref="DY8" si="156">DW8+1</f>
        <v>117</v>
      </c>
      <c r="DZ8" s="15">
        <f t="shared" ref="DZ8" si="157">CN8+1</f>
        <v>84</v>
      </c>
      <c r="EA8" s="15">
        <f t="shared" ref="EA8" si="158">CO8+1</f>
        <v>85</v>
      </c>
      <c r="EB8" s="15">
        <f t="shared" ref="EB8" si="159">DZ8+1</f>
        <v>85</v>
      </c>
    </row>
    <row r="9" spans="1:132" x14ac:dyDescent="0.25">
      <c r="A9" t="s">
        <v>86</v>
      </c>
      <c r="G9" s="107" t="s">
        <v>87</v>
      </c>
      <c r="H9" s="21"/>
      <c r="I9" s="21"/>
      <c r="J9" s="115">
        <v>1</v>
      </c>
      <c r="K9" s="107">
        <f>J9+1</f>
        <v>2</v>
      </c>
      <c r="L9" s="107">
        <f t="shared" ref="L9:T9" si="160">K9+1</f>
        <v>3</v>
      </c>
      <c r="M9" s="107">
        <f t="shared" si="160"/>
        <v>4</v>
      </c>
      <c r="N9" s="107">
        <f t="shared" si="160"/>
        <v>5</v>
      </c>
      <c r="O9" s="107">
        <f t="shared" si="160"/>
        <v>6</v>
      </c>
      <c r="P9" s="107">
        <f t="shared" si="160"/>
        <v>7</v>
      </c>
      <c r="Q9" s="107">
        <f t="shared" si="160"/>
        <v>8</v>
      </c>
      <c r="R9" s="107">
        <f t="shared" si="160"/>
        <v>9</v>
      </c>
      <c r="S9" s="107">
        <f t="shared" si="160"/>
        <v>10</v>
      </c>
      <c r="T9" s="107">
        <f t="shared" si="160"/>
        <v>11</v>
      </c>
      <c r="U9" s="107">
        <f>T9+1</f>
        <v>12</v>
      </c>
      <c r="V9" s="107">
        <f t="shared" ref="V9:AG9" si="161">U9+1</f>
        <v>13</v>
      </c>
      <c r="W9" s="107">
        <f t="shared" si="161"/>
        <v>14</v>
      </c>
      <c r="X9" s="107">
        <f t="shared" si="161"/>
        <v>15</v>
      </c>
      <c r="Y9" s="107">
        <f t="shared" si="161"/>
        <v>16</v>
      </c>
      <c r="Z9" s="107">
        <f t="shared" si="161"/>
        <v>17</v>
      </c>
      <c r="AA9" s="107">
        <f t="shared" si="161"/>
        <v>18</v>
      </c>
      <c r="AB9" s="107">
        <f t="shared" si="161"/>
        <v>19</v>
      </c>
      <c r="AC9" s="107">
        <f t="shared" si="161"/>
        <v>20</v>
      </c>
      <c r="AD9" s="107">
        <f t="shared" si="161"/>
        <v>21</v>
      </c>
      <c r="AE9" s="107">
        <f t="shared" si="161"/>
        <v>22</v>
      </c>
      <c r="AF9" s="107">
        <f t="shared" si="161"/>
        <v>23</v>
      </c>
      <c r="AG9" s="107">
        <f t="shared" si="161"/>
        <v>24</v>
      </c>
      <c r="AH9" s="107">
        <f>AG9+1</f>
        <v>25</v>
      </c>
      <c r="AI9" s="107">
        <f t="shared" ref="AI9:AS9" si="162">AH9+1</f>
        <v>26</v>
      </c>
      <c r="AJ9" s="107">
        <f t="shared" si="162"/>
        <v>27</v>
      </c>
      <c r="AK9" s="107">
        <f t="shared" si="162"/>
        <v>28</v>
      </c>
      <c r="AL9" s="107">
        <f t="shared" si="162"/>
        <v>29</v>
      </c>
      <c r="AM9" s="107">
        <f t="shared" si="162"/>
        <v>30</v>
      </c>
      <c r="AN9" s="107">
        <f t="shared" si="162"/>
        <v>31</v>
      </c>
      <c r="AO9" s="107">
        <f t="shared" si="162"/>
        <v>32</v>
      </c>
      <c r="AP9" s="107">
        <f t="shared" si="162"/>
        <v>33</v>
      </c>
      <c r="AQ9" s="107">
        <f t="shared" si="162"/>
        <v>34</v>
      </c>
      <c r="AR9" s="107">
        <f t="shared" si="162"/>
        <v>35</v>
      </c>
      <c r="AS9" s="107">
        <f t="shared" si="162"/>
        <v>36</v>
      </c>
      <c r="AT9" s="107">
        <f>AS9+1</f>
        <v>37</v>
      </c>
      <c r="AU9" s="107">
        <f t="shared" ref="AU9" si="163">AT9+1</f>
        <v>38</v>
      </c>
      <c r="AV9" s="107">
        <f t="shared" ref="AV9" si="164">AU9+1</f>
        <v>39</v>
      </c>
      <c r="AW9" s="107">
        <f t="shared" ref="AW9" si="165">AV9+1</f>
        <v>40</v>
      </c>
      <c r="AX9" s="107">
        <f t="shared" ref="AX9" si="166">AW9+1</f>
        <v>41</v>
      </c>
      <c r="AY9" s="107">
        <f t="shared" si="78"/>
        <v>42</v>
      </c>
      <c r="AZ9" s="107">
        <f t="shared" si="79"/>
        <v>43</v>
      </c>
      <c r="BA9" s="107">
        <f t="shared" si="80"/>
        <v>44</v>
      </c>
      <c r="BB9" s="107">
        <f t="shared" si="81"/>
        <v>45</v>
      </c>
      <c r="BC9" s="107">
        <f t="shared" si="82"/>
        <v>46</v>
      </c>
      <c r="BD9" s="107">
        <f t="shared" si="83"/>
        <v>47</v>
      </c>
      <c r="BE9" s="107">
        <f t="shared" si="84"/>
        <v>48</v>
      </c>
      <c r="BF9" s="107">
        <f t="shared" si="85"/>
        <v>49</v>
      </c>
      <c r="BG9" s="107">
        <f t="shared" si="86"/>
        <v>50</v>
      </c>
      <c r="BH9" s="107">
        <f t="shared" si="87"/>
        <v>51</v>
      </c>
      <c r="BI9" s="107">
        <f t="shared" si="88"/>
        <v>52</v>
      </c>
      <c r="BJ9" s="107">
        <f t="shared" si="89"/>
        <v>53</v>
      </c>
      <c r="BK9" s="107">
        <f t="shared" si="90"/>
        <v>54</v>
      </c>
      <c r="BL9" s="107">
        <f t="shared" si="91"/>
        <v>55</v>
      </c>
      <c r="BM9" s="107">
        <f t="shared" si="92"/>
        <v>56</v>
      </c>
      <c r="BN9" s="107">
        <f t="shared" si="93"/>
        <v>57</v>
      </c>
      <c r="BO9" s="107">
        <f t="shared" si="94"/>
        <v>58</v>
      </c>
      <c r="BP9" s="107">
        <f t="shared" si="95"/>
        <v>59</v>
      </c>
      <c r="BQ9" s="107">
        <f t="shared" si="96"/>
        <v>60</v>
      </c>
      <c r="BR9" s="107">
        <f t="shared" si="97"/>
        <v>61</v>
      </c>
      <c r="BS9" s="107">
        <f t="shared" si="98"/>
        <v>62</v>
      </c>
      <c r="BT9" s="107">
        <f t="shared" si="99"/>
        <v>63</v>
      </c>
      <c r="BU9" s="107">
        <f t="shared" si="100"/>
        <v>64</v>
      </c>
      <c r="BV9" s="107">
        <f t="shared" si="101"/>
        <v>65</v>
      </c>
      <c r="BW9" s="107">
        <f t="shared" si="102"/>
        <v>66</v>
      </c>
      <c r="BX9" s="107">
        <f t="shared" si="103"/>
        <v>67</v>
      </c>
      <c r="BY9" s="107">
        <f t="shared" si="104"/>
        <v>68</v>
      </c>
      <c r="BZ9" s="107">
        <f t="shared" si="105"/>
        <v>69</v>
      </c>
      <c r="CA9" s="107">
        <f t="shared" si="106"/>
        <v>70</v>
      </c>
      <c r="CB9" s="107">
        <f t="shared" si="107"/>
        <v>71</v>
      </c>
      <c r="CC9" s="107">
        <f t="shared" si="108"/>
        <v>72</v>
      </c>
      <c r="CD9" s="107">
        <f t="shared" si="109"/>
        <v>73</v>
      </c>
      <c r="CE9" s="107">
        <f t="shared" si="110"/>
        <v>74</v>
      </c>
      <c r="CF9" s="107">
        <f t="shared" si="111"/>
        <v>75</v>
      </c>
      <c r="CG9" s="107">
        <f t="shared" si="112"/>
        <v>76</v>
      </c>
      <c r="CH9" s="107">
        <f t="shared" si="113"/>
        <v>77</v>
      </c>
      <c r="CI9" s="107">
        <f t="shared" si="114"/>
        <v>78</v>
      </c>
      <c r="CJ9" s="107">
        <f t="shared" si="115"/>
        <v>79</v>
      </c>
      <c r="CK9" s="107">
        <f t="shared" si="116"/>
        <v>80</v>
      </c>
      <c r="CL9" s="107">
        <f t="shared" si="117"/>
        <v>81</v>
      </c>
      <c r="CM9" s="107">
        <f t="shared" si="118"/>
        <v>82</v>
      </c>
      <c r="CN9" s="107">
        <f t="shared" ref="CN9" si="167">CM9+1</f>
        <v>83</v>
      </c>
      <c r="CO9" s="107">
        <f t="shared" ref="CO9" si="168">CN9+1</f>
        <v>84</v>
      </c>
      <c r="CP9" s="107">
        <f t="shared" si="121"/>
        <v>85</v>
      </c>
      <c r="CQ9" s="107">
        <f t="shared" si="122"/>
        <v>86</v>
      </c>
      <c r="CR9" s="107">
        <f t="shared" si="123"/>
        <v>87</v>
      </c>
      <c r="CS9" s="107">
        <f t="shared" si="124"/>
        <v>88</v>
      </c>
      <c r="CT9" s="107">
        <f t="shared" si="125"/>
        <v>89</v>
      </c>
      <c r="CU9" s="107">
        <f t="shared" si="126"/>
        <v>90</v>
      </c>
      <c r="CV9" s="107">
        <f t="shared" si="127"/>
        <v>91</v>
      </c>
      <c r="CW9" s="107">
        <f t="shared" si="128"/>
        <v>92</v>
      </c>
      <c r="CX9" s="107">
        <f t="shared" si="129"/>
        <v>93</v>
      </c>
      <c r="CY9" s="107">
        <f t="shared" si="130"/>
        <v>94</v>
      </c>
      <c r="CZ9" s="107">
        <f t="shared" ref="CZ9" si="169">CY9+1</f>
        <v>95</v>
      </c>
      <c r="DA9" s="107">
        <f t="shared" ref="DA9" si="170">CZ9+1</f>
        <v>96</v>
      </c>
      <c r="DB9" s="107">
        <f t="shared" si="133"/>
        <v>97</v>
      </c>
      <c r="DC9" s="107">
        <f t="shared" si="134"/>
        <v>98</v>
      </c>
      <c r="DD9" s="107">
        <f t="shared" si="135"/>
        <v>99</v>
      </c>
      <c r="DE9" s="107">
        <f t="shared" si="136"/>
        <v>100</v>
      </c>
      <c r="DF9" s="107">
        <f t="shared" si="137"/>
        <v>101</v>
      </c>
      <c r="DG9" s="107">
        <f t="shared" si="138"/>
        <v>102</v>
      </c>
      <c r="DH9" s="107">
        <f t="shared" si="139"/>
        <v>103</v>
      </c>
      <c r="DI9" s="107">
        <f t="shared" si="140"/>
        <v>104</v>
      </c>
      <c r="DJ9" s="107">
        <f t="shared" si="141"/>
        <v>105</v>
      </c>
      <c r="DK9" s="107">
        <f t="shared" si="142"/>
        <v>106</v>
      </c>
      <c r="DL9" s="107">
        <f t="shared" ref="DL9" si="171">DK9+1</f>
        <v>107</v>
      </c>
      <c r="DM9" s="107">
        <f t="shared" ref="DM9" si="172">DL9+1</f>
        <v>108</v>
      </c>
      <c r="DN9" s="107">
        <f t="shared" si="145"/>
        <v>109</v>
      </c>
      <c r="DO9" s="107">
        <f t="shared" si="146"/>
        <v>110</v>
      </c>
      <c r="DP9" s="107">
        <f t="shared" si="147"/>
        <v>111</v>
      </c>
      <c r="DQ9" s="107">
        <f t="shared" si="148"/>
        <v>112</v>
      </c>
      <c r="DR9" s="107">
        <f t="shared" si="149"/>
        <v>113</v>
      </c>
      <c r="DS9" s="107">
        <f t="shared" si="150"/>
        <v>114</v>
      </c>
      <c r="DT9" s="107">
        <f t="shared" si="151"/>
        <v>115</v>
      </c>
      <c r="DU9" s="107">
        <f t="shared" si="152"/>
        <v>116</v>
      </c>
      <c r="DV9" s="107">
        <f t="shared" si="153"/>
        <v>117</v>
      </c>
      <c r="DW9" s="107">
        <f t="shared" si="154"/>
        <v>118</v>
      </c>
      <c r="DX9" s="107">
        <f t="shared" ref="DX9" si="173">DW9+1</f>
        <v>119</v>
      </c>
      <c r="DY9" s="107">
        <f t="shared" ref="DY9" si="174">DX9+1</f>
        <v>120</v>
      </c>
      <c r="DZ9" s="208" t="s">
        <v>84</v>
      </c>
      <c r="EA9" s="208"/>
      <c r="EB9" s="208"/>
    </row>
    <row r="10" spans="1:132" x14ac:dyDescent="0.25">
      <c r="A10" t="s">
        <v>42</v>
      </c>
      <c r="F10" s="17">
        <v>1</v>
      </c>
      <c r="G10" s="16" t="s">
        <v>88</v>
      </c>
      <c r="J10" s="116"/>
      <c r="EB10" s="111"/>
    </row>
    <row r="11" spans="1:132" x14ac:dyDescent="0.25">
      <c r="F11" s="17">
        <f>F10+1</f>
        <v>2</v>
      </c>
      <c r="G11" s="12" t="s">
        <v>69</v>
      </c>
      <c r="H11" s="13">
        <f>'Financ '!B88</f>
        <v>0</v>
      </c>
      <c r="I11" s="13">
        <f>'Financ '!C41</f>
        <v>5732.4197297201054</v>
      </c>
      <c r="J11" s="13">
        <f>'Financ '!D41</f>
        <v>5732.4197297201054</v>
      </c>
      <c r="K11" s="13">
        <f>'Financ '!E41</f>
        <v>5732.4197297201054</v>
      </c>
      <c r="L11" s="13">
        <f>'Financ '!F41</f>
        <v>5732.4197297201054</v>
      </c>
      <c r="M11" s="13">
        <f>'Financ '!G41</f>
        <v>5732.4197297201054</v>
      </c>
      <c r="N11" s="13">
        <f>'Financ '!H41</f>
        <v>5732.4197297201054</v>
      </c>
      <c r="O11" s="13">
        <f>'Financ '!I41</f>
        <v>5732.4197297201054</v>
      </c>
      <c r="P11" s="13">
        <f>'Financ '!J41</f>
        <v>5732.4197297201054</v>
      </c>
      <c r="Q11" s="13">
        <f>'Financ '!K41</f>
        <v>5732.4197297201054</v>
      </c>
      <c r="R11" s="13">
        <f>'Financ '!L41</f>
        <v>5732.4197297201054</v>
      </c>
      <c r="S11" s="13">
        <f>'Financ '!M41</f>
        <v>5732.4197297201054</v>
      </c>
      <c r="T11" s="13">
        <f>'Financ '!N41</f>
        <v>5732.4197297201054</v>
      </c>
      <c r="U11" s="13">
        <f>'Financ '!O41</f>
        <v>5732.4197297201054</v>
      </c>
      <c r="V11" s="13">
        <f>'Financ '!P41</f>
        <v>5732.4197297201054</v>
      </c>
      <c r="W11" s="13">
        <f>'Financ '!Q41</f>
        <v>5732.4197297201054</v>
      </c>
      <c r="X11" s="13">
        <f>'Financ '!R41</f>
        <v>5732.4197297201054</v>
      </c>
      <c r="Y11" s="13">
        <f>'Financ '!S41</f>
        <v>5732.4197297201054</v>
      </c>
      <c r="Z11" s="13">
        <f>'Financ '!T41</f>
        <v>5732.4197297201054</v>
      </c>
      <c r="AA11" s="13">
        <f>'Financ '!U41</f>
        <v>5732.4197297201054</v>
      </c>
      <c r="AB11" s="13">
        <f>'Financ '!V41</f>
        <v>5732.4197297201054</v>
      </c>
      <c r="AC11" s="13">
        <f>'Financ '!W41</f>
        <v>5732.4197297201054</v>
      </c>
      <c r="AD11" s="13">
        <f>'Financ '!X41</f>
        <v>5732.4197297201054</v>
      </c>
      <c r="AE11" s="13">
        <f>'Financ '!Y41</f>
        <v>5732.4197297201054</v>
      </c>
      <c r="AF11" s="13">
        <f>'Financ '!Z41</f>
        <v>5732.4197297201054</v>
      </c>
      <c r="AG11" s="13">
        <f>'Financ '!AA41</f>
        <v>5732.4197297201054</v>
      </c>
      <c r="AH11" s="13">
        <f>'Financ '!AB41</f>
        <v>5732.4197297201054</v>
      </c>
      <c r="AI11" s="13">
        <f>'Financ '!AC41</f>
        <v>5732.4197297201054</v>
      </c>
      <c r="AJ11" s="13">
        <f>'Financ '!AD41</f>
        <v>5732.4197297201054</v>
      </c>
      <c r="AK11" s="13">
        <f>'Financ '!AE41</f>
        <v>5732.4197297201054</v>
      </c>
      <c r="AL11" s="13">
        <f>'Financ '!AF41</f>
        <v>5732.4197297201054</v>
      </c>
      <c r="AM11" s="13">
        <f>'Financ '!AG41</f>
        <v>5732.4197297201054</v>
      </c>
      <c r="AN11" s="13">
        <f>'Financ '!AH41</f>
        <v>5732.4197297201054</v>
      </c>
      <c r="AO11" s="13">
        <f>'Financ '!AI41</f>
        <v>5732.4197297201054</v>
      </c>
      <c r="AP11" s="13">
        <f>'Financ '!AJ41</f>
        <v>5732.4197297201054</v>
      </c>
      <c r="AQ11" s="13">
        <f>'Financ '!AK41</f>
        <v>5732.4197297201054</v>
      </c>
      <c r="AR11" s="13">
        <f>'Financ '!AL41</f>
        <v>5732.4197297201054</v>
      </c>
      <c r="AS11" s="13">
        <f>'Financ '!AM41</f>
        <v>5732.4197297201054</v>
      </c>
      <c r="AT11" s="13">
        <f>'Financ '!AN41</f>
        <v>5732.4197297201054</v>
      </c>
      <c r="AU11" s="13">
        <f>'Financ '!AO41</f>
        <v>5732.4197297201054</v>
      </c>
      <c r="AV11" s="13">
        <f>'Financ '!AP41</f>
        <v>5732.4197297201054</v>
      </c>
      <c r="AW11" s="13">
        <f>'Financ '!AQ41</f>
        <v>5732.4197297201054</v>
      </c>
      <c r="AX11" s="13">
        <f>'Financ '!AR41</f>
        <v>5732.4197297201054</v>
      </c>
      <c r="AY11" s="13">
        <f>'Financ '!AS41</f>
        <v>5732.4197297201054</v>
      </c>
      <c r="AZ11" s="13">
        <f>'Financ '!AT41</f>
        <v>5732.4197297201054</v>
      </c>
      <c r="BA11" s="13">
        <f>'Financ '!AU41</f>
        <v>5732.4197297201054</v>
      </c>
      <c r="BB11" s="13">
        <f>'Financ '!AV41</f>
        <v>5732.4197297201054</v>
      </c>
      <c r="BC11" s="13">
        <f>'Financ '!AW41</f>
        <v>5732.4197297201054</v>
      </c>
      <c r="BD11" s="13">
        <f>'Financ '!AX41</f>
        <v>5732.4197297201054</v>
      </c>
      <c r="BE11" s="13">
        <f>'Financ '!AY41</f>
        <v>5732.4197297201054</v>
      </c>
      <c r="BF11" s="13">
        <f>'Financ '!AZ41</f>
        <v>5732.4197297201054</v>
      </c>
      <c r="BG11" s="13">
        <f>'Financ '!BA41</f>
        <v>5732.4197297201054</v>
      </c>
      <c r="BH11" s="13">
        <f>'Financ '!BB41</f>
        <v>5732.4197297201054</v>
      </c>
      <c r="BI11" s="13">
        <f>'Financ '!BC41</f>
        <v>5732.4197297201054</v>
      </c>
      <c r="BJ11" s="13">
        <f>'Financ '!BD41</f>
        <v>5732.4197297201054</v>
      </c>
      <c r="BK11" s="13">
        <f>'Financ '!BE41</f>
        <v>5732.4197297201054</v>
      </c>
      <c r="BL11" s="13">
        <f>'Financ '!BF41</f>
        <v>5732.4197297201054</v>
      </c>
      <c r="BM11" s="13">
        <f>'Financ '!BG41</f>
        <v>5732.4197297201054</v>
      </c>
      <c r="BN11" s="13">
        <f>'Financ '!BH41</f>
        <v>5732.4197297201054</v>
      </c>
      <c r="BO11" s="13">
        <f>'Financ '!BI41</f>
        <v>5732.4197297201054</v>
      </c>
      <c r="BP11" s="13">
        <f>'Financ '!BJ41</f>
        <v>5732.4197297201054</v>
      </c>
      <c r="BQ11" s="13">
        <v>0</v>
      </c>
      <c r="BR11" s="13">
        <v>0</v>
      </c>
      <c r="BS11" s="13">
        <v>0</v>
      </c>
      <c r="BT11" s="13">
        <v>0</v>
      </c>
      <c r="BU11" s="13">
        <v>0</v>
      </c>
      <c r="BV11" s="13">
        <v>0</v>
      </c>
      <c r="BW11" s="13">
        <f>'Financ '!BL88</f>
        <v>0</v>
      </c>
      <c r="BX11" s="13">
        <f>'Financ '!BM88</f>
        <v>0</v>
      </c>
      <c r="BY11" s="13">
        <f>'Financ '!BN88</f>
        <v>0</v>
      </c>
      <c r="BZ11" s="13">
        <f>'Financ '!BO88</f>
        <v>0</v>
      </c>
      <c r="CA11" s="13">
        <f>'Financ '!BP88</f>
        <v>0</v>
      </c>
      <c r="CB11" s="13">
        <f>'Financ '!BQ88</f>
        <v>0</v>
      </c>
      <c r="CC11" s="13">
        <f>'Financ '!BR88</f>
        <v>0</v>
      </c>
      <c r="CD11" s="13">
        <f>'Financ '!BS88</f>
        <v>0</v>
      </c>
      <c r="CE11" s="13">
        <f>'Financ '!BT88</f>
        <v>0</v>
      </c>
      <c r="CF11" s="13">
        <f>'Financ '!BU88</f>
        <v>0</v>
      </c>
      <c r="CG11" s="13">
        <f>'Financ '!BV88</f>
        <v>0</v>
      </c>
      <c r="CH11" s="13">
        <f>'Financ '!BW88</f>
        <v>0</v>
      </c>
      <c r="CI11" s="13">
        <f>'Financ '!BX88</f>
        <v>0</v>
      </c>
      <c r="CJ11" s="13">
        <f>'Financ '!BY88</f>
        <v>0</v>
      </c>
      <c r="CK11" s="13">
        <f>'Financ '!BZ88</f>
        <v>0</v>
      </c>
      <c r="CL11" s="13">
        <f>'Financ '!CA88</f>
        <v>0</v>
      </c>
      <c r="CM11" s="13">
        <f>'Financ '!CB88</f>
        <v>0</v>
      </c>
      <c r="CN11" s="13">
        <f>'Financ '!CB88</f>
        <v>0</v>
      </c>
      <c r="CO11" s="13">
        <f>'Financ '!CC88</f>
        <v>0</v>
      </c>
      <c r="CP11" s="13">
        <f>'Financ '!CE88</f>
        <v>0</v>
      </c>
      <c r="CQ11" s="13">
        <f>'Financ '!CF88</f>
        <v>0</v>
      </c>
      <c r="CR11" s="13">
        <f>'Financ '!CG88</f>
        <v>0</v>
      </c>
      <c r="CS11" s="13">
        <f>'Financ '!CH88</f>
        <v>0</v>
      </c>
      <c r="CT11" s="13">
        <f>'Financ '!CI88</f>
        <v>0</v>
      </c>
      <c r="CU11" s="13">
        <f>'Financ '!CJ88</f>
        <v>0</v>
      </c>
      <c r="CV11" s="13">
        <f>'Financ '!CK88</f>
        <v>0</v>
      </c>
      <c r="CW11" s="13">
        <f>'Financ '!CL88</f>
        <v>0</v>
      </c>
      <c r="CX11" s="13">
        <f>'Financ '!CM88</f>
        <v>0</v>
      </c>
      <c r="CY11" s="13">
        <f>'Financ '!CN88</f>
        <v>0</v>
      </c>
      <c r="CZ11" s="13">
        <f>'Financ '!CN88</f>
        <v>0</v>
      </c>
      <c r="DA11" s="13">
        <f>'Financ '!CO88</f>
        <v>0</v>
      </c>
      <c r="DB11" s="13">
        <f>'Financ '!CQ88</f>
        <v>0</v>
      </c>
      <c r="DC11" s="13">
        <f>'Financ '!CR88</f>
        <v>0</v>
      </c>
      <c r="DD11" s="13">
        <f>'Financ '!CS88</f>
        <v>0</v>
      </c>
      <c r="DE11" s="13">
        <f>'Financ '!CT88</f>
        <v>0</v>
      </c>
      <c r="DF11" s="13">
        <f>'Financ '!CU88</f>
        <v>0</v>
      </c>
      <c r="DG11" s="13">
        <f>'Financ '!CV88</f>
        <v>0</v>
      </c>
      <c r="DH11" s="13">
        <f>'Financ '!CW88</f>
        <v>0</v>
      </c>
      <c r="DI11" s="13">
        <f>'Financ '!CX88</f>
        <v>0</v>
      </c>
      <c r="DJ11" s="13">
        <f>'Financ '!CY88</f>
        <v>0</v>
      </c>
      <c r="DK11" s="13">
        <f>'Financ '!CZ88</f>
        <v>0</v>
      </c>
      <c r="DL11" s="13">
        <f>'Financ '!CZ88</f>
        <v>0</v>
      </c>
      <c r="DM11" s="13">
        <f>'Financ '!DA88</f>
        <v>0</v>
      </c>
      <c r="DN11" s="13">
        <f>'Financ '!DC88</f>
        <v>0</v>
      </c>
      <c r="DO11" s="13">
        <f>'Financ '!DD88</f>
        <v>0</v>
      </c>
      <c r="DP11" s="13">
        <f>'Financ '!DE88</f>
        <v>0</v>
      </c>
      <c r="DQ11" s="13">
        <f>'Financ '!DF88</f>
        <v>0</v>
      </c>
      <c r="DR11" s="13">
        <f>'Financ '!DG88</f>
        <v>0</v>
      </c>
      <c r="DS11" s="13">
        <f>'Financ '!DH88</f>
        <v>0</v>
      </c>
      <c r="DT11" s="13">
        <f>'Financ '!DI88</f>
        <v>0</v>
      </c>
      <c r="DU11" s="13">
        <f>'Financ '!DJ88</f>
        <v>0</v>
      </c>
      <c r="DV11" s="13">
        <f>'Financ '!DK88</f>
        <v>0</v>
      </c>
      <c r="DW11" s="13">
        <f>'Financ '!DL88</f>
        <v>0</v>
      </c>
      <c r="DX11" s="13">
        <f>'Financ '!DL88</f>
        <v>0</v>
      </c>
      <c r="DY11" s="13">
        <f>'Financ '!DM88</f>
        <v>0</v>
      </c>
      <c r="DZ11" s="13">
        <f>'Financ '!BL88</f>
        <v>0</v>
      </c>
      <c r="EA11" s="13">
        <f>'Financ '!BM88</f>
        <v>0</v>
      </c>
      <c r="EB11" s="13">
        <f>'Financ '!BN88</f>
        <v>0</v>
      </c>
    </row>
    <row r="12" spans="1:132" x14ac:dyDescent="0.25">
      <c r="F12" s="17">
        <f t="shared" ref="F12:F76" si="175">F11+1</f>
        <v>3</v>
      </c>
      <c r="G12" s="5"/>
      <c r="H12" s="29"/>
      <c r="I12" s="28"/>
      <c r="J12" s="118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4"/>
      <c r="BD12" s="4"/>
      <c r="BE12" s="4"/>
      <c r="BF12" s="4"/>
      <c r="BG12" s="4"/>
      <c r="BH12" s="4"/>
      <c r="BI12" s="4"/>
      <c r="BJ12" s="4"/>
      <c r="BK12" s="4"/>
      <c r="BL12" s="4"/>
      <c r="BM12" s="4"/>
      <c r="BN12" s="4"/>
      <c r="BO12" s="4"/>
      <c r="BP12" s="4"/>
      <c r="BQ12" s="4"/>
      <c r="BR12" s="4"/>
      <c r="BS12" s="4"/>
      <c r="BT12" s="4"/>
      <c r="BU12" s="4"/>
      <c r="BV12" s="4"/>
      <c r="BW12" s="4"/>
      <c r="BX12" s="4"/>
      <c r="BY12" s="4"/>
      <c r="BZ12" s="4"/>
      <c r="CA12" s="4"/>
      <c r="CB12" s="4"/>
      <c r="CC12" s="4"/>
      <c r="CD12" s="4"/>
      <c r="CE12" s="4"/>
      <c r="CF12" s="4"/>
      <c r="CG12" s="4"/>
      <c r="CH12" s="4"/>
      <c r="CI12" s="4"/>
      <c r="CJ12" s="4"/>
      <c r="CK12" s="4"/>
      <c r="CL12" s="4"/>
      <c r="CM12" s="4"/>
      <c r="CN12" s="4"/>
      <c r="CO12" s="4"/>
      <c r="CP12" s="4"/>
      <c r="CQ12" s="4"/>
      <c r="CR12" s="4"/>
      <c r="CS12" s="4"/>
      <c r="CT12" s="4"/>
      <c r="CU12" s="4"/>
      <c r="CV12" s="4"/>
      <c r="CW12" s="4"/>
      <c r="CX12" s="4"/>
      <c r="CY12" s="4"/>
      <c r="CZ12" s="4"/>
      <c r="DA12" s="4"/>
      <c r="DB12" s="4"/>
      <c r="DC12" s="4"/>
      <c r="DD12" s="4"/>
      <c r="DE12" s="4"/>
      <c r="DF12" s="4"/>
      <c r="DG12" s="4"/>
      <c r="DH12" s="4"/>
      <c r="DI12" s="4"/>
      <c r="DJ12" s="4"/>
      <c r="DK12" s="4"/>
      <c r="DL12" s="4"/>
      <c r="DM12" s="4"/>
      <c r="DN12" s="4"/>
      <c r="DO12" s="4"/>
      <c r="DP12" s="4"/>
      <c r="DQ12" s="4"/>
      <c r="DR12" s="4"/>
      <c r="DS12" s="4"/>
      <c r="DT12" s="4"/>
      <c r="DU12" s="4"/>
      <c r="DV12" s="4"/>
      <c r="DW12" s="4"/>
      <c r="DX12" s="4"/>
      <c r="DY12" s="4"/>
      <c r="DZ12" s="4"/>
      <c r="EA12" s="4"/>
      <c r="EB12" s="112"/>
    </row>
    <row r="13" spans="1:132" x14ac:dyDescent="0.25">
      <c r="F13" s="17">
        <f t="shared" si="175"/>
        <v>4</v>
      </c>
      <c r="G13" s="16" t="s">
        <v>89</v>
      </c>
      <c r="H13" s="24">
        <f>SUM(H14:H18)</f>
        <v>0</v>
      </c>
      <c r="I13" s="24">
        <f>SUM(I14:I18)</f>
        <v>4739.3500000000004</v>
      </c>
      <c r="J13" s="205">
        <f t="shared" ref="J13:AS13" si="176">SUM(J14:J18)</f>
        <v>0</v>
      </c>
      <c r="K13" s="24">
        <f>SUM(K14:K18)</f>
        <v>0</v>
      </c>
      <c r="L13" s="24">
        <f t="shared" si="176"/>
        <v>0</v>
      </c>
      <c r="M13" s="24">
        <f t="shared" si="176"/>
        <v>0</v>
      </c>
      <c r="N13" s="24">
        <f t="shared" si="176"/>
        <v>0</v>
      </c>
      <c r="O13" s="24">
        <f t="shared" si="176"/>
        <v>0</v>
      </c>
      <c r="P13" s="24">
        <f t="shared" si="176"/>
        <v>0</v>
      </c>
      <c r="Q13" s="24">
        <f t="shared" si="176"/>
        <v>0</v>
      </c>
      <c r="R13" s="24">
        <f t="shared" si="176"/>
        <v>0</v>
      </c>
      <c r="S13" s="24">
        <f t="shared" si="176"/>
        <v>0</v>
      </c>
      <c r="T13" s="24">
        <f t="shared" si="176"/>
        <v>0</v>
      </c>
      <c r="U13" s="24">
        <f>SUM(U14:U18)</f>
        <v>4739.3500000000004</v>
      </c>
      <c r="V13" s="24">
        <f t="shared" si="176"/>
        <v>0</v>
      </c>
      <c r="W13" s="24">
        <f>SUM(W14:W18)</f>
        <v>0</v>
      </c>
      <c r="X13" s="24">
        <f t="shared" si="176"/>
        <v>0</v>
      </c>
      <c r="Y13" s="24">
        <f t="shared" si="176"/>
        <v>0</v>
      </c>
      <c r="Z13" s="24">
        <f t="shared" si="176"/>
        <v>0</v>
      </c>
      <c r="AA13" s="24">
        <f t="shared" si="176"/>
        <v>0</v>
      </c>
      <c r="AB13" s="24">
        <f t="shared" si="176"/>
        <v>0</v>
      </c>
      <c r="AC13" s="24">
        <f t="shared" si="176"/>
        <v>0</v>
      </c>
      <c r="AD13" s="24">
        <f t="shared" si="176"/>
        <v>0</v>
      </c>
      <c r="AE13" s="24">
        <f t="shared" si="176"/>
        <v>0</v>
      </c>
      <c r="AF13" s="24">
        <f t="shared" si="176"/>
        <v>0</v>
      </c>
      <c r="AG13" s="24">
        <f>SUM(AG14:AG18)</f>
        <v>4178.4475000000002</v>
      </c>
      <c r="AH13" s="24">
        <f t="shared" si="176"/>
        <v>0</v>
      </c>
      <c r="AI13" s="24">
        <f t="shared" ref="AI13:AN13" si="177">SUM(AI14:AI18)</f>
        <v>0</v>
      </c>
      <c r="AJ13" s="24">
        <f t="shared" si="177"/>
        <v>0</v>
      </c>
      <c r="AK13" s="24">
        <f t="shared" si="177"/>
        <v>0</v>
      </c>
      <c r="AL13" s="24">
        <f t="shared" si="177"/>
        <v>0</v>
      </c>
      <c r="AM13" s="24">
        <f t="shared" si="177"/>
        <v>0</v>
      </c>
      <c r="AN13" s="24">
        <f t="shared" si="177"/>
        <v>0</v>
      </c>
      <c r="AO13" s="24">
        <f t="shared" si="176"/>
        <v>0</v>
      </c>
      <c r="AP13" s="24">
        <f t="shared" si="176"/>
        <v>0</v>
      </c>
      <c r="AQ13" s="24">
        <f t="shared" si="176"/>
        <v>0</v>
      </c>
      <c r="AR13" s="24">
        <f t="shared" si="176"/>
        <v>0</v>
      </c>
      <c r="AS13" s="24">
        <f t="shared" si="176"/>
        <v>3701.6803749999995</v>
      </c>
      <c r="AT13" s="24">
        <f t="shared" ref="AT13:BE13" si="178">SUM(AT14:AT18)</f>
        <v>0</v>
      </c>
      <c r="AU13" s="24">
        <f t="shared" si="178"/>
        <v>0</v>
      </c>
      <c r="AV13" s="24">
        <f t="shared" si="178"/>
        <v>0</v>
      </c>
      <c r="AW13" s="24">
        <f t="shared" si="178"/>
        <v>0</v>
      </c>
      <c r="AX13" s="24">
        <f t="shared" si="178"/>
        <v>0</v>
      </c>
      <c r="AY13" s="24">
        <f t="shared" si="178"/>
        <v>0</v>
      </c>
      <c r="AZ13" s="24">
        <f t="shared" si="178"/>
        <v>0</v>
      </c>
      <c r="BA13" s="24">
        <f t="shared" si="178"/>
        <v>0</v>
      </c>
      <c r="BB13" s="24">
        <f t="shared" si="178"/>
        <v>0</v>
      </c>
      <c r="BC13" s="24">
        <f t="shared" si="178"/>
        <v>0</v>
      </c>
      <c r="BD13" s="24">
        <f t="shared" si="178"/>
        <v>0</v>
      </c>
      <c r="BE13" s="24">
        <f t="shared" si="178"/>
        <v>3296.4283187499996</v>
      </c>
      <c r="BF13" s="24">
        <f t="shared" ref="BF13:BV13" si="179">SUM(BF14:BF18)</f>
        <v>0</v>
      </c>
      <c r="BG13" s="24">
        <f t="shared" si="179"/>
        <v>0</v>
      </c>
      <c r="BH13" s="24">
        <f t="shared" si="179"/>
        <v>0</v>
      </c>
      <c r="BI13" s="24">
        <f t="shared" si="179"/>
        <v>0</v>
      </c>
      <c r="BJ13" s="24">
        <f t="shared" si="179"/>
        <v>0</v>
      </c>
      <c r="BK13" s="24">
        <f t="shared" si="179"/>
        <v>0</v>
      </c>
      <c r="BL13" s="24">
        <f t="shared" si="179"/>
        <v>0</v>
      </c>
      <c r="BM13" s="24">
        <f t="shared" si="179"/>
        <v>0</v>
      </c>
      <c r="BN13" s="24">
        <f t="shared" si="179"/>
        <v>0</v>
      </c>
      <c r="BO13" s="24">
        <f t="shared" si="179"/>
        <v>0</v>
      </c>
      <c r="BP13" s="24">
        <f t="shared" ref="BP13" si="180">SUM(BP14:BP18)</f>
        <v>0</v>
      </c>
      <c r="BQ13" s="24">
        <f>SUM(BQ14:BQ18)</f>
        <v>2951.9640709374999</v>
      </c>
      <c r="BR13" s="24">
        <f t="shared" si="179"/>
        <v>0</v>
      </c>
      <c r="BS13" s="24">
        <f t="shared" ref="BS13:BT13" si="181">SUM(BS14:BS18)</f>
        <v>0</v>
      </c>
      <c r="BT13" s="24">
        <f t="shared" si="181"/>
        <v>0</v>
      </c>
      <c r="BU13" s="24">
        <f t="shared" si="179"/>
        <v>0</v>
      </c>
      <c r="BV13" s="24">
        <f t="shared" si="179"/>
        <v>0</v>
      </c>
      <c r="BW13" s="24">
        <f t="shared" ref="BW13:CH13" si="182">SUM(BW14:BW18)</f>
        <v>0</v>
      </c>
      <c r="BX13" s="24">
        <f t="shared" si="182"/>
        <v>0</v>
      </c>
      <c r="BY13" s="24">
        <f t="shared" si="182"/>
        <v>0</v>
      </c>
      <c r="BZ13" s="24">
        <f t="shared" si="182"/>
        <v>0</v>
      </c>
      <c r="CA13" s="24">
        <f t="shared" si="182"/>
        <v>0</v>
      </c>
      <c r="CB13" s="24">
        <f t="shared" si="182"/>
        <v>0</v>
      </c>
      <c r="CC13" s="24">
        <f t="shared" si="182"/>
        <v>2659.1694602968746</v>
      </c>
      <c r="CD13" s="24">
        <f t="shared" si="182"/>
        <v>0</v>
      </c>
      <c r="CE13" s="24">
        <f t="shared" si="182"/>
        <v>0</v>
      </c>
      <c r="CF13" s="24">
        <f t="shared" si="182"/>
        <v>0</v>
      </c>
      <c r="CG13" s="24">
        <f t="shared" si="182"/>
        <v>0</v>
      </c>
      <c r="CH13" s="24">
        <f t="shared" si="182"/>
        <v>0</v>
      </c>
      <c r="CI13" s="24">
        <f t="shared" ref="CI13:CT13" si="183">SUM(CI14:CI18)</f>
        <v>0</v>
      </c>
      <c r="CJ13" s="24">
        <f t="shared" si="183"/>
        <v>0</v>
      </c>
      <c r="CK13" s="24">
        <f t="shared" si="183"/>
        <v>0</v>
      </c>
      <c r="CL13" s="24">
        <f t="shared" si="183"/>
        <v>0</v>
      </c>
      <c r="CM13" s="24">
        <f t="shared" si="183"/>
        <v>0</v>
      </c>
      <c r="CN13" s="24">
        <f t="shared" ref="CN13" si="184">SUM(CN14:CN18)</f>
        <v>0</v>
      </c>
      <c r="CO13" s="24">
        <f t="shared" si="183"/>
        <v>2410.2940412523435</v>
      </c>
      <c r="CP13" s="24">
        <f t="shared" si="183"/>
        <v>0</v>
      </c>
      <c r="CQ13" s="24">
        <f t="shared" si="183"/>
        <v>0</v>
      </c>
      <c r="CR13" s="24">
        <f t="shared" si="183"/>
        <v>0</v>
      </c>
      <c r="CS13" s="24">
        <f t="shared" si="183"/>
        <v>0</v>
      </c>
      <c r="CT13" s="24">
        <f t="shared" si="183"/>
        <v>0</v>
      </c>
      <c r="CU13" s="24">
        <f t="shared" ref="CU13:DR13" si="185">SUM(CU14:CU18)</f>
        <v>0</v>
      </c>
      <c r="CV13" s="24">
        <f t="shared" si="185"/>
        <v>0</v>
      </c>
      <c r="CW13" s="24">
        <f t="shared" si="185"/>
        <v>0</v>
      </c>
      <c r="CX13" s="24">
        <f t="shared" si="185"/>
        <v>0</v>
      </c>
      <c r="CY13" s="24">
        <f t="shared" si="185"/>
        <v>0</v>
      </c>
      <c r="CZ13" s="24">
        <f t="shared" si="185"/>
        <v>0</v>
      </c>
      <c r="DA13" s="24">
        <f t="shared" si="185"/>
        <v>2367.9852200147734</v>
      </c>
      <c r="DB13" s="24">
        <f t="shared" si="185"/>
        <v>0</v>
      </c>
      <c r="DC13" s="24">
        <f t="shared" si="185"/>
        <v>0</v>
      </c>
      <c r="DD13" s="24">
        <f t="shared" si="185"/>
        <v>0</v>
      </c>
      <c r="DE13" s="24">
        <f t="shared" si="185"/>
        <v>0</v>
      </c>
      <c r="DF13" s="24">
        <f t="shared" si="185"/>
        <v>0</v>
      </c>
      <c r="DG13" s="24">
        <f t="shared" si="185"/>
        <v>0</v>
      </c>
      <c r="DH13" s="24">
        <f t="shared" si="185"/>
        <v>0</v>
      </c>
      <c r="DI13" s="24">
        <f t="shared" si="185"/>
        <v>0</v>
      </c>
      <c r="DJ13" s="24">
        <f t="shared" si="185"/>
        <v>0</v>
      </c>
      <c r="DK13" s="24">
        <f t="shared" si="185"/>
        <v>0</v>
      </c>
      <c r="DL13" s="24">
        <f t="shared" si="185"/>
        <v>0</v>
      </c>
      <c r="DM13" s="24">
        <f t="shared" si="185"/>
        <v>2326.9456634143298</v>
      </c>
      <c r="DN13" s="24">
        <f t="shared" si="185"/>
        <v>0</v>
      </c>
      <c r="DO13" s="24">
        <f t="shared" si="185"/>
        <v>0</v>
      </c>
      <c r="DP13" s="24">
        <f t="shared" si="185"/>
        <v>0</v>
      </c>
      <c r="DQ13" s="24">
        <f t="shared" si="185"/>
        <v>0</v>
      </c>
      <c r="DR13" s="24">
        <f t="shared" si="185"/>
        <v>0</v>
      </c>
      <c r="DS13" s="24">
        <f t="shared" ref="DS13:DY13" si="186">SUM(DS14:DS18)</f>
        <v>0</v>
      </c>
      <c r="DT13" s="24">
        <f t="shared" si="186"/>
        <v>0</v>
      </c>
      <c r="DU13" s="24">
        <f t="shared" si="186"/>
        <v>0</v>
      </c>
      <c r="DV13" s="24">
        <f t="shared" si="186"/>
        <v>0</v>
      </c>
      <c r="DW13" s="24">
        <f t="shared" si="186"/>
        <v>0</v>
      </c>
      <c r="DX13" s="24">
        <f t="shared" si="186"/>
        <v>0</v>
      </c>
      <c r="DY13" s="24">
        <f t="shared" si="186"/>
        <v>2287.1372935119002</v>
      </c>
      <c r="DZ13" s="24">
        <f t="shared" ref="DZ13:EB13" si="187">SUM(DZ14:DZ18)</f>
        <v>0</v>
      </c>
      <c r="EA13" s="24">
        <f t="shared" si="187"/>
        <v>0</v>
      </c>
      <c r="EB13" s="24">
        <f t="shared" si="187"/>
        <v>0</v>
      </c>
    </row>
    <row r="14" spans="1:132" x14ac:dyDescent="0.25">
      <c r="F14" s="17">
        <f t="shared" si="175"/>
        <v>5</v>
      </c>
      <c r="G14" t="s">
        <v>90</v>
      </c>
      <c r="H14" s="24"/>
      <c r="I14" s="197">
        <f>Licenciamento!E8</f>
        <v>4739.3500000000004</v>
      </c>
      <c r="J14" s="119"/>
      <c r="L14" s="11"/>
      <c r="M14" s="11"/>
      <c r="N14" s="11"/>
      <c r="O14" s="11"/>
      <c r="P14" s="11"/>
      <c r="Q14" s="11"/>
      <c r="S14" s="11"/>
      <c r="T14" s="11"/>
      <c r="U14" s="197">
        <f>Licenciamento!H8</f>
        <v>4739.3500000000004</v>
      </c>
      <c r="V14" s="11"/>
      <c r="X14" s="11"/>
      <c r="Y14" s="11"/>
      <c r="Z14" s="11"/>
      <c r="AA14" s="11"/>
      <c r="AB14" s="11"/>
      <c r="AC14" s="11"/>
      <c r="AE14" s="11"/>
      <c r="AF14" s="11"/>
      <c r="AG14" s="11">
        <f>Licenciamento!K8</f>
        <v>4178.4475000000002</v>
      </c>
      <c r="AH14" s="11"/>
      <c r="AJ14" s="11"/>
      <c r="AK14" s="11"/>
      <c r="AL14" s="11"/>
      <c r="AM14" s="11"/>
      <c r="AN14" s="11"/>
      <c r="AO14" s="11"/>
      <c r="AP14" s="11"/>
      <c r="AQ14" s="11"/>
      <c r="AR14" s="11"/>
      <c r="AS14" s="11">
        <f>Licenciamento!N8</f>
        <v>3701.6803749999995</v>
      </c>
      <c r="AT14" s="11"/>
      <c r="AV14" s="11"/>
      <c r="AW14" s="11"/>
      <c r="AX14" s="11"/>
      <c r="AY14" s="11"/>
      <c r="AZ14" s="11"/>
      <c r="BA14" s="11"/>
      <c r="BB14" s="11"/>
      <c r="BC14" s="11"/>
      <c r="BD14" s="11"/>
      <c r="BE14" s="11">
        <f>Licenciamento!Q8</f>
        <v>3296.4283187499996</v>
      </c>
      <c r="BF14" s="11"/>
      <c r="BH14" s="11"/>
      <c r="BI14" s="11"/>
      <c r="BJ14" s="11"/>
      <c r="BK14" s="11"/>
      <c r="BL14" s="11"/>
      <c r="BM14" s="11"/>
      <c r="BN14" s="11"/>
      <c r="BO14" s="11"/>
      <c r="BP14" s="11"/>
      <c r="BQ14" s="11">
        <f>Licenciamento!T8</f>
        <v>2951.9640709374999</v>
      </c>
      <c r="BR14" s="11"/>
      <c r="BS14" s="11"/>
      <c r="BT14" s="11"/>
      <c r="BU14" s="11"/>
      <c r="BW14" s="11"/>
      <c r="BY14" s="11"/>
      <c r="BZ14" s="11"/>
      <c r="CA14" s="11"/>
      <c r="CB14" s="11"/>
      <c r="CC14" s="11">
        <f>Licenciamento!W8</f>
        <v>2659.1694602968746</v>
      </c>
      <c r="CD14" s="11"/>
      <c r="CE14" s="11"/>
      <c r="CF14" s="11"/>
      <c r="CG14" s="11"/>
      <c r="CH14" s="11"/>
      <c r="CI14" s="11"/>
      <c r="CJ14" s="11"/>
      <c r="CK14" s="11"/>
      <c r="CL14" s="11"/>
      <c r="CM14" s="11"/>
      <c r="CN14" s="11">
        <f>Licenciamento!AN8</f>
        <v>0</v>
      </c>
      <c r="CO14" s="11">
        <f>Licenciamento!Z8</f>
        <v>2410.2940412523435</v>
      </c>
      <c r="CP14" s="11"/>
      <c r="CQ14" s="11"/>
      <c r="CR14" s="11"/>
      <c r="CS14" s="11"/>
      <c r="CT14" s="11">
        <f>Licenciamento!AU8</f>
        <v>0</v>
      </c>
      <c r="CU14" s="11"/>
      <c r="CV14" s="11"/>
      <c r="CW14" s="11"/>
      <c r="CX14" s="11"/>
      <c r="CY14" s="11"/>
      <c r="CZ14" s="11">
        <f>Licenciamento!AZ8</f>
        <v>0</v>
      </c>
      <c r="DA14" s="11">
        <f>Licenciamento!AC8</f>
        <v>2367.9852200147734</v>
      </c>
      <c r="DB14" s="11"/>
      <c r="DC14" s="11"/>
      <c r="DD14" s="11"/>
      <c r="DE14" s="11"/>
      <c r="DF14" s="11">
        <f>Licenciamento!BG8</f>
        <v>0</v>
      </c>
      <c r="DG14" s="11"/>
      <c r="DH14" s="11"/>
      <c r="DI14" s="11"/>
      <c r="DJ14" s="11"/>
      <c r="DK14" s="11"/>
      <c r="DL14" s="11">
        <f>Licenciamento!BL8</f>
        <v>0</v>
      </c>
      <c r="DM14" s="11">
        <f>Licenciamento!AF8</f>
        <v>2326.9456634143298</v>
      </c>
      <c r="DN14" s="11"/>
      <c r="DO14" s="11"/>
      <c r="DP14" s="11"/>
      <c r="DQ14" s="11"/>
      <c r="DR14" s="11">
        <f>Licenciamento!BS8</f>
        <v>0</v>
      </c>
      <c r="DS14" s="11"/>
      <c r="DT14" s="11"/>
      <c r="DU14" s="11"/>
      <c r="DV14" s="11"/>
      <c r="DW14" s="11"/>
      <c r="DX14" s="11">
        <f>Licenciamento!BX8</f>
        <v>0</v>
      </c>
      <c r="DY14" s="11">
        <f>Licenciamento!AI8</f>
        <v>2287.1372935119002</v>
      </c>
      <c r="DZ14" s="11"/>
      <c r="EA14" s="11"/>
      <c r="EB14" s="45"/>
    </row>
    <row r="15" spans="1:132" s="95" customFormat="1" x14ac:dyDescent="0.25">
      <c r="F15" s="17">
        <f t="shared" si="175"/>
        <v>6</v>
      </c>
      <c r="G15" s="96" t="s">
        <v>91</v>
      </c>
      <c r="H15" s="97"/>
      <c r="I15" s="98"/>
      <c r="J15" s="120">
        <f>Dados!$C$17</f>
        <v>0</v>
      </c>
      <c r="K15" s="120">
        <f>Dados!$C$17</f>
        <v>0</v>
      </c>
      <c r="L15" s="120">
        <f>Dados!$C$17</f>
        <v>0</v>
      </c>
      <c r="M15" s="120">
        <f>Dados!$C$17</f>
        <v>0</v>
      </c>
      <c r="N15" s="120">
        <f>Dados!$C$17</f>
        <v>0</v>
      </c>
      <c r="O15" s="120">
        <f>Dados!$C$17</f>
        <v>0</v>
      </c>
      <c r="P15" s="120">
        <f>Dados!$C$17</f>
        <v>0</v>
      </c>
      <c r="Q15" s="120">
        <f>Dados!$C$17</f>
        <v>0</v>
      </c>
      <c r="R15" s="120">
        <f>Dados!$C$17</f>
        <v>0</v>
      </c>
      <c r="S15" s="120">
        <f>Dados!$C$17</f>
        <v>0</v>
      </c>
      <c r="T15" s="120">
        <f>Dados!$C$17</f>
        <v>0</v>
      </c>
      <c r="U15" s="120">
        <f>Dados!$C$17</f>
        <v>0</v>
      </c>
      <c r="V15" s="120">
        <f>Dados!$C$17</f>
        <v>0</v>
      </c>
      <c r="W15" s="120">
        <f>Dados!$C$17</f>
        <v>0</v>
      </c>
      <c r="X15" s="120">
        <f>Dados!$C$17</f>
        <v>0</v>
      </c>
      <c r="Y15" s="120">
        <f>Dados!$C$17</f>
        <v>0</v>
      </c>
      <c r="Z15" s="120">
        <f>Dados!$C$17</f>
        <v>0</v>
      </c>
      <c r="AA15" s="120">
        <f>Dados!$C$17</f>
        <v>0</v>
      </c>
      <c r="AB15" s="120">
        <f>Dados!$C$17</f>
        <v>0</v>
      </c>
      <c r="AC15" s="120">
        <f>Dados!$C$17</f>
        <v>0</v>
      </c>
      <c r="AD15" s="120">
        <f>Dados!$C$17</f>
        <v>0</v>
      </c>
      <c r="AE15" s="120">
        <f>Dados!$C$17</f>
        <v>0</v>
      </c>
      <c r="AF15" s="120">
        <f>Dados!$C$17</f>
        <v>0</v>
      </c>
      <c r="AG15" s="120">
        <f>Dados!$C$17</f>
        <v>0</v>
      </c>
      <c r="AH15" s="120">
        <f>Dados!$C$17</f>
        <v>0</v>
      </c>
      <c r="AI15" s="120">
        <f>Dados!$C$17</f>
        <v>0</v>
      </c>
      <c r="AJ15" s="120">
        <f>Dados!$C$17</f>
        <v>0</v>
      </c>
      <c r="AK15" s="120">
        <f>Dados!$C$17</f>
        <v>0</v>
      </c>
      <c r="AL15" s="120">
        <f>Dados!$C$17</f>
        <v>0</v>
      </c>
      <c r="AM15" s="120">
        <f>Dados!$C$17</f>
        <v>0</v>
      </c>
      <c r="AN15" s="120">
        <f>Dados!$C$17</f>
        <v>0</v>
      </c>
      <c r="AO15" s="120">
        <f>Dados!$C$17</f>
        <v>0</v>
      </c>
      <c r="AP15" s="120">
        <f>Dados!$C$17</f>
        <v>0</v>
      </c>
      <c r="AQ15" s="120">
        <f>Dados!$C$17</f>
        <v>0</v>
      </c>
      <c r="AR15" s="120">
        <f>Dados!$C$17</f>
        <v>0</v>
      </c>
      <c r="AS15" s="120">
        <f>Dados!$C$17</f>
        <v>0</v>
      </c>
      <c r="AT15" s="120">
        <f>Dados!$C$17</f>
        <v>0</v>
      </c>
      <c r="AU15" s="120">
        <f>Dados!$C$17</f>
        <v>0</v>
      </c>
      <c r="AV15" s="120">
        <f>Dados!$C$17</f>
        <v>0</v>
      </c>
      <c r="AW15" s="120">
        <f>Dados!$C$17</f>
        <v>0</v>
      </c>
      <c r="AX15" s="120">
        <f>Dados!$C$17</f>
        <v>0</v>
      </c>
      <c r="AY15" s="120">
        <f>Dados!$C$17</f>
        <v>0</v>
      </c>
      <c r="AZ15" s="120">
        <f>Dados!$C$17</f>
        <v>0</v>
      </c>
      <c r="BA15" s="120">
        <f>Dados!$C$17</f>
        <v>0</v>
      </c>
      <c r="BB15" s="120">
        <f>Dados!$C$17</f>
        <v>0</v>
      </c>
      <c r="BC15" s="120">
        <f>Dados!$C$17</f>
        <v>0</v>
      </c>
      <c r="BD15" s="120">
        <f>Dados!$C$17</f>
        <v>0</v>
      </c>
      <c r="BE15" s="120">
        <f>Dados!$C$17</f>
        <v>0</v>
      </c>
      <c r="BF15" s="120">
        <f>Dados!$C$17</f>
        <v>0</v>
      </c>
      <c r="BG15" s="120">
        <f>Dados!$C$17</f>
        <v>0</v>
      </c>
      <c r="BH15" s="120">
        <f>Dados!$C$17</f>
        <v>0</v>
      </c>
      <c r="BI15" s="120">
        <f>Dados!$C$17</f>
        <v>0</v>
      </c>
      <c r="BJ15" s="120">
        <f>Dados!$C$17</f>
        <v>0</v>
      </c>
      <c r="BK15" s="120">
        <f>Dados!$C$17</f>
        <v>0</v>
      </c>
      <c r="BL15" s="120">
        <f>Dados!$C$17</f>
        <v>0</v>
      </c>
      <c r="BM15" s="120">
        <f>Dados!$C$17</f>
        <v>0</v>
      </c>
      <c r="BN15" s="120">
        <f>Dados!$C$17</f>
        <v>0</v>
      </c>
      <c r="BO15" s="120">
        <f>Dados!$C$17</f>
        <v>0</v>
      </c>
      <c r="BP15" s="120">
        <f>Dados!$C$17</f>
        <v>0</v>
      </c>
      <c r="BQ15" s="120">
        <f>Dados!$C$17</f>
        <v>0</v>
      </c>
      <c r="BR15" s="120">
        <f>Dados!$C$17</f>
        <v>0</v>
      </c>
      <c r="BS15" s="120">
        <f>Dados!$C$17</f>
        <v>0</v>
      </c>
      <c r="BT15" s="120">
        <f>Dados!$C$17</f>
        <v>0</v>
      </c>
      <c r="BU15" s="120">
        <f>Dados!$C$17</f>
        <v>0</v>
      </c>
      <c r="BV15" s="120">
        <f>Dados!$C$17</f>
        <v>0</v>
      </c>
      <c r="BW15" s="120">
        <f>Dados!$C$17</f>
        <v>0</v>
      </c>
      <c r="BX15" s="120">
        <f>Dados!$C$17</f>
        <v>0</v>
      </c>
      <c r="BY15" s="120">
        <f>Dados!$C$17</f>
        <v>0</v>
      </c>
      <c r="BZ15" s="120">
        <f>Dados!$C$17</f>
        <v>0</v>
      </c>
      <c r="CA15" s="120">
        <f>Dados!$C$17</f>
        <v>0</v>
      </c>
      <c r="CB15" s="120">
        <f>Dados!$C$17</f>
        <v>0</v>
      </c>
      <c r="CC15" s="120">
        <f>Dados!$C$17</f>
        <v>0</v>
      </c>
      <c r="CD15" s="120">
        <f>Dados!$C$17</f>
        <v>0</v>
      </c>
      <c r="CE15" s="120">
        <f>Dados!$C$17</f>
        <v>0</v>
      </c>
      <c r="CF15" s="120">
        <f>Dados!$C$17</f>
        <v>0</v>
      </c>
      <c r="CG15" s="120">
        <f>Dados!$C$17</f>
        <v>0</v>
      </c>
      <c r="CH15" s="120">
        <f>Dados!$C$17</f>
        <v>0</v>
      </c>
      <c r="CI15" s="120">
        <f>Dados!$C$17</f>
        <v>0</v>
      </c>
      <c r="CJ15" s="120">
        <f>Dados!$C$17</f>
        <v>0</v>
      </c>
      <c r="CK15" s="120">
        <f>Dados!$C$17</f>
        <v>0</v>
      </c>
      <c r="CL15" s="120">
        <f>Dados!$C$17</f>
        <v>0</v>
      </c>
      <c r="CM15" s="120">
        <f>Dados!$C$17</f>
        <v>0</v>
      </c>
      <c r="CN15" s="120">
        <f>Dados!$C$17</f>
        <v>0</v>
      </c>
      <c r="CO15" s="120">
        <f>Dados!$C$17</f>
        <v>0</v>
      </c>
      <c r="CP15" s="120">
        <f>Dados!$C$17</f>
        <v>0</v>
      </c>
      <c r="CQ15" s="120">
        <f>Dados!$C$17</f>
        <v>0</v>
      </c>
      <c r="CR15" s="120">
        <f>Dados!$C$17</f>
        <v>0</v>
      </c>
      <c r="CS15" s="120">
        <f>Dados!$C$17</f>
        <v>0</v>
      </c>
      <c r="CT15" s="120">
        <f>Dados!$C$17</f>
        <v>0</v>
      </c>
      <c r="CU15" s="120">
        <f>Dados!$C$17</f>
        <v>0</v>
      </c>
      <c r="CV15" s="120">
        <f>Dados!$C$17</f>
        <v>0</v>
      </c>
      <c r="CW15" s="120">
        <f>Dados!$C$17</f>
        <v>0</v>
      </c>
      <c r="CX15" s="120">
        <f>Dados!$C$17</f>
        <v>0</v>
      </c>
      <c r="CY15" s="120">
        <f>Dados!$C$17</f>
        <v>0</v>
      </c>
      <c r="CZ15" s="120">
        <f>Dados!$C$17</f>
        <v>0</v>
      </c>
      <c r="DA15" s="120">
        <f>Dados!$C$17</f>
        <v>0</v>
      </c>
      <c r="DB15" s="120">
        <f>Dados!$C$17</f>
        <v>0</v>
      </c>
      <c r="DC15" s="120">
        <f>Dados!$C$17</f>
        <v>0</v>
      </c>
      <c r="DD15" s="120">
        <f>Dados!$C$17</f>
        <v>0</v>
      </c>
      <c r="DE15" s="120">
        <f>Dados!$C$17</f>
        <v>0</v>
      </c>
      <c r="DF15" s="120">
        <f>Dados!$C$17</f>
        <v>0</v>
      </c>
      <c r="DG15" s="120">
        <f>Dados!$C$17</f>
        <v>0</v>
      </c>
      <c r="DH15" s="120">
        <f>Dados!$C$17</f>
        <v>0</v>
      </c>
      <c r="DI15" s="120">
        <f>Dados!$C$17</f>
        <v>0</v>
      </c>
      <c r="DJ15" s="120">
        <f>Dados!$C$17</f>
        <v>0</v>
      </c>
      <c r="DK15" s="120">
        <f>Dados!$C$17</f>
        <v>0</v>
      </c>
      <c r="DL15" s="120">
        <f>Dados!$C$17</f>
        <v>0</v>
      </c>
      <c r="DM15" s="120">
        <f>Dados!$C$17</f>
        <v>0</v>
      </c>
      <c r="DN15" s="120">
        <f>Dados!$C$17</f>
        <v>0</v>
      </c>
      <c r="DO15" s="120">
        <f>Dados!$C$17</f>
        <v>0</v>
      </c>
      <c r="DP15" s="120">
        <f>Dados!$C$17</f>
        <v>0</v>
      </c>
      <c r="DQ15" s="120">
        <f>Dados!$C$17</f>
        <v>0</v>
      </c>
      <c r="DR15" s="120">
        <f>Dados!$C$17</f>
        <v>0</v>
      </c>
      <c r="DS15" s="120">
        <f>Dados!$C$17</f>
        <v>0</v>
      </c>
      <c r="DT15" s="120">
        <f>Dados!$C$17</f>
        <v>0</v>
      </c>
      <c r="DU15" s="120">
        <f>Dados!$C$17</f>
        <v>0</v>
      </c>
      <c r="DV15" s="120">
        <f>Dados!$C$17</f>
        <v>0</v>
      </c>
      <c r="DW15" s="120">
        <f>Dados!$C$17</f>
        <v>0</v>
      </c>
      <c r="DX15" s="120">
        <f>Dados!$C$17</f>
        <v>0</v>
      </c>
      <c r="DY15" s="120">
        <f>Dados!$C$17</f>
        <v>0</v>
      </c>
      <c r="DZ15" s="120">
        <f>Dados!$C$17</f>
        <v>0</v>
      </c>
      <c r="EA15" s="120">
        <f>Dados!$C$17</f>
        <v>0</v>
      </c>
      <c r="EB15" s="120">
        <f>Dados!$C$17</f>
        <v>0</v>
      </c>
    </row>
    <row r="16" spans="1:132" x14ac:dyDescent="0.25">
      <c r="F16" s="17">
        <f t="shared" si="175"/>
        <v>7</v>
      </c>
      <c r="G16" t="s">
        <v>92</v>
      </c>
      <c r="H16" s="87"/>
      <c r="I16" s="87"/>
      <c r="J16" s="121"/>
      <c r="K16" s="87">
        <f>'Seguros-Rastreamento'!$E$4</f>
        <v>0</v>
      </c>
      <c r="L16" s="87">
        <f>'Seguros-Rastreamento'!$E$4</f>
        <v>0</v>
      </c>
      <c r="M16" s="87">
        <f>'Seguros-Rastreamento'!$E$4</f>
        <v>0</v>
      </c>
      <c r="N16" s="87">
        <f>'Seguros-Rastreamento'!$E$4</f>
        <v>0</v>
      </c>
      <c r="O16" s="87">
        <f>'Seguros-Rastreamento'!$E$4</f>
        <v>0</v>
      </c>
      <c r="P16" s="87">
        <f>'Seguros-Rastreamento'!$E$4</f>
        <v>0</v>
      </c>
      <c r="Q16" s="87">
        <f>'Seguros-Rastreamento'!$E$4</f>
        <v>0</v>
      </c>
      <c r="R16" s="87">
        <f>'Seguros-Rastreamento'!$E$4</f>
        <v>0</v>
      </c>
      <c r="S16" s="87">
        <f>'Seguros-Rastreamento'!$E$4</f>
        <v>0</v>
      </c>
      <c r="T16" s="87">
        <f>'Seguros-Rastreamento'!$E$4</f>
        <v>0</v>
      </c>
      <c r="U16" s="87">
        <f>'Seguros-Rastreamento'!$E$4</f>
        <v>0</v>
      </c>
      <c r="V16" s="87">
        <f>'Seguros-Rastreamento'!$E$4</f>
        <v>0</v>
      </c>
      <c r="W16" s="87">
        <f>'Seguros-Rastreamento'!$E$5</f>
        <v>0</v>
      </c>
      <c r="X16" s="87">
        <f>'Seguros-Rastreamento'!$E$5</f>
        <v>0</v>
      </c>
      <c r="Y16" s="87">
        <f>'Seguros-Rastreamento'!$E$5</f>
        <v>0</v>
      </c>
      <c r="Z16" s="87">
        <f>'Seguros-Rastreamento'!$E$5</f>
        <v>0</v>
      </c>
      <c r="AA16" s="87">
        <f>'Seguros-Rastreamento'!$E$5</f>
        <v>0</v>
      </c>
      <c r="AB16" s="87">
        <f>'Seguros-Rastreamento'!$E$5</f>
        <v>0</v>
      </c>
      <c r="AC16" s="87">
        <f>'Seguros-Rastreamento'!$E$5</f>
        <v>0</v>
      </c>
      <c r="AD16" s="87">
        <f>'Seguros-Rastreamento'!$E$5</f>
        <v>0</v>
      </c>
      <c r="AE16" s="87">
        <f>'Seguros-Rastreamento'!$E$5</f>
        <v>0</v>
      </c>
      <c r="AF16" s="87">
        <f>'Seguros-Rastreamento'!$E$5</f>
        <v>0</v>
      </c>
      <c r="AG16" s="87">
        <f>'Seguros-Rastreamento'!$E$5</f>
        <v>0</v>
      </c>
      <c r="AH16" s="87">
        <f>'Seguros-Rastreamento'!$E$5</f>
        <v>0</v>
      </c>
      <c r="AI16" s="87">
        <f>'Seguros-Rastreamento'!$E$5</f>
        <v>0</v>
      </c>
      <c r="AJ16" s="87">
        <f>'Seguros-Rastreamento'!$E$5</f>
        <v>0</v>
      </c>
      <c r="AK16" s="87">
        <f>'Seguros-Rastreamento'!$E$5</f>
        <v>0</v>
      </c>
      <c r="AL16" s="87">
        <f>'Seguros-Rastreamento'!$E$5</f>
        <v>0</v>
      </c>
      <c r="AM16" s="87">
        <f>'Seguros-Rastreamento'!$E$5</f>
        <v>0</v>
      </c>
      <c r="AN16" s="87">
        <f>'Seguros-Rastreamento'!$E$5</f>
        <v>0</v>
      </c>
      <c r="AO16" s="87">
        <f>'Seguros-Rastreamento'!$E$5</f>
        <v>0</v>
      </c>
      <c r="AP16" s="87">
        <f>'Seguros-Rastreamento'!$E$5</f>
        <v>0</v>
      </c>
      <c r="AQ16" s="87">
        <f>'Seguros-Rastreamento'!$E$5</f>
        <v>0</v>
      </c>
      <c r="AR16" s="87">
        <f>'Seguros-Rastreamento'!$E$5</f>
        <v>0</v>
      </c>
      <c r="AS16" s="87">
        <f>'Seguros-Rastreamento'!$E$5</f>
        <v>0</v>
      </c>
      <c r="AT16" s="87">
        <f>'Seguros-Rastreamento'!$E$5</f>
        <v>0</v>
      </c>
      <c r="AU16" s="87">
        <f>'Seguros-Rastreamento'!$E$5</f>
        <v>0</v>
      </c>
      <c r="AV16" s="87">
        <f>'Seguros-Rastreamento'!$E$5</f>
        <v>0</v>
      </c>
      <c r="AW16" s="87">
        <f>'Seguros-Rastreamento'!$E$5</f>
        <v>0</v>
      </c>
      <c r="AX16" s="87">
        <f>'Seguros-Rastreamento'!$E$5</f>
        <v>0</v>
      </c>
      <c r="AY16" s="87">
        <f>'Seguros-Rastreamento'!$E$5</f>
        <v>0</v>
      </c>
      <c r="AZ16" s="87">
        <f>'Seguros-Rastreamento'!$E$5</f>
        <v>0</v>
      </c>
      <c r="BA16" s="87">
        <f>'Seguros-Rastreamento'!$E$5</f>
        <v>0</v>
      </c>
      <c r="BB16" s="87">
        <f>'Seguros-Rastreamento'!$E$5</f>
        <v>0</v>
      </c>
      <c r="BC16" s="87">
        <f>'Seguros-Rastreamento'!$E$5</f>
        <v>0</v>
      </c>
      <c r="BD16" s="87">
        <f>'Seguros-Rastreamento'!$E$5</f>
        <v>0</v>
      </c>
      <c r="BE16" s="87">
        <f>'Seguros-Rastreamento'!$E$5</f>
        <v>0</v>
      </c>
      <c r="BF16" s="87">
        <f>'Seguros-Rastreamento'!$E$5</f>
        <v>0</v>
      </c>
      <c r="BG16" s="87">
        <f>'Seguros-Rastreamento'!$E$5</f>
        <v>0</v>
      </c>
      <c r="BH16" s="87">
        <f>'Seguros-Rastreamento'!$E$5</f>
        <v>0</v>
      </c>
      <c r="BI16" s="87">
        <f>'Seguros-Rastreamento'!$E$5</f>
        <v>0</v>
      </c>
      <c r="BJ16" s="87">
        <f>'Seguros-Rastreamento'!$E$5</f>
        <v>0</v>
      </c>
      <c r="BK16" s="87">
        <f>'Seguros-Rastreamento'!$E$5</f>
        <v>0</v>
      </c>
      <c r="BL16" s="87">
        <f>'Seguros-Rastreamento'!$E$5</f>
        <v>0</v>
      </c>
      <c r="BM16" s="87">
        <f>'Seguros-Rastreamento'!$E$5</f>
        <v>0</v>
      </c>
      <c r="BN16" s="87">
        <f>'Seguros-Rastreamento'!$E$5</f>
        <v>0</v>
      </c>
      <c r="BO16" s="87">
        <f>'Seguros-Rastreamento'!$E$5</f>
        <v>0</v>
      </c>
      <c r="BP16" s="87">
        <f>'Seguros-Rastreamento'!$E$5</f>
        <v>0</v>
      </c>
      <c r="BQ16" s="87">
        <f>'Seguros-Rastreamento'!$E$5</f>
        <v>0</v>
      </c>
      <c r="BR16" s="87">
        <f>'Seguros-Rastreamento'!$E$5</f>
        <v>0</v>
      </c>
      <c r="BS16" s="87">
        <f>'Seguros-Rastreamento'!$E$5</f>
        <v>0</v>
      </c>
      <c r="BT16" s="87">
        <f>'Seguros-Rastreamento'!$E$5</f>
        <v>0</v>
      </c>
      <c r="BU16" s="87">
        <f>'Seguros-Rastreamento'!$E$5</f>
        <v>0</v>
      </c>
      <c r="BV16" s="87">
        <f>'Seguros-Rastreamento'!$E$5</f>
        <v>0</v>
      </c>
      <c r="BW16" s="87">
        <f>'Seguros-Rastreamento'!$E$5</f>
        <v>0</v>
      </c>
      <c r="BX16" s="87">
        <f>'Seguros-Rastreamento'!$E$5</f>
        <v>0</v>
      </c>
      <c r="BY16" s="87">
        <f>'Seguros-Rastreamento'!$E$5</f>
        <v>0</v>
      </c>
      <c r="BZ16" s="87">
        <f>'Seguros-Rastreamento'!$E$5</f>
        <v>0</v>
      </c>
      <c r="CA16" s="87">
        <f>'Seguros-Rastreamento'!$E$5</f>
        <v>0</v>
      </c>
      <c r="CB16" s="87">
        <f>'Seguros-Rastreamento'!$E$5</f>
        <v>0</v>
      </c>
      <c r="CC16" s="87">
        <f>'Seguros-Rastreamento'!$E$5</f>
        <v>0</v>
      </c>
      <c r="CD16" s="87">
        <f>'Seguros-Rastreamento'!$E$5</f>
        <v>0</v>
      </c>
      <c r="CE16" s="87">
        <f>'Seguros-Rastreamento'!$E$5</f>
        <v>0</v>
      </c>
      <c r="CF16" s="87">
        <f>'Seguros-Rastreamento'!$E$5</f>
        <v>0</v>
      </c>
      <c r="CG16" s="87">
        <f>'Seguros-Rastreamento'!$E$5</f>
        <v>0</v>
      </c>
      <c r="CH16" s="87">
        <f>'Seguros-Rastreamento'!$E$5</f>
        <v>0</v>
      </c>
      <c r="CI16" s="87">
        <f>'Seguros-Rastreamento'!$E$5</f>
        <v>0</v>
      </c>
      <c r="CJ16" s="87">
        <f>'Seguros-Rastreamento'!$E$5</f>
        <v>0</v>
      </c>
      <c r="CK16" s="87">
        <f>'Seguros-Rastreamento'!$E$5</f>
        <v>0</v>
      </c>
      <c r="CL16" s="87">
        <f>'Seguros-Rastreamento'!$E$5</f>
        <v>0</v>
      </c>
      <c r="CM16" s="87">
        <f>'Seguros-Rastreamento'!$E$5</f>
        <v>0</v>
      </c>
      <c r="CN16" s="87">
        <f>'Seguros-Rastreamento'!$E$5</f>
        <v>0</v>
      </c>
      <c r="CO16" s="87">
        <f>'Seguros-Rastreamento'!$E$5</f>
        <v>0</v>
      </c>
      <c r="CP16" s="87">
        <f>'Seguros-Rastreamento'!$E$5</f>
        <v>0</v>
      </c>
      <c r="CQ16" s="87">
        <f>'Seguros-Rastreamento'!$E$5</f>
        <v>0</v>
      </c>
      <c r="CR16" s="87">
        <f>'Seguros-Rastreamento'!$E$5</f>
        <v>0</v>
      </c>
      <c r="CS16" s="87">
        <f>'Seguros-Rastreamento'!$E$5</f>
        <v>0</v>
      </c>
      <c r="CT16" s="87">
        <f>'Seguros-Rastreamento'!$E$5</f>
        <v>0</v>
      </c>
      <c r="CU16" s="87">
        <f>'Seguros-Rastreamento'!$E$5</f>
        <v>0</v>
      </c>
      <c r="CV16" s="87">
        <f>'Seguros-Rastreamento'!$E$5</f>
        <v>0</v>
      </c>
      <c r="CW16" s="87">
        <f>'Seguros-Rastreamento'!$E$5</f>
        <v>0</v>
      </c>
      <c r="CX16" s="87">
        <f>'Seguros-Rastreamento'!$E$5</f>
        <v>0</v>
      </c>
      <c r="CY16" s="87">
        <f>'Seguros-Rastreamento'!$E$5</f>
        <v>0</v>
      </c>
      <c r="CZ16" s="87">
        <f>'Seguros-Rastreamento'!$E$5</f>
        <v>0</v>
      </c>
      <c r="DA16" s="87">
        <f>'Seguros-Rastreamento'!$E$5</f>
        <v>0</v>
      </c>
      <c r="DB16" s="87">
        <f>'Seguros-Rastreamento'!$E$5</f>
        <v>0</v>
      </c>
      <c r="DC16" s="87">
        <f>'Seguros-Rastreamento'!$E$5</f>
        <v>0</v>
      </c>
      <c r="DD16" s="87">
        <f>'Seguros-Rastreamento'!$E$5</f>
        <v>0</v>
      </c>
      <c r="DE16" s="87">
        <f>'Seguros-Rastreamento'!$E$5</f>
        <v>0</v>
      </c>
      <c r="DF16" s="87">
        <f>'Seguros-Rastreamento'!$E$5</f>
        <v>0</v>
      </c>
      <c r="DG16" s="87">
        <f>'Seguros-Rastreamento'!$E$5</f>
        <v>0</v>
      </c>
      <c r="DH16" s="87">
        <f>'Seguros-Rastreamento'!$E$5</f>
        <v>0</v>
      </c>
      <c r="DI16" s="87">
        <f>'Seguros-Rastreamento'!$E$5</f>
        <v>0</v>
      </c>
      <c r="DJ16" s="87">
        <f>'Seguros-Rastreamento'!$E$5</f>
        <v>0</v>
      </c>
      <c r="DK16" s="87">
        <f>'Seguros-Rastreamento'!$E$5</f>
        <v>0</v>
      </c>
      <c r="DL16" s="87">
        <f>'Seguros-Rastreamento'!$E$5</f>
        <v>0</v>
      </c>
      <c r="DM16" s="87">
        <f>'Seguros-Rastreamento'!$E$5</f>
        <v>0</v>
      </c>
      <c r="DN16" s="87">
        <f>'Seguros-Rastreamento'!$E$5</f>
        <v>0</v>
      </c>
      <c r="DO16" s="87">
        <f>'Seguros-Rastreamento'!$E$5</f>
        <v>0</v>
      </c>
      <c r="DP16" s="87">
        <f>'Seguros-Rastreamento'!$E$5</f>
        <v>0</v>
      </c>
      <c r="DQ16" s="87">
        <f>'Seguros-Rastreamento'!$E$5</f>
        <v>0</v>
      </c>
      <c r="DR16" s="87">
        <f>'Seguros-Rastreamento'!$E$5</f>
        <v>0</v>
      </c>
      <c r="DS16" s="87">
        <f>'Seguros-Rastreamento'!$E$5</f>
        <v>0</v>
      </c>
      <c r="DT16" s="87">
        <f>'Seguros-Rastreamento'!$E$5</f>
        <v>0</v>
      </c>
      <c r="DU16" s="87">
        <f>'Seguros-Rastreamento'!$E$5</f>
        <v>0</v>
      </c>
      <c r="DV16" s="87">
        <f>'Seguros-Rastreamento'!$E$5</f>
        <v>0</v>
      </c>
      <c r="DW16" s="87">
        <f>'Seguros-Rastreamento'!$E$5</f>
        <v>0</v>
      </c>
      <c r="DX16" s="87">
        <f>'Seguros-Rastreamento'!$E$5</f>
        <v>0</v>
      </c>
      <c r="DY16" s="87">
        <f>'Seguros-Rastreamento'!$E$5</f>
        <v>0</v>
      </c>
      <c r="DZ16" s="87">
        <f>'Seguros-Rastreamento'!$E$5</f>
        <v>0</v>
      </c>
      <c r="EA16" s="87"/>
      <c r="EB16" s="113"/>
    </row>
    <row r="17" spans="1:1006 1030:2032 2056:3058 3082:4084 4108:5110 5134:6136 6160:7162 7186:8188 8212:9214 9238:10240 10264:11263 11265:12265 12289:13291 13315:14317 14341:15343 15367:16369" x14ac:dyDescent="0.25">
      <c r="F17" s="17">
        <f t="shared" si="175"/>
        <v>8</v>
      </c>
      <c r="G17" s="20" t="s">
        <v>93</v>
      </c>
      <c r="H17" s="27"/>
      <c r="I17" s="27"/>
      <c r="J17" s="122">
        <f>'Seguros-Rastreamento'!$G$12</f>
        <v>0</v>
      </c>
      <c r="K17" s="122">
        <f>'Seguros-Rastreamento'!$G$12</f>
        <v>0</v>
      </c>
      <c r="L17" s="122">
        <f>'Seguros-Rastreamento'!$G$12</f>
        <v>0</v>
      </c>
      <c r="M17" s="122">
        <f>'Seguros-Rastreamento'!$G$12</f>
        <v>0</v>
      </c>
      <c r="N17" s="122">
        <f>'Seguros-Rastreamento'!$G$12</f>
        <v>0</v>
      </c>
      <c r="O17" s="122">
        <f>'Seguros-Rastreamento'!$G$12</f>
        <v>0</v>
      </c>
      <c r="P17" s="25"/>
      <c r="Q17" s="25"/>
      <c r="R17" s="25"/>
      <c r="S17" s="25"/>
      <c r="T17" s="25"/>
      <c r="U17" s="25"/>
      <c r="V17" s="25"/>
      <c r="W17" s="206">
        <f>'Seguros-Rastreamento'!$G$13</f>
        <v>0</v>
      </c>
      <c r="X17" s="206">
        <f>'Seguros-Rastreamento'!$G$13</f>
        <v>0</v>
      </c>
      <c r="Y17" s="206">
        <f>'Seguros-Rastreamento'!$G$13</f>
        <v>0</v>
      </c>
      <c r="Z17" s="206">
        <f>'Seguros-Rastreamento'!$G$13</f>
        <v>0</v>
      </c>
      <c r="AA17" s="206">
        <f>'Seguros-Rastreamento'!$G$13</f>
        <v>0</v>
      </c>
      <c r="AB17" s="206">
        <f>'Seguros-Rastreamento'!$G$13</f>
        <v>0</v>
      </c>
      <c r="AC17" s="25"/>
      <c r="AD17" s="25"/>
      <c r="AE17" s="25"/>
      <c r="AF17" s="25"/>
      <c r="AG17" s="25"/>
      <c r="AH17" s="206">
        <f>'Seguros-Rastreamento'!$G$14</f>
        <v>0</v>
      </c>
      <c r="AI17" s="206">
        <f>'Seguros-Rastreamento'!$G$14</f>
        <v>0</v>
      </c>
      <c r="AJ17" s="206">
        <f>'Seguros-Rastreamento'!$G$14</f>
        <v>0</v>
      </c>
      <c r="AK17" s="206">
        <f>'Seguros-Rastreamento'!$G$14</f>
        <v>0</v>
      </c>
      <c r="AL17" s="206">
        <f>'Seguros-Rastreamento'!$G$14</f>
        <v>0</v>
      </c>
      <c r="AM17" s="25"/>
      <c r="AN17" s="25"/>
      <c r="AT17" s="206">
        <f>'Seguros-Rastreamento'!$G$14</f>
        <v>0</v>
      </c>
      <c r="AU17" s="206">
        <f>'Seguros-Rastreamento'!$G$14</f>
        <v>0</v>
      </c>
      <c r="AV17" s="206">
        <f>'Seguros-Rastreamento'!$G$14</f>
        <v>0</v>
      </c>
      <c r="AW17" s="206">
        <f>'Seguros-Rastreamento'!$G$14</f>
        <v>0</v>
      </c>
      <c r="AX17" s="206">
        <f>'Seguros-Rastreamento'!$G$14</f>
        <v>0</v>
      </c>
      <c r="AY17" s="25"/>
      <c r="AZ17" s="25"/>
      <c r="BF17" s="206">
        <f>'Seguros-Rastreamento'!$G$14</f>
        <v>0</v>
      </c>
      <c r="BG17" s="206">
        <f>'Seguros-Rastreamento'!$G$14</f>
        <v>0</v>
      </c>
      <c r="BH17" s="206">
        <f>'Seguros-Rastreamento'!$G$14</f>
        <v>0</v>
      </c>
      <c r="BI17" s="206">
        <f>'Seguros-Rastreamento'!$G$14</f>
        <v>0</v>
      </c>
      <c r="BJ17" s="206">
        <f>'Seguros-Rastreamento'!$G$14</f>
        <v>0</v>
      </c>
      <c r="BK17" s="25"/>
      <c r="BL17" s="25"/>
      <c r="BW17" s="206">
        <f>'Seguros-Rastreamento'!$G$14</f>
        <v>0</v>
      </c>
      <c r="BX17" s="206">
        <f>'Seguros-Rastreamento'!$G$14</f>
        <v>0</v>
      </c>
      <c r="BY17" s="206">
        <f>'Seguros-Rastreamento'!$G$14</f>
        <v>0</v>
      </c>
      <c r="BZ17" s="206">
        <f>'Seguros-Rastreamento'!$G$14</f>
        <v>0</v>
      </c>
      <c r="CA17" s="206">
        <f>'Seguros-Rastreamento'!$G$14</f>
        <v>0</v>
      </c>
      <c r="CB17" s="25"/>
      <c r="CC17" s="25"/>
      <c r="CI17" s="25"/>
      <c r="CU17" s="25"/>
      <c r="DG17" s="25"/>
      <c r="DS17" s="25"/>
      <c r="DZ17" s="25"/>
      <c r="EA17" s="25"/>
      <c r="EB17" s="75"/>
    </row>
    <row r="18" spans="1:1006 1030:2032 2056:3058 3082:4084 4108:5110 5134:6136 6160:7162 7186:8188 8212:9214 9238:10240 10264:11263 11265:12265 12289:13291 13315:14317 14341:15343 15367:16369" s="95" customFormat="1" x14ac:dyDescent="0.25">
      <c r="F18" s="17">
        <f t="shared" si="175"/>
        <v>9</v>
      </c>
      <c r="G18" s="96" t="s">
        <v>94</v>
      </c>
      <c r="H18" s="97"/>
      <c r="I18" s="97"/>
      <c r="J18" s="122"/>
      <c r="K18" s="194">
        <f>Manutenção!$D$36</f>
        <v>0</v>
      </c>
      <c r="L18" s="194">
        <f>Manutenção!$D$36</f>
        <v>0</v>
      </c>
      <c r="M18" s="194">
        <f>Manutenção!$D$36</f>
        <v>0</v>
      </c>
      <c r="N18" s="194">
        <f>Manutenção!$D$36</f>
        <v>0</v>
      </c>
      <c r="O18" s="194">
        <f>Manutenção!$D$36</f>
        <v>0</v>
      </c>
      <c r="P18" s="194">
        <f>Manutenção!$D$36</f>
        <v>0</v>
      </c>
      <c r="Q18" s="194">
        <f>Manutenção!$D$36</f>
        <v>0</v>
      </c>
      <c r="R18" s="194">
        <f>Manutenção!$D$36</f>
        <v>0</v>
      </c>
      <c r="S18" s="194">
        <f>Manutenção!$D$36</f>
        <v>0</v>
      </c>
      <c r="T18" s="194">
        <f>Manutenção!$D$36</f>
        <v>0</v>
      </c>
      <c r="U18" s="194">
        <f>Manutenção!$D$36</f>
        <v>0</v>
      </c>
      <c r="V18" s="194">
        <f>Manutenção!$D$36</f>
        <v>0</v>
      </c>
      <c r="W18" s="194">
        <f>Manutenção!$F$36</f>
        <v>0</v>
      </c>
      <c r="X18" s="194">
        <f>Manutenção!$F$36</f>
        <v>0</v>
      </c>
      <c r="Y18" s="194">
        <f>Manutenção!$F$36</f>
        <v>0</v>
      </c>
      <c r="Z18" s="194">
        <f>Manutenção!$F$36</f>
        <v>0</v>
      </c>
      <c r="AA18" s="194">
        <f>Manutenção!$F$36</f>
        <v>0</v>
      </c>
      <c r="AB18" s="194">
        <f>Manutenção!$F$36</f>
        <v>0</v>
      </c>
      <c r="AC18" s="194">
        <f>Manutenção!$F$36</f>
        <v>0</v>
      </c>
      <c r="AD18" s="194">
        <f>Manutenção!$F$36</f>
        <v>0</v>
      </c>
      <c r="AE18" s="194">
        <f>Manutenção!$F$36</f>
        <v>0</v>
      </c>
      <c r="AF18" s="194">
        <f>Manutenção!$F$36</f>
        <v>0</v>
      </c>
      <c r="AG18" s="194">
        <f>Manutenção!$F$36</f>
        <v>0</v>
      </c>
      <c r="AH18" s="194">
        <f>Manutenção!$F$36</f>
        <v>0</v>
      </c>
      <c r="AI18" s="194">
        <f>Manutenção!$H$36</f>
        <v>0</v>
      </c>
      <c r="AJ18" s="194">
        <f>Manutenção!$H$36</f>
        <v>0</v>
      </c>
      <c r="AK18" s="194">
        <f>Manutenção!$H$36</f>
        <v>0</v>
      </c>
      <c r="AL18" s="194">
        <f>Manutenção!$H$36</f>
        <v>0</v>
      </c>
      <c r="AM18" s="194">
        <f>Manutenção!$H$36</f>
        <v>0</v>
      </c>
      <c r="AN18" s="194">
        <f>Manutenção!$H$36</f>
        <v>0</v>
      </c>
      <c r="AO18" s="194">
        <f>Manutenção!$H$36</f>
        <v>0</v>
      </c>
      <c r="AP18" s="194">
        <f>Manutenção!$H$36</f>
        <v>0</v>
      </c>
      <c r="AQ18" s="194">
        <f>Manutenção!$H$36</f>
        <v>0</v>
      </c>
      <c r="AR18" s="194">
        <f>Manutenção!$H$36</f>
        <v>0</v>
      </c>
      <c r="AS18" s="194">
        <f>Manutenção!$H$36</f>
        <v>0</v>
      </c>
      <c r="AT18" s="194">
        <f>Manutenção!$F$36</f>
        <v>0</v>
      </c>
      <c r="AU18" s="194">
        <f>Manutenção!$H$36</f>
        <v>0</v>
      </c>
      <c r="AV18" s="194">
        <f>Manutenção!$H$36</f>
        <v>0</v>
      </c>
      <c r="AW18" s="194">
        <f>Manutenção!$H$36</f>
        <v>0</v>
      </c>
      <c r="AX18" s="194">
        <f>Manutenção!$H$36</f>
        <v>0</v>
      </c>
      <c r="AY18" s="194">
        <f>Manutenção!$H$36</f>
        <v>0</v>
      </c>
      <c r="AZ18" s="194">
        <f>Manutenção!$H$36</f>
        <v>0</v>
      </c>
      <c r="BA18" s="194">
        <f>Manutenção!$H$36</f>
        <v>0</v>
      </c>
      <c r="BB18" s="194">
        <f>Manutenção!$H$36</f>
        <v>0</v>
      </c>
      <c r="BC18" s="194">
        <f>Manutenção!$H$36</f>
        <v>0</v>
      </c>
      <c r="BD18" s="194">
        <f>Manutenção!$H$36</f>
        <v>0</v>
      </c>
      <c r="BE18" s="194">
        <f>Manutenção!$H$36</f>
        <v>0</v>
      </c>
      <c r="BF18" s="194">
        <f>Manutenção!$F$36</f>
        <v>0</v>
      </c>
      <c r="BG18" s="194">
        <f>Manutenção!$H$36</f>
        <v>0</v>
      </c>
      <c r="BH18" s="194">
        <f>Manutenção!$H$36</f>
        <v>0</v>
      </c>
      <c r="BI18" s="194">
        <f>Manutenção!$H$36</f>
        <v>0</v>
      </c>
      <c r="BJ18" s="194">
        <f>Manutenção!$H$36</f>
        <v>0</v>
      </c>
      <c r="BK18" s="194">
        <f>Manutenção!$H$36</f>
        <v>0</v>
      </c>
      <c r="BL18" s="194">
        <f>Manutenção!$H$36</f>
        <v>0</v>
      </c>
      <c r="BM18" s="194">
        <f>Manutenção!$H$36</f>
        <v>0</v>
      </c>
      <c r="BN18" s="194">
        <f>Manutenção!$H$36</f>
        <v>0</v>
      </c>
      <c r="BO18" s="194">
        <f>Manutenção!$H$36</f>
        <v>0</v>
      </c>
      <c r="BP18" s="194">
        <f>Manutenção!$H$36</f>
        <v>0</v>
      </c>
      <c r="BQ18" s="194">
        <f>Manutenção!$H$36</f>
        <v>0</v>
      </c>
      <c r="BR18" s="194">
        <f>Manutenção!$H$36</f>
        <v>0</v>
      </c>
      <c r="BS18" s="194">
        <f>Manutenção!$H$36</f>
        <v>0</v>
      </c>
      <c r="BT18" s="194">
        <f>Manutenção!$H$36</f>
        <v>0</v>
      </c>
      <c r="BU18" s="194">
        <f>Manutenção!$H$36</f>
        <v>0</v>
      </c>
      <c r="BV18" s="194">
        <f>Manutenção!$H$36</f>
        <v>0</v>
      </c>
      <c r="BW18" s="194">
        <f>Manutenção!$F$36</f>
        <v>0</v>
      </c>
      <c r="BX18" s="194">
        <f>Manutenção!$H$36</f>
        <v>0</v>
      </c>
      <c r="BY18" s="194">
        <f>Manutenção!$H$36</f>
        <v>0</v>
      </c>
      <c r="BZ18" s="194">
        <f>Manutenção!$H$36</f>
        <v>0</v>
      </c>
      <c r="CA18" s="194">
        <f>Manutenção!$H$36</f>
        <v>0</v>
      </c>
      <c r="CB18" s="194">
        <f>Manutenção!$H$36</f>
        <v>0</v>
      </c>
      <c r="CC18" s="194">
        <f>Manutenção!$H$36</f>
        <v>0</v>
      </c>
      <c r="CD18" s="194">
        <f>Manutenção!$H$36</f>
        <v>0</v>
      </c>
      <c r="CE18" s="194">
        <f>Manutenção!$H$36</f>
        <v>0</v>
      </c>
      <c r="CF18" s="194">
        <f>Manutenção!$H$36</f>
        <v>0</v>
      </c>
      <c r="CG18" s="194">
        <f>Manutenção!$H$36</f>
        <v>0</v>
      </c>
      <c r="CH18" s="194">
        <f>Manutenção!$H$36</f>
        <v>0</v>
      </c>
      <c r="CI18" s="194">
        <f>Manutenção!$H$36</f>
        <v>0</v>
      </c>
      <c r="CJ18" s="194">
        <f>Manutenção!$H$36</f>
        <v>0</v>
      </c>
      <c r="CK18" s="194">
        <f>Manutenção!$H$36</f>
        <v>0</v>
      </c>
      <c r="CL18" s="194">
        <f>Manutenção!$H$36</f>
        <v>0</v>
      </c>
      <c r="CM18" s="194">
        <f>Manutenção!$H$36</f>
        <v>0</v>
      </c>
      <c r="CN18" s="194">
        <f>Manutenção!$H$36</f>
        <v>0</v>
      </c>
      <c r="CO18" s="194">
        <f>Manutenção!$H$36</f>
        <v>0</v>
      </c>
      <c r="CP18" s="194">
        <f>Manutenção!$H$36</f>
        <v>0</v>
      </c>
      <c r="CQ18" s="194">
        <f>Manutenção!$H$36</f>
        <v>0</v>
      </c>
      <c r="CR18" s="194">
        <f>Manutenção!$H$36</f>
        <v>0</v>
      </c>
      <c r="CS18" s="194">
        <f>Manutenção!$H$36</f>
        <v>0</v>
      </c>
      <c r="CT18" s="194">
        <f>Manutenção!$H$36</f>
        <v>0</v>
      </c>
      <c r="CU18" s="194">
        <f>Manutenção!$H$36</f>
        <v>0</v>
      </c>
      <c r="CV18" s="194">
        <f>Manutenção!$H$36</f>
        <v>0</v>
      </c>
      <c r="CW18" s="194">
        <f>Manutenção!$H$36</f>
        <v>0</v>
      </c>
      <c r="CX18" s="194">
        <f>Manutenção!$H$36</f>
        <v>0</v>
      </c>
      <c r="CY18" s="194">
        <f>Manutenção!$H$36</f>
        <v>0</v>
      </c>
      <c r="CZ18" s="194">
        <f>Manutenção!$H$36</f>
        <v>0</v>
      </c>
      <c r="DA18" s="194">
        <f>Manutenção!$H$36</f>
        <v>0</v>
      </c>
      <c r="DB18" s="194">
        <f>Manutenção!$H$36</f>
        <v>0</v>
      </c>
      <c r="DC18" s="194">
        <f>Manutenção!$H$36</f>
        <v>0</v>
      </c>
      <c r="DD18" s="194">
        <f>Manutenção!$H$36</f>
        <v>0</v>
      </c>
      <c r="DE18" s="194">
        <f>Manutenção!$H$36</f>
        <v>0</v>
      </c>
      <c r="DF18" s="194">
        <f>Manutenção!$H$36</f>
        <v>0</v>
      </c>
      <c r="DG18" s="194">
        <f>Manutenção!$H$36</f>
        <v>0</v>
      </c>
      <c r="DH18" s="194">
        <f>Manutenção!$H$36</f>
        <v>0</v>
      </c>
      <c r="DI18" s="194">
        <f>Manutenção!$H$36</f>
        <v>0</v>
      </c>
      <c r="DJ18" s="194">
        <f>Manutenção!$H$36</f>
        <v>0</v>
      </c>
      <c r="DK18" s="194">
        <f>Manutenção!$H$36</f>
        <v>0</v>
      </c>
      <c r="DL18" s="194">
        <f>Manutenção!$H$36</f>
        <v>0</v>
      </c>
      <c r="DM18" s="194">
        <f>Manutenção!$H$36</f>
        <v>0</v>
      </c>
      <c r="DN18" s="194">
        <f>Manutenção!$H$36</f>
        <v>0</v>
      </c>
      <c r="DO18" s="194">
        <f>Manutenção!$H$36</f>
        <v>0</v>
      </c>
      <c r="DP18" s="194">
        <f>Manutenção!$H$36</f>
        <v>0</v>
      </c>
      <c r="DQ18" s="194">
        <f>Manutenção!$H$36</f>
        <v>0</v>
      </c>
      <c r="DR18" s="194">
        <f>Manutenção!$H$36</f>
        <v>0</v>
      </c>
      <c r="DS18" s="194">
        <f>Manutenção!$H$36</f>
        <v>0</v>
      </c>
      <c r="DT18" s="194">
        <f>Manutenção!$H$36</f>
        <v>0</v>
      </c>
      <c r="DU18" s="194">
        <f>Manutenção!$H$36</f>
        <v>0</v>
      </c>
      <c r="DV18" s="194">
        <f>Manutenção!$H$36</f>
        <v>0</v>
      </c>
      <c r="DW18" s="194">
        <f>Manutenção!$H$36</f>
        <v>0</v>
      </c>
      <c r="DX18" s="194">
        <f>Manutenção!$H$36</f>
        <v>0</v>
      </c>
      <c r="DY18" s="194">
        <f>Manutenção!$H$36</f>
        <v>0</v>
      </c>
      <c r="DZ18" s="194">
        <f>Manutenção!$J$36</f>
        <v>0</v>
      </c>
      <c r="EA18" s="97"/>
      <c r="EB18" s="97"/>
    </row>
    <row r="19" spans="1:1006 1030:2032 2056:3058 3082:4084 4108:5110 5134:6136 6160:7162 7186:8188 8212:9214 9238:10240 10264:11263 11265:12265 12289:13291 13315:14317 14341:15343 15367:16369" x14ac:dyDescent="0.25">
      <c r="F19" s="17">
        <f t="shared" si="175"/>
        <v>10</v>
      </c>
      <c r="G19" s="4"/>
      <c r="H19" s="28"/>
      <c r="I19" s="28"/>
      <c r="J19" s="158"/>
      <c r="K19" s="28"/>
      <c r="L19" s="28"/>
      <c r="M19" s="28"/>
      <c r="N19" s="28"/>
      <c r="O19" s="28"/>
      <c r="P19" s="28"/>
      <c r="Q19" s="28"/>
      <c r="R19" s="28"/>
      <c r="S19" s="28"/>
      <c r="T19" s="28"/>
      <c r="U19" s="28"/>
      <c r="V19" s="28"/>
      <c r="W19" s="28"/>
      <c r="X19" s="28"/>
      <c r="Y19" s="28"/>
      <c r="Z19" s="28"/>
      <c r="AA19" s="28"/>
      <c r="AB19" s="28"/>
      <c r="AC19" s="28"/>
      <c r="AD19" s="28"/>
      <c r="AE19" s="28"/>
      <c r="AF19" s="28"/>
      <c r="AG19" s="28"/>
      <c r="AH19" s="28"/>
      <c r="AI19" s="28"/>
      <c r="AJ19" s="28"/>
      <c r="AK19" s="28"/>
      <c r="AL19" s="28"/>
      <c r="AM19" s="28"/>
      <c r="AN19" s="28"/>
      <c r="AO19" s="28"/>
      <c r="AP19" s="28"/>
      <c r="AQ19" s="28"/>
      <c r="AR19" s="28"/>
      <c r="AS19" s="28"/>
      <c r="AT19" s="28"/>
      <c r="AU19" s="28"/>
      <c r="AV19" s="28"/>
      <c r="AW19" s="28"/>
      <c r="AX19" s="28"/>
      <c r="AY19" s="28"/>
      <c r="AZ19" s="28"/>
      <c r="BA19" s="28"/>
      <c r="BB19" s="28"/>
      <c r="BC19" s="28"/>
      <c r="BD19" s="28"/>
      <c r="BE19" s="28"/>
      <c r="BF19" s="28"/>
      <c r="BG19" s="28"/>
      <c r="BH19" s="28"/>
      <c r="BI19" s="28"/>
      <c r="BJ19" s="28"/>
      <c r="BK19" s="28"/>
      <c r="BL19" s="28"/>
      <c r="BM19" s="28"/>
      <c r="BN19" s="28"/>
      <c r="BO19" s="28"/>
      <c r="BP19" s="28"/>
      <c r="BQ19" s="28"/>
      <c r="BR19" s="28"/>
      <c r="BS19" s="28"/>
      <c r="BT19" s="28"/>
      <c r="BU19" s="28"/>
      <c r="BV19" s="28"/>
      <c r="BW19" s="28"/>
      <c r="BX19" s="28"/>
      <c r="BY19" s="28"/>
      <c r="BZ19" s="28"/>
      <c r="CA19" s="28"/>
      <c r="CB19" s="28"/>
      <c r="CC19" s="28"/>
      <c r="CD19" s="28"/>
      <c r="CE19" s="28"/>
      <c r="CF19" s="28"/>
      <c r="CG19" s="28"/>
      <c r="CH19" s="28"/>
      <c r="CI19" s="28"/>
      <c r="CJ19" s="28"/>
      <c r="CK19" s="28"/>
      <c r="CL19" s="28"/>
      <c r="CM19" s="28"/>
      <c r="CN19" s="28"/>
      <c r="CO19" s="28"/>
      <c r="CP19" s="28"/>
      <c r="CQ19" s="28"/>
      <c r="CR19" s="28"/>
      <c r="CS19" s="28"/>
      <c r="CT19" s="28"/>
      <c r="CU19" s="28"/>
      <c r="CV19" s="28"/>
      <c r="CW19" s="28"/>
      <c r="CX19" s="28"/>
      <c r="CY19" s="28"/>
      <c r="CZ19" s="28"/>
      <c r="DA19" s="28"/>
      <c r="DB19" s="28"/>
      <c r="DC19" s="28"/>
      <c r="DD19" s="28"/>
      <c r="DE19" s="28"/>
      <c r="DF19" s="28"/>
      <c r="DG19" s="28"/>
      <c r="DH19" s="28"/>
      <c r="DI19" s="28"/>
      <c r="DJ19" s="28"/>
      <c r="DK19" s="28"/>
      <c r="DL19" s="28"/>
      <c r="DM19" s="28"/>
      <c r="DN19" s="28"/>
      <c r="DO19" s="28"/>
      <c r="DP19" s="28"/>
      <c r="DQ19" s="28"/>
      <c r="DR19" s="28"/>
      <c r="DS19" s="28"/>
      <c r="DT19" s="28"/>
      <c r="DU19" s="28"/>
      <c r="DV19" s="28"/>
      <c r="DW19" s="28"/>
      <c r="DX19" s="28"/>
      <c r="DY19" s="28"/>
      <c r="DZ19" s="28"/>
      <c r="EA19" s="28"/>
      <c r="EB19" s="28"/>
    </row>
    <row r="20" spans="1:1006 1030:2032 2056:3058 3082:4084 4108:5110 5134:6136 6160:7162 7186:8188 8212:9214 9238:10240 10264:11263 11265:12265 12289:13291 13315:14317 14341:15343 15367:16369" ht="29.1" customHeight="1" x14ac:dyDescent="0.25">
      <c r="F20" s="17">
        <f t="shared" si="175"/>
        <v>11</v>
      </c>
      <c r="G20" s="172" t="s">
        <v>95</v>
      </c>
      <c r="H20" s="28"/>
      <c r="I20" s="28"/>
      <c r="J20" s="158"/>
      <c r="K20" s="28"/>
      <c r="L20" s="28"/>
      <c r="M20" s="28"/>
      <c r="N20" s="28"/>
      <c r="O20" s="28"/>
      <c r="P20" s="28"/>
      <c r="Q20" s="28"/>
      <c r="R20" s="28"/>
      <c r="S20" s="28"/>
      <c r="T20" s="28"/>
      <c r="U20" s="28"/>
      <c r="V20" s="28"/>
      <c r="W20" s="28"/>
      <c r="X20" s="28"/>
      <c r="Y20" s="28"/>
      <c r="Z20" s="28"/>
      <c r="AA20" s="28"/>
      <c r="AB20" s="28"/>
      <c r="AC20" s="28"/>
      <c r="AD20" s="28"/>
      <c r="AE20" s="28"/>
      <c r="AF20" s="28"/>
      <c r="AG20" s="28"/>
      <c r="AH20" s="28"/>
      <c r="AI20" s="28"/>
      <c r="AJ20" s="28"/>
      <c r="AK20" s="28"/>
      <c r="AL20" s="28"/>
      <c r="AM20" s="28"/>
      <c r="AN20" s="28"/>
      <c r="AO20" s="28"/>
      <c r="AP20" s="28"/>
      <c r="AQ20" s="28"/>
      <c r="AR20" s="28"/>
      <c r="AS20" s="28"/>
      <c r="AT20" s="28"/>
      <c r="AU20" s="28"/>
      <c r="AV20" s="28"/>
      <c r="AW20" s="28"/>
      <c r="AX20" s="28"/>
      <c r="AY20" s="28"/>
      <c r="AZ20" s="28"/>
      <c r="BA20" s="28"/>
      <c r="BB20" s="28"/>
      <c r="BC20" s="28"/>
      <c r="BD20" s="28"/>
      <c r="BE20" s="28"/>
      <c r="BF20" s="28"/>
      <c r="BG20" s="28"/>
      <c r="BH20" s="28"/>
      <c r="BI20" s="28"/>
      <c r="BJ20" s="28"/>
      <c r="BK20" s="28"/>
      <c r="BL20" s="28"/>
      <c r="BM20" s="28"/>
      <c r="BN20" s="28"/>
      <c r="BO20" s="28"/>
      <c r="BP20" s="28"/>
      <c r="BQ20" s="28"/>
      <c r="BR20" s="28"/>
      <c r="BS20" s="28"/>
      <c r="BT20" s="28"/>
      <c r="BU20" s="28"/>
      <c r="BV20" s="28"/>
      <c r="BW20" s="28"/>
      <c r="BX20" s="28"/>
      <c r="BY20" s="28"/>
      <c r="BZ20" s="28"/>
      <c r="CA20" s="28"/>
      <c r="CB20" s="28"/>
      <c r="CC20" s="28"/>
      <c r="CD20" s="28"/>
      <c r="CE20" s="28"/>
      <c r="CF20" s="28"/>
      <c r="CG20" s="28"/>
      <c r="CH20" s="28"/>
      <c r="CI20" s="28"/>
      <c r="CJ20" s="28"/>
      <c r="CK20" s="28"/>
      <c r="CL20" s="28"/>
      <c r="CM20" s="28"/>
      <c r="CN20" s="28"/>
      <c r="CO20" s="28"/>
      <c r="CP20" s="28"/>
      <c r="CQ20" s="28"/>
      <c r="CR20" s="28"/>
      <c r="CS20" s="28"/>
      <c r="CT20" s="28"/>
      <c r="CU20" s="28"/>
      <c r="CV20" s="28"/>
      <c r="CW20" s="28"/>
      <c r="CX20" s="28"/>
      <c r="CY20" s="28"/>
      <c r="CZ20" s="28"/>
      <c r="DA20" s="28"/>
      <c r="DB20" s="28"/>
      <c r="DC20" s="28"/>
      <c r="DD20" s="28"/>
      <c r="DE20" s="28"/>
      <c r="DF20" s="28"/>
      <c r="DG20" s="28"/>
      <c r="DH20" s="28"/>
      <c r="DI20" s="28"/>
      <c r="DJ20" s="28"/>
      <c r="DK20" s="28"/>
      <c r="DL20" s="28"/>
      <c r="DM20" s="28"/>
      <c r="DN20" s="28"/>
      <c r="DO20" s="28"/>
      <c r="DP20" s="28"/>
      <c r="DQ20" s="28"/>
      <c r="DR20" s="28"/>
      <c r="DS20" s="28"/>
      <c r="DT20" s="28"/>
      <c r="DU20" s="28"/>
      <c r="DV20" s="28"/>
      <c r="DW20" s="28"/>
      <c r="DX20" s="28"/>
      <c r="DY20" s="28"/>
      <c r="DZ20" s="28"/>
      <c r="EA20" s="28"/>
      <c r="EB20" s="28"/>
    </row>
    <row r="21" spans="1:1006 1030:2032 2056:3058 3082:4084 4108:5110 5134:6136 6160:7162 7186:8188 8212:9214 9238:10240 10264:11263 11265:12265 12289:13291 13315:14317 14341:15343 15367:16369" x14ac:dyDescent="0.25">
      <c r="F21" s="17">
        <f t="shared" si="175"/>
        <v>12</v>
      </c>
      <c r="G21" s="12" t="s">
        <v>96</v>
      </c>
      <c r="H21" s="13"/>
      <c r="I21" s="13"/>
      <c r="J21" s="13">
        <f>Dados!$C$41</f>
        <v>5354.1666666666661</v>
      </c>
      <c r="K21" s="13">
        <f>Dados!$C$41</f>
        <v>5354.1666666666661</v>
      </c>
      <c r="L21" s="13">
        <f>Dados!$C$41</f>
        <v>5354.1666666666661</v>
      </c>
      <c r="M21" s="13">
        <f>Dados!$C$41</f>
        <v>5354.1666666666661</v>
      </c>
      <c r="N21" s="13">
        <f>Dados!$C$41</f>
        <v>5354.1666666666661</v>
      </c>
      <c r="O21" s="13">
        <f>Dados!$C$41</f>
        <v>5354.1666666666661</v>
      </c>
      <c r="P21" s="13">
        <f>Dados!$C$41</f>
        <v>5354.1666666666661</v>
      </c>
      <c r="Q21" s="13">
        <f>Dados!$C$41</f>
        <v>5354.1666666666661</v>
      </c>
      <c r="R21" s="13">
        <f>Dados!$C$41</f>
        <v>5354.1666666666661</v>
      </c>
      <c r="S21" s="13">
        <f>Dados!$C$41</f>
        <v>5354.1666666666661</v>
      </c>
      <c r="T21" s="13">
        <f>Dados!$C$41</f>
        <v>5354.1666666666661</v>
      </c>
      <c r="U21" s="13">
        <f>Dados!$C$41</f>
        <v>5354.1666666666661</v>
      </c>
      <c r="V21" s="13">
        <f>Dados!$C$41</f>
        <v>5354.1666666666661</v>
      </c>
      <c r="W21" s="13">
        <f>Dados!$C$41</f>
        <v>5354.1666666666661</v>
      </c>
      <c r="X21" s="13">
        <f>Dados!$C$41</f>
        <v>5354.1666666666661</v>
      </c>
      <c r="Y21" s="13">
        <f>Dados!$C$41</f>
        <v>5354.1666666666661</v>
      </c>
      <c r="Z21" s="13">
        <f>Dados!$C$41</f>
        <v>5354.1666666666661</v>
      </c>
      <c r="AA21" s="13">
        <f>Dados!$C$41</f>
        <v>5354.1666666666661</v>
      </c>
      <c r="AB21" s="13">
        <f>Dados!$C$41</f>
        <v>5354.1666666666661</v>
      </c>
      <c r="AC21" s="13">
        <f>Dados!$C$41</f>
        <v>5354.1666666666661</v>
      </c>
      <c r="AD21" s="13">
        <f>Dados!$C$41</f>
        <v>5354.1666666666661</v>
      </c>
      <c r="AE21" s="13">
        <f>Dados!$C$41</f>
        <v>5354.1666666666661</v>
      </c>
      <c r="AF21" s="13">
        <f>Dados!$C$41</f>
        <v>5354.1666666666661</v>
      </c>
      <c r="AG21" s="13">
        <f>Dados!$C$41</f>
        <v>5354.1666666666661</v>
      </c>
      <c r="AH21" s="13">
        <f>Dados!$C$41</f>
        <v>5354.1666666666661</v>
      </c>
      <c r="AI21" s="13">
        <f>Dados!$C$41</f>
        <v>5354.1666666666661</v>
      </c>
      <c r="AJ21" s="13">
        <f>Dados!$C$41</f>
        <v>5354.1666666666661</v>
      </c>
      <c r="AK21" s="13">
        <f>Dados!$C$41</f>
        <v>5354.1666666666661</v>
      </c>
      <c r="AL21" s="13">
        <f>Dados!$C$41</f>
        <v>5354.1666666666661</v>
      </c>
      <c r="AM21" s="13">
        <f>Dados!$C$41</f>
        <v>5354.1666666666661</v>
      </c>
      <c r="AN21" s="13">
        <f>Dados!$C$41</f>
        <v>5354.1666666666661</v>
      </c>
      <c r="AO21" s="13">
        <f>Dados!$C$41</f>
        <v>5354.1666666666661</v>
      </c>
      <c r="AP21" s="13">
        <f>Dados!$C$41</f>
        <v>5354.1666666666661</v>
      </c>
      <c r="AQ21" s="13">
        <f>Dados!$C$41</f>
        <v>5354.1666666666661</v>
      </c>
      <c r="AR21" s="13">
        <f>Dados!$C$41</f>
        <v>5354.1666666666661</v>
      </c>
      <c r="AS21" s="13">
        <f>Dados!$C$41</f>
        <v>5354.1666666666661</v>
      </c>
      <c r="AT21" s="13">
        <f>Dados!$C$41</f>
        <v>5354.1666666666661</v>
      </c>
      <c r="AU21" s="13">
        <f>Dados!$C$41</f>
        <v>5354.1666666666661</v>
      </c>
      <c r="AV21" s="13">
        <f>Dados!$C$41</f>
        <v>5354.1666666666661</v>
      </c>
      <c r="AW21" s="13">
        <f>Dados!$C$41</f>
        <v>5354.1666666666661</v>
      </c>
      <c r="AX21" s="13">
        <f>Dados!$C$41</f>
        <v>5354.1666666666661</v>
      </c>
      <c r="AY21" s="13">
        <f>Dados!$C$41</f>
        <v>5354.1666666666661</v>
      </c>
      <c r="AZ21" s="13">
        <f>Dados!$C$41</f>
        <v>5354.1666666666661</v>
      </c>
      <c r="BA21" s="13">
        <f>Dados!$C$41</f>
        <v>5354.1666666666661</v>
      </c>
      <c r="BB21" s="13">
        <f>Dados!$C$41</f>
        <v>5354.1666666666661</v>
      </c>
      <c r="BC21" s="13">
        <f>Dados!$C$41</f>
        <v>5354.1666666666661</v>
      </c>
      <c r="BD21" s="13">
        <f>Dados!$C$41</f>
        <v>5354.1666666666661</v>
      </c>
      <c r="BE21" s="13">
        <f>Dados!$C$41</f>
        <v>5354.1666666666661</v>
      </c>
      <c r="BF21" s="13"/>
      <c r="BG21" s="13"/>
      <c r="BH21" s="13"/>
      <c r="BI21" s="13"/>
      <c r="BJ21" s="13"/>
      <c r="BK21" s="13"/>
      <c r="BL21" s="13"/>
      <c r="BM21" s="13"/>
      <c r="BN21" s="13"/>
      <c r="BO21" s="13"/>
      <c r="BP21" s="13"/>
      <c r="BQ21" s="13"/>
      <c r="BR21" s="13"/>
      <c r="BS21" s="13"/>
      <c r="BT21" s="13"/>
      <c r="BU21" s="13"/>
      <c r="BV21" s="13"/>
      <c r="BW21" s="13"/>
      <c r="BX21" s="13"/>
      <c r="BY21" s="13"/>
      <c r="BZ21" s="13"/>
      <c r="CA21" s="13"/>
      <c r="CB21" s="13"/>
      <c r="CC21" s="13"/>
      <c r="CD21" s="13"/>
      <c r="CE21" s="13"/>
      <c r="CF21" s="13"/>
      <c r="CG21" s="13"/>
      <c r="CH21" s="13"/>
      <c r="CI21" s="13"/>
      <c r="CJ21" s="13"/>
      <c r="CK21" s="13"/>
      <c r="CL21" s="13"/>
      <c r="CM21" s="13"/>
      <c r="CN21" s="13"/>
      <c r="CO21" s="13"/>
      <c r="CP21" s="13"/>
      <c r="CQ21" s="13"/>
      <c r="CR21" s="13"/>
      <c r="CS21" s="13"/>
      <c r="CT21" s="13"/>
      <c r="CU21" s="13"/>
      <c r="CV21" s="13"/>
      <c r="CW21" s="13"/>
      <c r="CX21" s="13"/>
      <c r="CY21" s="13"/>
      <c r="CZ21" s="13"/>
      <c r="DA21" s="13"/>
      <c r="DB21" s="13"/>
      <c r="DC21" s="13"/>
      <c r="DD21" s="13"/>
      <c r="DE21" s="13"/>
      <c r="DF21" s="13"/>
      <c r="DG21" s="13"/>
      <c r="DH21" s="13"/>
      <c r="DI21" s="13"/>
      <c r="DJ21" s="13"/>
      <c r="DK21" s="13"/>
      <c r="DL21" s="13"/>
      <c r="DM21" s="13"/>
      <c r="DN21" s="13"/>
      <c r="DO21" s="13"/>
      <c r="DP21" s="13"/>
      <c r="DQ21" s="13"/>
      <c r="DR21" s="13"/>
      <c r="DS21" s="13"/>
      <c r="DT21" s="13"/>
      <c r="DU21" s="13"/>
      <c r="DV21" s="13"/>
      <c r="DW21" s="13"/>
      <c r="DX21" s="13"/>
      <c r="DY21" s="13"/>
      <c r="DZ21" s="13"/>
      <c r="EA21" s="13"/>
      <c r="EB21" s="13"/>
    </row>
    <row r="22" spans="1:1006 1030:2032 2056:3058 3082:4084 4108:5110 5134:6136 6160:7162 7186:8188 8212:9214 9238:10240 10264:11263 11265:12265 12289:13291 13315:14317 14341:15343 15367:16369" x14ac:dyDescent="0.25">
      <c r="F22" s="17">
        <f t="shared" si="175"/>
        <v>13</v>
      </c>
    </row>
    <row r="23" spans="1:1006 1030:2032 2056:3058 3082:4084 4108:5110 5134:6136 6160:7162 7186:8188 8212:9214 9238:10240 10264:11263 11265:12265 12289:13291 13315:14317 14341:15343 15367:16369" x14ac:dyDescent="0.25">
      <c r="F23" s="17">
        <f t="shared" si="175"/>
        <v>14</v>
      </c>
    </row>
    <row r="24" spans="1:1006 1030:2032 2056:3058 3082:4084 4108:5110 5134:6136 6160:7162 7186:8188 8212:9214 9238:10240 10264:11263 11265:12265 12289:13291 13315:14317 14341:15343 15367:16369" x14ac:dyDescent="0.25">
      <c r="F24" s="17">
        <f t="shared" si="175"/>
        <v>15</v>
      </c>
      <c r="G24" s="16" t="s">
        <v>97</v>
      </c>
    </row>
    <row r="25" spans="1:1006 1030:2032 2056:3058 3082:4084 4108:5110 5134:6136 6160:7162 7186:8188 8212:9214 9238:10240 10264:11263 11265:12265 12289:13291 13315:14317 14341:15343 15367:16369" s="4" customFormat="1" x14ac:dyDescent="0.25">
      <c r="A25" s="5"/>
      <c r="C25" s="28"/>
      <c r="D25" s="28"/>
      <c r="E25" s="28"/>
      <c r="F25" s="17">
        <f t="shared" si="175"/>
        <v>16</v>
      </c>
      <c r="G25" s="12" t="str">
        <f>Dados!C21</f>
        <v>IGP-M</v>
      </c>
      <c r="H25" s="30"/>
      <c r="I25" s="30"/>
      <c r="J25" s="30"/>
      <c r="K25" s="30"/>
      <c r="L25" s="30"/>
      <c r="M25" s="30"/>
      <c r="N25" s="30"/>
      <c r="O25" s="30"/>
      <c r="P25" s="30"/>
      <c r="Q25" s="30"/>
      <c r="R25" s="30"/>
      <c r="S25" s="30"/>
      <c r="T25" s="30"/>
      <c r="U25" s="30"/>
      <c r="V25" s="30"/>
      <c r="W25" s="30"/>
      <c r="X25" s="30"/>
      <c r="Y25" s="30"/>
      <c r="Z25" s="30"/>
      <c r="AA25" s="30"/>
      <c r="AB25" s="30"/>
      <c r="AC25" s="30"/>
      <c r="AD25" s="30"/>
      <c r="AE25" s="30"/>
      <c r="AF25" s="30"/>
      <c r="AG25" s="30"/>
      <c r="AH25" s="30"/>
      <c r="AI25" s="30"/>
      <c r="AJ25" s="30"/>
      <c r="AK25" s="30"/>
      <c r="AL25" s="30"/>
      <c r="AM25" s="30"/>
      <c r="AN25" s="30"/>
      <c r="AO25" s="30"/>
      <c r="AP25" s="30"/>
      <c r="AQ25" s="30"/>
      <c r="AR25" s="30"/>
      <c r="AS25" s="30"/>
      <c r="AT25" s="30"/>
      <c r="AU25" s="30"/>
      <c r="AV25" s="30"/>
      <c r="AW25" s="30"/>
      <c r="AX25" s="30"/>
      <c r="AY25" s="30"/>
      <c r="AZ25" s="30"/>
      <c r="BA25" s="30"/>
      <c r="BB25" s="30"/>
      <c r="BC25" s="30"/>
      <c r="BD25" s="30"/>
      <c r="BE25" s="30"/>
      <c r="BF25" s="30"/>
      <c r="BG25" s="30"/>
      <c r="BH25" s="30"/>
      <c r="BI25" s="30"/>
      <c r="BJ25" s="30"/>
      <c r="BK25" s="30"/>
      <c r="BL25" s="30"/>
      <c r="BM25" s="30"/>
      <c r="BN25" s="30"/>
      <c r="BO25" s="30"/>
      <c r="BP25" s="30"/>
      <c r="BQ25" s="30"/>
      <c r="BR25" s="30"/>
      <c r="BS25" s="30"/>
      <c r="BT25" s="30"/>
      <c r="BU25" s="30"/>
      <c r="BV25" s="30"/>
      <c r="BW25" s="30"/>
      <c r="BX25" s="30"/>
      <c r="BY25" s="30"/>
      <c r="BZ25" s="30"/>
      <c r="CA25" s="30"/>
      <c r="CB25" s="30"/>
      <c r="CC25" s="30"/>
      <c r="CD25" s="30"/>
      <c r="CE25" s="30"/>
      <c r="CF25" s="30"/>
      <c r="CG25" s="30"/>
      <c r="CH25" s="30"/>
      <c r="CI25" s="30"/>
      <c r="CJ25" s="30"/>
      <c r="CK25" s="30"/>
      <c r="CL25" s="30"/>
      <c r="CM25" s="30"/>
      <c r="CN25" s="30"/>
      <c r="CO25" s="30"/>
      <c r="CP25" s="30"/>
      <c r="CQ25" s="30"/>
      <c r="CR25" s="30"/>
      <c r="CS25" s="30"/>
      <c r="CT25" s="30"/>
      <c r="CU25" s="30"/>
      <c r="CV25" s="30"/>
      <c r="CW25" s="30"/>
      <c r="CX25" s="30"/>
      <c r="CY25" s="30"/>
      <c r="CZ25" s="30"/>
      <c r="DA25" s="30"/>
      <c r="DB25" s="30"/>
      <c r="DC25" s="30"/>
      <c r="DD25" s="30"/>
      <c r="DE25" s="30"/>
      <c r="DF25" s="30"/>
      <c r="DG25" s="30"/>
      <c r="DH25" s="30"/>
      <c r="DI25" s="30"/>
      <c r="DJ25" s="30"/>
      <c r="DK25" s="30"/>
      <c r="DL25" s="30"/>
      <c r="DM25" s="30"/>
      <c r="DN25" s="30"/>
      <c r="DO25" s="30"/>
      <c r="DP25" s="30"/>
      <c r="DQ25" s="30"/>
      <c r="DR25" s="30"/>
      <c r="DS25" s="30"/>
      <c r="DT25" s="30"/>
      <c r="DU25" s="30"/>
      <c r="DV25" s="30"/>
      <c r="DW25" s="30"/>
      <c r="DX25" s="30"/>
      <c r="DY25" s="30"/>
      <c r="DZ25" s="30"/>
      <c r="EA25" s="30"/>
      <c r="EB25" s="76"/>
      <c r="EI25" s="5"/>
      <c r="EK25" s="28"/>
      <c r="EL25" s="28"/>
      <c r="FJ25" s="5"/>
      <c r="FL25" s="28"/>
      <c r="FM25" s="28"/>
      <c r="GK25" s="5"/>
      <c r="GM25" s="28"/>
      <c r="GN25" s="28"/>
      <c r="HL25" s="5"/>
      <c r="HN25" s="28"/>
      <c r="HO25" s="28"/>
      <c r="IM25" s="5"/>
      <c r="IO25" s="28"/>
      <c r="IP25" s="28"/>
      <c r="JN25" s="5"/>
      <c r="JP25" s="28"/>
      <c r="JQ25" s="28"/>
      <c r="KO25" s="5"/>
      <c r="KQ25" s="28"/>
      <c r="KR25" s="28"/>
      <c r="LP25" s="5"/>
      <c r="LR25" s="28"/>
      <c r="LS25" s="28"/>
      <c r="MQ25" s="5"/>
      <c r="MS25" s="28"/>
      <c r="MT25" s="28"/>
      <c r="NR25" s="5"/>
      <c r="NT25" s="28"/>
      <c r="NU25" s="28"/>
      <c r="OS25" s="5"/>
      <c r="OU25" s="28"/>
      <c r="OV25" s="28"/>
      <c r="PT25" s="5"/>
      <c r="PV25" s="28"/>
      <c r="PW25" s="28"/>
      <c r="QU25" s="5"/>
      <c r="QW25" s="28"/>
      <c r="QX25" s="28"/>
      <c r="RV25" s="5"/>
      <c r="RX25" s="28"/>
      <c r="RY25" s="28"/>
      <c r="SW25" s="5"/>
      <c r="SY25" s="28"/>
      <c r="SZ25" s="28"/>
      <c r="TX25" s="5"/>
      <c r="TZ25" s="28"/>
      <c r="UA25" s="28"/>
      <c r="UY25" s="5"/>
      <c r="VA25" s="28"/>
      <c r="VB25" s="28"/>
      <c r="VZ25" s="5"/>
      <c r="WB25" s="28"/>
      <c r="WC25" s="28"/>
      <c r="XA25" s="5"/>
      <c r="XC25" s="28"/>
      <c r="XD25" s="28"/>
      <c r="YB25" s="5"/>
      <c r="YD25" s="28"/>
      <c r="YE25" s="28"/>
      <c r="ZC25" s="5"/>
      <c r="ZE25" s="28"/>
      <c r="ZF25" s="28"/>
      <c r="AAD25" s="5"/>
      <c r="AAF25" s="28"/>
      <c r="AAG25" s="28"/>
      <c r="ABE25" s="5"/>
      <c r="ABG25" s="28"/>
      <c r="ABH25" s="28"/>
      <c r="ACF25" s="5"/>
      <c r="ACH25" s="28"/>
      <c r="ACI25" s="28"/>
      <c r="ADG25" s="5"/>
      <c r="ADI25" s="28"/>
      <c r="ADJ25" s="28"/>
      <c r="AEH25" s="5"/>
      <c r="AEJ25" s="28"/>
      <c r="AEK25" s="28"/>
      <c r="AFI25" s="5"/>
      <c r="AFK25" s="28"/>
      <c r="AFL25" s="28"/>
      <c r="AGJ25" s="5"/>
      <c r="AGL25" s="28"/>
      <c r="AGM25" s="28"/>
      <c r="AHK25" s="5"/>
      <c r="AHM25" s="28"/>
      <c r="AHN25" s="28"/>
      <c r="AIL25" s="5"/>
      <c r="AIN25" s="28"/>
      <c r="AIO25" s="28"/>
      <c r="AJM25" s="5"/>
      <c r="AJO25" s="28"/>
      <c r="AJP25" s="28"/>
      <c r="AKN25" s="5"/>
      <c r="AKP25" s="28"/>
      <c r="AKQ25" s="28"/>
      <c r="ALO25" s="5"/>
      <c r="ALQ25" s="28"/>
      <c r="ALR25" s="28"/>
      <c r="AMP25" s="5"/>
      <c r="AMR25" s="28"/>
      <c r="AMS25" s="28"/>
      <c r="ANQ25" s="5"/>
      <c r="ANS25" s="28"/>
      <c r="ANT25" s="28"/>
      <c r="AOR25" s="5"/>
      <c r="AOT25" s="28"/>
      <c r="AOU25" s="28"/>
      <c r="APS25" s="5"/>
      <c r="APU25" s="28"/>
      <c r="APV25" s="28"/>
      <c r="AQT25" s="5"/>
      <c r="AQV25" s="28"/>
      <c r="AQW25" s="28"/>
      <c r="ARU25" s="5"/>
      <c r="ARW25" s="28"/>
      <c r="ARX25" s="28"/>
      <c r="ASV25" s="5"/>
      <c r="ASX25" s="28"/>
      <c r="ASY25" s="28"/>
      <c r="ATW25" s="5"/>
      <c r="ATY25" s="28"/>
      <c r="ATZ25" s="28"/>
      <c r="AUX25" s="5"/>
      <c r="AUZ25" s="28"/>
      <c r="AVA25" s="28"/>
      <c r="AVY25" s="5"/>
      <c r="AWA25" s="28"/>
      <c r="AWB25" s="28"/>
      <c r="AWZ25" s="5"/>
      <c r="AXB25" s="28"/>
      <c r="AXC25" s="28"/>
      <c r="AYA25" s="5"/>
      <c r="AYC25" s="28"/>
      <c r="AYD25" s="28"/>
      <c r="AZB25" s="5"/>
      <c r="AZD25" s="28"/>
      <c r="AZE25" s="28"/>
      <c r="BAC25" s="5"/>
      <c r="BAE25" s="28"/>
      <c r="BAF25" s="28"/>
      <c r="BBD25" s="5"/>
      <c r="BBF25" s="28"/>
      <c r="BBG25" s="28"/>
      <c r="BCE25" s="5"/>
      <c r="BCG25" s="28"/>
      <c r="BCH25" s="28"/>
      <c r="BDF25" s="5"/>
      <c r="BDH25" s="28"/>
      <c r="BDI25" s="28"/>
      <c r="BEG25" s="5"/>
      <c r="BEI25" s="28"/>
      <c r="BEJ25" s="28"/>
      <c r="BFH25" s="5"/>
      <c r="BFJ25" s="28"/>
      <c r="BFK25" s="28"/>
      <c r="BGI25" s="5"/>
      <c r="BGK25" s="28"/>
      <c r="BGL25" s="28"/>
      <c r="BHJ25" s="5"/>
      <c r="BHL25" s="28"/>
      <c r="BHM25" s="28"/>
      <c r="BIK25" s="5"/>
      <c r="BIM25" s="28"/>
      <c r="BIN25" s="28"/>
      <c r="BJL25" s="5"/>
      <c r="BJN25" s="28"/>
      <c r="BJO25" s="28"/>
      <c r="BKM25" s="5"/>
      <c r="BKO25" s="28"/>
      <c r="BKP25" s="28"/>
      <c r="BLN25" s="5"/>
      <c r="BLP25" s="28"/>
      <c r="BLQ25" s="28"/>
      <c r="BMO25" s="5"/>
      <c r="BMQ25" s="28"/>
      <c r="BMR25" s="28"/>
      <c r="BNP25" s="5"/>
      <c r="BNR25" s="28"/>
      <c r="BNS25" s="28"/>
      <c r="BOQ25" s="5"/>
      <c r="BOS25" s="28"/>
      <c r="BOT25" s="28"/>
      <c r="BPR25" s="5"/>
      <c r="BPT25" s="28"/>
      <c r="BPU25" s="28"/>
      <c r="BQS25" s="5"/>
      <c r="BQU25" s="28"/>
      <c r="BQV25" s="28"/>
      <c r="BRT25" s="5"/>
      <c r="BRV25" s="28"/>
      <c r="BRW25" s="28"/>
      <c r="BSU25" s="5"/>
      <c r="BSW25" s="28"/>
      <c r="BSX25" s="28"/>
      <c r="BTV25" s="5"/>
      <c r="BTX25" s="28"/>
      <c r="BTY25" s="28"/>
      <c r="BUW25" s="5"/>
      <c r="BUY25" s="28"/>
      <c r="BUZ25" s="28"/>
      <c r="BVX25" s="5"/>
      <c r="BVZ25" s="28"/>
      <c r="BWA25" s="28"/>
      <c r="BWY25" s="5"/>
      <c r="BXA25" s="28"/>
      <c r="BXB25" s="28"/>
      <c r="BXZ25" s="5"/>
      <c r="BYB25" s="28"/>
      <c r="BYC25" s="28"/>
      <c r="BZA25" s="5"/>
      <c r="BZC25" s="28"/>
      <c r="BZD25" s="28"/>
      <c r="CAB25" s="5"/>
      <c r="CAD25" s="28"/>
      <c r="CAE25" s="28"/>
      <c r="CBC25" s="5"/>
      <c r="CBE25" s="28"/>
      <c r="CBF25" s="28"/>
      <c r="CCD25" s="5"/>
      <c r="CCF25" s="28"/>
      <c r="CCG25" s="28"/>
      <c r="CDE25" s="5"/>
      <c r="CDG25" s="28"/>
      <c r="CDH25" s="28"/>
      <c r="CEF25" s="5"/>
      <c r="CEH25" s="28"/>
      <c r="CEI25" s="28"/>
      <c r="CFG25" s="5"/>
      <c r="CFI25" s="28"/>
      <c r="CFJ25" s="28"/>
      <c r="CGH25" s="5"/>
      <c r="CGJ25" s="28"/>
      <c r="CGK25" s="28"/>
      <c r="CHI25" s="5"/>
      <c r="CHK25" s="28"/>
      <c r="CHL25" s="28"/>
      <c r="CIJ25" s="5"/>
      <c r="CIL25" s="28"/>
      <c r="CIM25" s="28"/>
      <c r="CJK25" s="5"/>
      <c r="CJM25" s="28"/>
      <c r="CJN25" s="28"/>
      <c r="CKL25" s="5"/>
      <c r="CKN25" s="28"/>
      <c r="CKO25" s="28"/>
      <c r="CLM25" s="5"/>
      <c r="CLO25" s="28"/>
      <c r="CLP25" s="28"/>
      <c r="CMN25" s="5"/>
      <c r="CMP25" s="28"/>
      <c r="CMQ25" s="28"/>
      <c r="CNO25" s="5"/>
      <c r="CNQ25" s="28"/>
      <c r="CNR25" s="28"/>
      <c r="COP25" s="5"/>
      <c r="COR25" s="28"/>
      <c r="COS25" s="28"/>
      <c r="CPQ25" s="5"/>
      <c r="CPS25" s="28"/>
      <c r="CPT25" s="28"/>
      <c r="CQR25" s="5"/>
      <c r="CQT25" s="28"/>
      <c r="CQU25" s="28"/>
      <c r="CRS25" s="5"/>
      <c r="CRU25" s="28"/>
      <c r="CRV25" s="28"/>
      <c r="CST25" s="5"/>
      <c r="CSV25" s="28"/>
      <c r="CSW25" s="28"/>
      <c r="CTU25" s="5"/>
      <c r="CTW25" s="28"/>
      <c r="CTX25" s="28"/>
      <c r="CUV25" s="5"/>
      <c r="CUX25" s="28"/>
      <c r="CUY25" s="28"/>
      <c r="CVW25" s="5"/>
      <c r="CVY25" s="28"/>
      <c r="CVZ25" s="28"/>
      <c r="CWX25" s="5"/>
      <c r="CWZ25" s="28"/>
      <c r="CXA25" s="28"/>
      <c r="CXY25" s="5"/>
      <c r="CYA25" s="28"/>
      <c r="CYB25" s="28"/>
      <c r="CYZ25" s="5"/>
      <c r="CZB25" s="28"/>
      <c r="CZC25" s="28"/>
      <c r="DAA25" s="5"/>
      <c r="DAC25" s="28"/>
      <c r="DAD25" s="28"/>
      <c r="DBB25" s="5"/>
      <c r="DBD25" s="28"/>
      <c r="DBE25" s="28"/>
      <c r="DCC25" s="5"/>
      <c r="DCE25" s="28"/>
      <c r="DCF25" s="28"/>
      <c r="DDD25" s="5"/>
      <c r="DDF25" s="28"/>
      <c r="DDG25" s="28"/>
      <c r="DEE25" s="5"/>
      <c r="DEG25" s="28"/>
      <c r="DEH25" s="28"/>
      <c r="DFF25" s="5"/>
      <c r="DFH25" s="28"/>
      <c r="DFI25" s="28"/>
      <c r="DGG25" s="5"/>
      <c r="DGI25" s="28"/>
      <c r="DGJ25" s="28"/>
      <c r="DHH25" s="5"/>
      <c r="DHJ25" s="28"/>
      <c r="DHK25" s="28"/>
      <c r="DII25" s="5"/>
      <c r="DIK25" s="28"/>
      <c r="DIL25" s="28"/>
      <c r="DJJ25" s="5"/>
      <c r="DJL25" s="28"/>
      <c r="DJM25" s="28"/>
      <c r="DKK25" s="5"/>
      <c r="DKM25" s="28"/>
      <c r="DKN25" s="28"/>
      <c r="DLL25" s="5"/>
      <c r="DLN25" s="28"/>
      <c r="DLO25" s="28"/>
      <c r="DMM25" s="5"/>
      <c r="DMO25" s="28"/>
      <c r="DMP25" s="28"/>
      <c r="DNN25" s="5"/>
      <c r="DNP25" s="28"/>
      <c r="DNQ25" s="28"/>
      <c r="DOO25" s="5"/>
      <c r="DOQ25" s="28"/>
      <c r="DOR25" s="28"/>
      <c r="DPP25" s="5"/>
      <c r="DPR25" s="28"/>
      <c r="DPS25" s="28"/>
      <c r="DQQ25" s="5"/>
      <c r="DQS25" s="28"/>
      <c r="DQT25" s="28"/>
      <c r="DRR25" s="5"/>
      <c r="DRT25" s="28"/>
      <c r="DRU25" s="28"/>
      <c r="DSS25" s="5"/>
      <c r="DSU25" s="28"/>
      <c r="DSV25" s="28"/>
      <c r="DTT25" s="5"/>
      <c r="DTV25" s="28"/>
      <c r="DTW25" s="28"/>
      <c r="DUU25" s="5"/>
      <c r="DUW25" s="28"/>
      <c r="DUX25" s="28"/>
      <c r="DVV25" s="5"/>
      <c r="DVX25" s="28"/>
      <c r="DVY25" s="28"/>
      <c r="DWW25" s="5"/>
      <c r="DWY25" s="28"/>
      <c r="DWZ25" s="28"/>
      <c r="DXX25" s="5"/>
      <c r="DXZ25" s="28"/>
      <c r="DYA25" s="28"/>
      <c r="DYY25" s="5"/>
      <c r="DZA25" s="28"/>
      <c r="DZB25" s="28"/>
      <c r="DZZ25" s="5"/>
      <c r="EAB25" s="28"/>
      <c r="EAC25" s="28"/>
      <c r="EBA25" s="5"/>
      <c r="EBC25" s="28"/>
      <c r="EBD25" s="28"/>
      <c r="ECB25" s="5"/>
      <c r="ECD25" s="28"/>
      <c r="ECE25" s="28"/>
      <c r="EDC25" s="5"/>
      <c r="EDE25" s="28"/>
      <c r="EDF25" s="28"/>
      <c r="EED25" s="5"/>
      <c r="EEF25" s="28"/>
      <c r="EEG25" s="28"/>
      <c r="EFE25" s="5"/>
      <c r="EFG25" s="28"/>
      <c r="EFH25" s="28"/>
      <c r="EGF25" s="5"/>
      <c r="EGH25" s="28"/>
      <c r="EGI25" s="28"/>
      <c r="EHG25" s="5"/>
      <c r="EHI25" s="28"/>
      <c r="EHJ25" s="28"/>
      <c r="EIH25" s="5"/>
      <c r="EIJ25" s="28"/>
      <c r="EIK25" s="28"/>
      <c r="EJI25" s="5"/>
      <c r="EJK25" s="28"/>
      <c r="EJL25" s="28"/>
      <c r="EKJ25" s="5"/>
      <c r="EKL25" s="28"/>
      <c r="EKM25" s="28"/>
      <c r="ELK25" s="5"/>
      <c r="ELM25" s="28"/>
      <c r="ELN25" s="28"/>
      <c r="EML25" s="5"/>
      <c r="EMN25" s="28"/>
      <c r="EMO25" s="28"/>
      <c r="ENM25" s="5"/>
      <c r="ENO25" s="28"/>
      <c r="ENP25" s="28"/>
      <c r="EON25" s="5"/>
      <c r="EOP25" s="28"/>
      <c r="EOQ25" s="28"/>
      <c r="EPO25" s="5"/>
      <c r="EPQ25" s="28"/>
      <c r="EPR25" s="28"/>
      <c r="EQP25" s="5"/>
      <c r="EQR25" s="28"/>
      <c r="EQS25" s="28"/>
      <c r="ERQ25" s="5"/>
      <c r="ERS25" s="28"/>
      <c r="ERT25" s="28"/>
      <c r="ESR25" s="5"/>
      <c r="EST25" s="28"/>
      <c r="ESU25" s="28"/>
      <c r="ETS25" s="5"/>
      <c r="ETU25" s="28"/>
      <c r="ETV25" s="28"/>
      <c r="EUT25" s="5"/>
      <c r="EUV25" s="28"/>
      <c r="EUW25" s="28"/>
      <c r="EVU25" s="5"/>
      <c r="EVW25" s="28"/>
      <c r="EVX25" s="28"/>
      <c r="EWV25" s="5"/>
      <c r="EWX25" s="28"/>
      <c r="EWY25" s="28"/>
      <c r="EXW25" s="5"/>
      <c r="EXY25" s="28"/>
      <c r="EXZ25" s="28"/>
      <c r="EYX25" s="5"/>
      <c r="EYZ25" s="28"/>
      <c r="EZA25" s="28"/>
      <c r="EZY25" s="5"/>
      <c r="FAA25" s="28"/>
      <c r="FAB25" s="28"/>
      <c r="FAZ25" s="5"/>
      <c r="FBB25" s="28"/>
      <c r="FBC25" s="28"/>
      <c r="FCA25" s="5"/>
      <c r="FCC25" s="28"/>
      <c r="FCD25" s="28"/>
      <c r="FDB25" s="5"/>
      <c r="FDD25" s="28"/>
      <c r="FDE25" s="28"/>
      <c r="FEC25" s="5"/>
      <c r="FEE25" s="28"/>
      <c r="FEF25" s="28"/>
      <c r="FFD25" s="5"/>
      <c r="FFF25" s="28"/>
      <c r="FFG25" s="28"/>
      <c r="FGE25" s="5"/>
      <c r="FGG25" s="28"/>
      <c r="FGH25" s="28"/>
      <c r="FHF25" s="5"/>
      <c r="FHH25" s="28"/>
      <c r="FHI25" s="28"/>
      <c r="FIG25" s="5"/>
      <c r="FII25" s="28"/>
      <c r="FIJ25" s="28"/>
      <c r="FJH25" s="5"/>
      <c r="FJJ25" s="28"/>
      <c r="FJK25" s="28"/>
      <c r="FKI25" s="5"/>
      <c r="FKK25" s="28"/>
      <c r="FKL25" s="28"/>
      <c r="FLJ25" s="5"/>
      <c r="FLL25" s="28"/>
      <c r="FLM25" s="28"/>
      <c r="FMK25" s="5"/>
      <c r="FMM25" s="28"/>
      <c r="FMN25" s="28"/>
      <c r="FNL25" s="5"/>
      <c r="FNN25" s="28"/>
      <c r="FNO25" s="28"/>
      <c r="FOM25" s="5"/>
      <c r="FOO25" s="28"/>
      <c r="FOP25" s="28"/>
      <c r="FPN25" s="5"/>
      <c r="FPP25" s="28"/>
      <c r="FPQ25" s="28"/>
      <c r="FQO25" s="5"/>
      <c r="FQQ25" s="28"/>
      <c r="FQR25" s="28"/>
      <c r="FRP25" s="5"/>
      <c r="FRR25" s="28"/>
      <c r="FRS25" s="28"/>
      <c r="FSQ25" s="5"/>
      <c r="FSS25" s="28"/>
      <c r="FST25" s="28"/>
      <c r="FTR25" s="5"/>
      <c r="FTT25" s="28"/>
      <c r="FTU25" s="28"/>
      <c r="FUS25" s="5"/>
      <c r="FUU25" s="28"/>
      <c r="FUV25" s="28"/>
      <c r="FVT25" s="5"/>
      <c r="FVV25" s="28"/>
      <c r="FVW25" s="28"/>
      <c r="FWU25" s="5"/>
      <c r="FWW25" s="28"/>
      <c r="FWX25" s="28"/>
      <c r="FXV25" s="5"/>
      <c r="FXX25" s="28"/>
      <c r="FXY25" s="28"/>
      <c r="FYW25" s="5"/>
      <c r="FYY25" s="28"/>
      <c r="FYZ25" s="28"/>
      <c r="FZX25" s="5"/>
      <c r="FZZ25" s="28"/>
      <c r="GAA25" s="28"/>
      <c r="GAY25" s="5"/>
      <c r="GBA25" s="28"/>
      <c r="GBB25" s="28"/>
      <c r="GBZ25" s="5"/>
      <c r="GCB25" s="28"/>
      <c r="GCC25" s="28"/>
      <c r="GDA25" s="5"/>
      <c r="GDC25" s="28"/>
      <c r="GDD25" s="28"/>
      <c r="GEB25" s="5"/>
      <c r="GED25" s="28"/>
      <c r="GEE25" s="28"/>
      <c r="GFC25" s="5"/>
      <c r="GFE25" s="28"/>
      <c r="GFF25" s="28"/>
      <c r="GGD25" s="5"/>
      <c r="GGF25" s="28"/>
      <c r="GGG25" s="28"/>
      <c r="GHE25" s="5"/>
      <c r="GHG25" s="28"/>
      <c r="GHH25" s="28"/>
      <c r="GIF25" s="5"/>
      <c r="GIH25" s="28"/>
      <c r="GII25" s="28"/>
      <c r="GJG25" s="5"/>
      <c r="GJI25" s="28"/>
      <c r="GJJ25" s="28"/>
      <c r="GKH25" s="5"/>
      <c r="GKJ25" s="28"/>
      <c r="GKK25" s="28"/>
      <c r="GLI25" s="5"/>
      <c r="GLK25" s="28"/>
      <c r="GLL25" s="28"/>
      <c r="GMJ25" s="5"/>
      <c r="GML25" s="28"/>
      <c r="GMM25" s="28"/>
      <c r="GNK25" s="5"/>
      <c r="GNM25" s="28"/>
      <c r="GNN25" s="28"/>
      <c r="GOL25" s="5"/>
      <c r="GON25" s="28"/>
      <c r="GOO25" s="28"/>
      <c r="GPM25" s="5"/>
      <c r="GPO25" s="28"/>
      <c r="GPP25" s="28"/>
      <c r="GQN25" s="5"/>
      <c r="GQP25" s="28"/>
      <c r="GQQ25" s="28"/>
      <c r="GRO25" s="5"/>
      <c r="GRQ25" s="28"/>
      <c r="GRR25" s="28"/>
      <c r="GSP25" s="5"/>
      <c r="GSR25" s="28"/>
      <c r="GSS25" s="28"/>
      <c r="GTQ25" s="5"/>
      <c r="GTS25" s="28"/>
      <c r="GTT25" s="28"/>
      <c r="GUR25" s="5"/>
      <c r="GUT25" s="28"/>
      <c r="GUU25" s="28"/>
      <c r="GVS25" s="5"/>
      <c r="GVU25" s="28"/>
      <c r="GVV25" s="28"/>
      <c r="GWT25" s="5"/>
      <c r="GWV25" s="28"/>
      <c r="GWW25" s="28"/>
      <c r="GXU25" s="5"/>
      <c r="GXW25" s="28"/>
      <c r="GXX25" s="28"/>
      <c r="GYV25" s="5"/>
      <c r="GYX25" s="28"/>
      <c r="GYY25" s="28"/>
      <c r="GZW25" s="5"/>
      <c r="GZY25" s="28"/>
      <c r="GZZ25" s="28"/>
      <c r="HAX25" s="5"/>
      <c r="HAZ25" s="28"/>
      <c r="HBA25" s="28"/>
      <c r="HBY25" s="5"/>
      <c r="HCA25" s="28"/>
      <c r="HCB25" s="28"/>
      <c r="HCZ25" s="5"/>
      <c r="HDB25" s="28"/>
      <c r="HDC25" s="28"/>
      <c r="HEA25" s="5"/>
      <c r="HEC25" s="28"/>
      <c r="HED25" s="28"/>
      <c r="HFB25" s="5"/>
      <c r="HFD25" s="28"/>
      <c r="HFE25" s="28"/>
      <c r="HGC25" s="5"/>
      <c r="HGE25" s="28"/>
      <c r="HGF25" s="28"/>
      <c r="HHD25" s="5"/>
      <c r="HHF25" s="28"/>
      <c r="HHG25" s="28"/>
      <c r="HIE25" s="5"/>
      <c r="HIG25" s="28"/>
      <c r="HIH25" s="28"/>
      <c r="HJF25" s="5"/>
      <c r="HJH25" s="28"/>
      <c r="HJI25" s="28"/>
      <c r="HKG25" s="5"/>
      <c r="HKI25" s="28"/>
      <c r="HKJ25" s="28"/>
      <c r="HLH25" s="5"/>
      <c r="HLJ25" s="28"/>
      <c r="HLK25" s="28"/>
      <c r="HMI25" s="5"/>
      <c r="HMK25" s="28"/>
      <c r="HML25" s="28"/>
      <c r="HNJ25" s="5"/>
      <c r="HNL25" s="28"/>
      <c r="HNM25" s="28"/>
      <c r="HOK25" s="5"/>
      <c r="HOM25" s="28"/>
      <c r="HON25" s="28"/>
      <c r="HPL25" s="5"/>
      <c r="HPN25" s="28"/>
      <c r="HPO25" s="28"/>
      <c r="HQM25" s="5"/>
      <c r="HQO25" s="28"/>
      <c r="HQP25" s="28"/>
      <c r="HRN25" s="5"/>
      <c r="HRP25" s="28"/>
      <c r="HRQ25" s="28"/>
      <c r="HSO25" s="5"/>
      <c r="HSQ25" s="28"/>
      <c r="HSR25" s="28"/>
      <c r="HTP25" s="5"/>
      <c r="HTR25" s="28"/>
      <c r="HTS25" s="28"/>
      <c r="HUQ25" s="5"/>
      <c r="HUS25" s="28"/>
      <c r="HUT25" s="28"/>
      <c r="HVR25" s="5"/>
      <c r="HVT25" s="28"/>
      <c r="HVU25" s="28"/>
      <c r="HWS25" s="5"/>
      <c r="HWU25" s="28"/>
      <c r="HWV25" s="28"/>
      <c r="HXT25" s="5"/>
      <c r="HXV25" s="28"/>
      <c r="HXW25" s="28"/>
      <c r="HYU25" s="5"/>
      <c r="HYW25" s="28"/>
      <c r="HYX25" s="28"/>
      <c r="HZV25" s="5"/>
      <c r="HZX25" s="28"/>
      <c r="HZY25" s="28"/>
      <c r="IAW25" s="5"/>
      <c r="IAY25" s="28"/>
      <c r="IAZ25" s="28"/>
      <c r="IBX25" s="5"/>
      <c r="IBZ25" s="28"/>
      <c r="ICA25" s="28"/>
      <c r="ICY25" s="5"/>
      <c r="IDA25" s="28"/>
      <c r="IDB25" s="28"/>
      <c r="IDZ25" s="5"/>
      <c r="IEB25" s="28"/>
      <c r="IEC25" s="28"/>
      <c r="IFA25" s="5"/>
      <c r="IFC25" s="28"/>
      <c r="IFD25" s="28"/>
      <c r="IGB25" s="5"/>
      <c r="IGD25" s="28"/>
      <c r="IGE25" s="28"/>
      <c r="IHC25" s="5"/>
      <c r="IHE25" s="28"/>
      <c r="IHF25" s="28"/>
      <c r="IID25" s="5"/>
      <c r="IIF25" s="28"/>
      <c r="IIG25" s="28"/>
      <c r="IJE25" s="5"/>
      <c r="IJG25" s="28"/>
      <c r="IJH25" s="28"/>
      <c r="IKF25" s="5"/>
      <c r="IKH25" s="28"/>
      <c r="IKI25" s="28"/>
      <c r="ILG25" s="5"/>
      <c r="ILI25" s="28"/>
      <c r="ILJ25" s="28"/>
      <c r="IMH25" s="5"/>
      <c r="IMJ25" s="28"/>
      <c r="IMK25" s="28"/>
      <c r="INI25" s="5"/>
      <c r="INK25" s="28"/>
      <c r="INL25" s="28"/>
      <c r="IOJ25" s="5"/>
      <c r="IOL25" s="28"/>
      <c r="IOM25" s="28"/>
      <c r="IPK25" s="5"/>
      <c r="IPM25" s="28"/>
      <c r="IPN25" s="28"/>
      <c r="IQL25" s="5"/>
      <c r="IQN25" s="28"/>
      <c r="IQO25" s="28"/>
      <c r="IRM25" s="5"/>
      <c r="IRO25" s="28"/>
      <c r="IRP25" s="28"/>
      <c r="ISN25" s="5"/>
      <c r="ISP25" s="28"/>
      <c r="ISQ25" s="28"/>
      <c r="ITO25" s="5"/>
      <c r="ITQ25" s="28"/>
      <c r="ITR25" s="28"/>
      <c r="IUP25" s="5"/>
      <c r="IUR25" s="28"/>
      <c r="IUS25" s="28"/>
      <c r="IVQ25" s="5"/>
      <c r="IVS25" s="28"/>
      <c r="IVT25" s="28"/>
      <c r="IWR25" s="5"/>
      <c r="IWT25" s="28"/>
      <c r="IWU25" s="28"/>
      <c r="IXS25" s="5"/>
      <c r="IXU25" s="28"/>
      <c r="IXV25" s="28"/>
      <c r="IYT25" s="5"/>
      <c r="IYV25" s="28"/>
      <c r="IYW25" s="28"/>
      <c r="IZU25" s="5"/>
      <c r="IZW25" s="28"/>
      <c r="IZX25" s="28"/>
      <c r="JAV25" s="5"/>
      <c r="JAX25" s="28"/>
      <c r="JAY25" s="28"/>
      <c r="JBW25" s="5"/>
      <c r="JBY25" s="28"/>
      <c r="JBZ25" s="28"/>
      <c r="JCX25" s="5"/>
      <c r="JCZ25" s="28"/>
      <c r="JDA25" s="28"/>
      <c r="JDY25" s="5"/>
      <c r="JEA25" s="28"/>
      <c r="JEB25" s="28"/>
      <c r="JEZ25" s="5"/>
      <c r="JFB25" s="28"/>
      <c r="JFC25" s="28"/>
      <c r="JGA25" s="5"/>
      <c r="JGC25" s="28"/>
      <c r="JGD25" s="28"/>
      <c r="JHB25" s="5"/>
      <c r="JHD25" s="28"/>
      <c r="JHE25" s="28"/>
      <c r="JIC25" s="5"/>
      <c r="JIE25" s="28"/>
      <c r="JIF25" s="28"/>
      <c r="JJD25" s="5"/>
      <c r="JJF25" s="28"/>
      <c r="JJG25" s="28"/>
      <c r="JKE25" s="5"/>
      <c r="JKG25" s="28"/>
      <c r="JKH25" s="28"/>
      <c r="JLF25" s="5"/>
      <c r="JLH25" s="28"/>
      <c r="JLI25" s="28"/>
      <c r="JMG25" s="5"/>
      <c r="JMI25" s="28"/>
      <c r="JMJ25" s="28"/>
      <c r="JNH25" s="5"/>
      <c r="JNJ25" s="28"/>
      <c r="JNK25" s="28"/>
      <c r="JOI25" s="5"/>
      <c r="JOK25" s="28"/>
      <c r="JOL25" s="28"/>
      <c r="JPJ25" s="5"/>
      <c r="JPL25" s="28"/>
      <c r="JPM25" s="28"/>
      <c r="JQK25" s="5"/>
      <c r="JQM25" s="28"/>
      <c r="JQN25" s="28"/>
      <c r="JRL25" s="5"/>
      <c r="JRN25" s="28"/>
      <c r="JRO25" s="28"/>
      <c r="JSM25" s="5"/>
      <c r="JSO25" s="28"/>
      <c r="JSP25" s="28"/>
      <c r="JTN25" s="5"/>
      <c r="JTP25" s="28"/>
      <c r="JTQ25" s="28"/>
      <c r="JUO25" s="5"/>
      <c r="JUQ25" s="28"/>
      <c r="JUR25" s="28"/>
      <c r="JVP25" s="5"/>
      <c r="JVR25" s="28"/>
      <c r="JVS25" s="28"/>
      <c r="JWQ25" s="5"/>
      <c r="JWS25" s="28"/>
      <c r="JWT25" s="28"/>
      <c r="JXR25" s="5"/>
      <c r="JXT25" s="28"/>
      <c r="JXU25" s="28"/>
      <c r="JYS25" s="5"/>
      <c r="JYU25" s="28"/>
      <c r="JYV25" s="28"/>
      <c r="JZT25" s="5"/>
      <c r="JZV25" s="28"/>
      <c r="JZW25" s="28"/>
      <c r="KAU25" s="5"/>
      <c r="KAW25" s="28"/>
      <c r="KAX25" s="28"/>
      <c r="KBV25" s="5"/>
      <c r="KBX25" s="28"/>
      <c r="KBY25" s="28"/>
      <c r="KCW25" s="5"/>
      <c r="KCY25" s="28"/>
      <c r="KCZ25" s="28"/>
      <c r="KDX25" s="5"/>
      <c r="KDZ25" s="28"/>
      <c r="KEA25" s="28"/>
      <c r="KEY25" s="5"/>
      <c r="KFA25" s="28"/>
      <c r="KFB25" s="28"/>
      <c r="KFZ25" s="5"/>
      <c r="KGB25" s="28"/>
      <c r="KGC25" s="28"/>
      <c r="KHA25" s="5"/>
      <c r="KHC25" s="28"/>
      <c r="KHD25" s="28"/>
      <c r="KIB25" s="5"/>
      <c r="KID25" s="28"/>
      <c r="KIE25" s="28"/>
      <c r="KJC25" s="5"/>
      <c r="KJE25" s="28"/>
      <c r="KJF25" s="28"/>
      <c r="KKD25" s="5"/>
      <c r="KKF25" s="28"/>
      <c r="KKG25" s="28"/>
      <c r="KLE25" s="5"/>
      <c r="KLG25" s="28"/>
      <c r="KLH25" s="28"/>
      <c r="KMF25" s="5"/>
      <c r="KMH25" s="28"/>
      <c r="KMI25" s="28"/>
      <c r="KNG25" s="5"/>
      <c r="KNI25" s="28"/>
      <c r="KNJ25" s="28"/>
      <c r="KOH25" s="5"/>
      <c r="KOJ25" s="28"/>
      <c r="KOK25" s="28"/>
      <c r="KPI25" s="5"/>
      <c r="KPK25" s="28"/>
      <c r="KPL25" s="28"/>
      <c r="KQJ25" s="5"/>
      <c r="KQL25" s="28"/>
      <c r="KQM25" s="28"/>
      <c r="KRK25" s="5"/>
      <c r="KRM25" s="28"/>
      <c r="KRN25" s="28"/>
      <c r="KSL25" s="5"/>
      <c r="KSN25" s="28"/>
      <c r="KSO25" s="28"/>
      <c r="KTM25" s="5"/>
      <c r="KTO25" s="28"/>
      <c r="KTP25" s="28"/>
      <c r="KUN25" s="5"/>
      <c r="KUP25" s="28"/>
      <c r="KUQ25" s="28"/>
      <c r="KVO25" s="5"/>
      <c r="KVQ25" s="28"/>
      <c r="KVR25" s="28"/>
      <c r="KWP25" s="5"/>
      <c r="KWR25" s="28"/>
      <c r="KWS25" s="28"/>
      <c r="KXQ25" s="5"/>
      <c r="KXS25" s="28"/>
      <c r="KXT25" s="28"/>
      <c r="KYR25" s="5"/>
      <c r="KYT25" s="28"/>
      <c r="KYU25" s="28"/>
      <c r="KZS25" s="5"/>
      <c r="KZU25" s="28"/>
      <c r="KZV25" s="28"/>
      <c r="LAT25" s="5"/>
      <c r="LAV25" s="28"/>
      <c r="LAW25" s="28"/>
      <c r="LBU25" s="5"/>
      <c r="LBW25" s="28"/>
      <c r="LBX25" s="28"/>
      <c r="LCV25" s="5"/>
      <c r="LCX25" s="28"/>
      <c r="LCY25" s="28"/>
      <c r="LDW25" s="5"/>
      <c r="LDY25" s="28"/>
      <c r="LDZ25" s="28"/>
      <c r="LEX25" s="5"/>
      <c r="LEZ25" s="28"/>
      <c r="LFA25" s="28"/>
      <c r="LFY25" s="5"/>
      <c r="LGA25" s="28"/>
      <c r="LGB25" s="28"/>
      <c r="LGZ25" s="5"/>
      <c r="LHB25" s="28"/>
      <c r="LHC25" s="28"/>
      <c r="LIA25" s="5"/>
      <c r="LIC25" s="28"/>
      <c r="LID25" s="28"/>
      <c r="LJB25" s="5"/>
      <c r="LJD25" s="28"/>
      <c r="LJE25" s="28"/>
      <c r="LKC25" s="5"/>
      <c r="LKE25" s="28"/>
      <c r="LKF25" s="28"/>
      <c r="LLD25" s="5"/>
      <c r="LLF25" s="28"/>
      <c r="LLG25" s="28"/>
      <c r="LME25" s="5"/>
      <c r="LMG25" s="28"/>
      <c r="LMH25" s="28"/>
      <c r="LNF25" s="5"/>
      <c r="LNH25" s="28"/>
      <c r="LNI25" s="28"/>
      <c r="LOG25" s="5"/>
      <c r="LOI25" s="28"/>
      <c r="LOJ25" s="28"/>
      <c r="LPH25" s="5"/>
      <c r="LPJ25" s="28"/>
      <c r="LPK25" s="28"/>
      <c r="LQI25" s="5"/>
      <c r="LQK25" s="28"/>
      <c r="LQL25" s="28"/>
      <c r="LRJ25" s="5"/>
      <c r="LRL25" s="28"/>
      <c r="LRM25" s="28"/>
      <c r="LSK25" s="5"/>
      <c r="LSM25" s="28"/>
      <c r="LSN25" s="28"/>
      <c r="LTL25" s="5"/>
      <c r="LTN25" s="28"/>
      <c r="LTO25" s="28"/>
      <c r="LUM25" s="5"/>
      <c r="LUO25" s="28"/>
      <c r="LUP25" s="28"/>
      <c r="LVN25" s="5"/>
      <c r="LVP25" s="28"/>
      <c r="LVQ25" s="28"/>
      <c r="LWO25" s="5"/>
      <c r="LWQ25" s="28"/>
      <c r="LWR25" s="28"/>
      <c r="LXP25" s="5"/>
      <c r="LXR25" s="28"/>
      <c r="LXS25" s="28"/>
      <c r="LYQ25" s="5"/>
      <c r="LYS25" s="28"/>
      <c r="LYT25" s="28"/>
      <c r="LZR25" s="5"/>
      <c r="LZT25" s="28"/>
      <c r="LZU25" s="28"/>
      <c r="MAS25" s="5"/>
      <c r="MAU25" s="28"/>
      <c r="MAV25" s="28"/>
      <c r="MBT25" s="5"/>
      <c r="MBV25" s="28"/>
      <c r="MBW25" s="28"/>
      <c r="MCU25" s="5"/>
      <c r="MCW25" s="28"/>
      <c r="MCX25" s="28"/>
      <c r="MDV25" s="5"/>
      <c r="MDX25" s="28"/>
      <c r="MDY25" s="28"/>
      <c r="MEW25" s="5"/>
      <c r="MEY25" s="28"/>
      <c r="MEZ25" s="28"/>
      <c r="MFX25" s="5"/>
      <c r="MFZ25" s="28"/>
      <c r="MGA25" s="28"/>
      <c r="MGY25" s="5"/>
      <c r="MHA25" s="28"/>
      <c r="MHB25" s="28"/>
      <c r="MHZ25" s="5"/>
      <c r="MIB25" s="28"/>
      <c r="MIC25" s="28"/>
      <c r="MJA25" s="5"/>
      <c r="MJC25" s="28"/>
      <c r="MJD25" s="28"/>
      <c r="MKB25" s="5"/>
      <c r="MKD25" s="28"/>
      <c r="MKE25" s="28"/>
      <c r="MLC25" s="5"/>
      <c r="MLE25" s="28"/>
      <c r="MLF25" s="28"/>
      <c r="MMD25" s="5"/>
      <c r="MMF25" s="28"/>
      <c r="MMG25" s="28"/>
      <c r="MNE25" s="5"/>
      <c r="MNG25" s="28"/>
      <c r="MNH25" s="28"/>
      <c r="MOF25" s="5"/>
      <c r="MOH25" s="28"/>
      <c r="MOI25" s="28"/>
      <c r="MPG25" s="5"/>
      <c r="MPI25" s="28"/>
      <c r="MPJ25" s="28"/>
      <c r="MQH25" s="5"/>
      <c r="MQJ25" s="28"/>
      <c r="MQK25" s="28"/>
      <c r="MRI25" s="5"/>
      <c r="MRK25" s="28"/>
      <c r="MRL25" s="28"/>
      <c r="MSJ25" s="5"/>
      <c r="MSL25" s="28"/>
      <c r="MSM25" s="28"/>
      <c r="MTK25" s="5"/>
      <c r="MTM25" s="28"/>
      <c r="MTN25" s="28"/>
      <c r="MUL25" s="5"/>
      <c r="MUN25" s="28"/>
      <c r="MUO25" s="28"/>
      <c r="MVM25" s="5"/>
      <c r="MVO25" s="28"/>
      <c r="MVP25" s="28"/>
      <c r="MWN25" s="5"/>
      <c r="MWP25" s="28"/>
      <c r="MWQ25" s="28"/>
      <c r="MXO25" s="5"/>
      <c r="MXQ25" s="28"/>
      <c r="MXR25" s="28"/>
      <c r="MYP25" s="5"/>
      <c r="MYR25" s="28"/>
      <c r="MYS25" s="28"/>
      <c r="MZQ25" s="5"/>
      <c r="MZS25" s="28"/>
      <c r="MZT25" s="28"/>
      <c r="NAR25" s="5"/>
      <c r="NAT25" s="28"/>
      <c r="NAU25" s="28"/>
      <c r="NBS25" s="5"/>
      <c r="NBU25" s="28"/>
      <c r="NBV25" s="28"/>
      <c r="NCT25" s="5"/>
      <c r="NCV25" s="28"/>
      <c r="NCW25" s="28"/>
      <c r="NDU25" s="5"/>
      <c r="NDW25" s="28"/>
      <c r="NDX25" s="28"/>
      <c r="NEV25" s="5"/>
      <c r="NEX25" s="28"/>
      <c r="NEY25" s="28"/>
      <c r="NFW25" s="5"/>
      <c r="NFY25" s="28"/>
      <c r="NFZ25" s="28"/>
      <c r="NGX25" s="5"/>
      <c r="NGZ25" s="28"/>
      <c r="NHA25" s="28"/>
      <c r="NHY25" s="5"/>
      <c r="NIA25" s="28"/>
      <c r="NIB25" s="28"/>
      <c r="NIZ25" s="5"/>
      <c r="NJB25" s="28"/>
      <c r="NJC25" s="28"/>
      <c r="NKA25" s="5"/>
      <c r="NKC25" s="28"/>
      <c r="NKD25" s="28"/>
      <c r="NLB25" s="5"/>
      <c r="NLD25" s="28"/>
      <c r="NLE25" s="28"/>
      <c r="NMC25" s="5"/>
      <c r="NME25" s="28"/>
      <c r="NMF25" s="28"/>
      <c r="NND25" s="5"/>
      <c r="NNF25" s="28"/>
      <c r="NNG25" s="28"/>
      <c r="NOE25" s="5"/>
      <c r="NOG25" s="28"/>
      <c r="NOH25" s="28"/>
      <c r="NPF25" s="5"/>
      <c r="NPH25" s="28"/>
      <c r="NPI25" s="28"/>
      <c r="NQG25" s="5"/>
      <c r="NQI25" s="28"/>
      <c r="NQJ25" s="28"/>
      <c r="NRH25" s="5"/>
      <c r="NRJ25" s="28"/>
      <c r="NRK25" s="28"/>
      <c r="NSI25" s="5"/>
      <c r="NSK25" s="28"/>
      <c r="NSL25" s="28"/>
      <c r="NTJ25" s="5"/>
      <c r="NTL25" s="28"/>
      <c r="NTM25" s="28"/>
      <c r="NUK25" s="5"/>
      <c r="NUM25" s="28"/>
      <c r="NUN25" s="28"/>
      <c r="NVL25" s="5"/>
      <c r="NVN25" s="28"/>
      <c r="NVO25" s="28"/>
      <c r="NWM25" s="5"/>
      <c r="NWO25" s="28"/>
      <c r="NWP25" s="28"/>
      <c r="NXN25" s="5"/>
      <c r="NXP25" s="28"/>
      <c r="NXQ25" s="28"/>
      <c r="NYO25" s="5"/>
      <c r="NYQ25" s="28"/>
      <c r="NYR25" s="28"/>
      <c r="NZP25" s="5"/>
      <c r="NZR25" s="28"/>
      <c r="NZS25" s="28"/>
      <c r="OAQ25" s="5"/>
      <c r="OAS25" s="28"/>
      <c r="OAT25" s="28"/>
      <c r="OBR25" s="5"/>
      <c r="OBT25" s="28"/>
      <c r="OBU25" s="28"/>
      <c r="OCS25" s="5"/>
      <c r="OCU25" s="28"/>
      <c r="OCV25" s="28"/>
      <c r="ODT25" s="5"/>
      <c r="ODV25" s="28"/>
      <c r="ODW25" s="28"/>
      <c r="OEU25" s="5"/>
      <c r="OEW25" s="28"/>
      <c r="OEX25" s="28"/>
      <c r="OFV25" s="5"/>
      <c r="OFX25" s="28"/>
      <c r="OFY25" s="28"/>
      <c r="OGW25" s="5"/>
      <c r="OGY25" s="28"/>
      <c r="OGZ25" s="28"/>
      <c r="OHX25" s="5"/>
      <c r="OHZ25" s="28"/>
      <c r="OIA25" s="28"/>
      <c r="OIY25" s="5"/>
      <c r="OJA25" s="28"/>
      <c r="OJB25" s="28"/>
      <c r="OJZ25" s="5"/>
      <c r="OKB25" s="28"/>
      <c r="OKC25" s="28"/>
      <c r="OLA25" s="5"/>
      <c r="OLC25" s="28"/>
      <c r="OLD25" s="28"/>
      <c r="OMB25" s="5"/>
      <c r="OMD25" s="28"/>
      <c r="OME25" s="28"/>
      <c r="ONC25" s="5"/>
      <c r="ONE25" s="28"/>
      <c r="ONF25" s="28"/>
      <c r="OOD25" s="5"/>
      <c r="OOF25" s="28"/>
      <c r="OOG25" s="28"/>
      <c r="OPE25" s="5"/>
      <c r="OPG25" s="28"/>
      <c r="OPH25" s="28"/>
      <c r="OQF25" s="5"/>
      <c r="OQH25" s="28"/>
      <c r="OQI25" s="28"/>
      <c r="ORG25" s="5"/>
      <c r="ORI25" s="28"/>
      <c r="ORJ25" s="28"/>
      <c r="OSH25" s="5"/>
      <c r="OSJ25" s="28"/>
      <c r="OSK25" s="28"/>
      <c r="OTI25" s="5"/>
      <c r="OTK25" s="28"/>
      <c r="OTL25" s="28"/>
      <c r="OUJ25" s="5"/>
      <c r="OUL25" s="28"/>
      <c r="OUM25" s="28"/>
      <c r="OVK25" s="5"/>
      <c r="OVM25" s="28"/>
      <c r="OVN25" s="28"/>
      <c r="OWL25" s="5"/>
      <c r="OWN25" s="28"/>
      <c r="OWO25" s="28"/>
      <c r="OXM25" s="5"/>
      <c r="OXO25" s="28"/>
      <c r="OXP25" s="28"/>
      <c r="OYN25" s="5"/>
      <c r="OYP25" s="28"/>
      <c r="OYQ25" s="28"/>
      <c r="OZO25" s="5"/>
      <c r="OZQ25" s="28"/>
      <c r="OZR25" s="28"/>
      <c r="PAP25" s="5"/>
      <c r="PAR25" s="28"/>
      <c r="PAS25" s="28"/>
      <c r="PBQ25" s="5"/>
      <c r="PBS25" s="28"/>
      <c r="PBT25" s="28"/>
      <c r="PCR25" s="5"/>
      <c r="PCT25" s="28"/>
      <c r="PCU25" s="28"/>
      <c r="PDS25" s="5"/>
      <c r="PDU25" s="28"/>
      <c r="PDV25" s="28"/>
      <c r="PET25" s="5"/>
      <c r="PEV25" s="28"/>
      <c r="PEW25" s="28"/>
      <c r="PFU25" s="5"/>
      <c r="PFW25" s="28"/>
      <c r="PFX25" s="28"/>
      <c r="PGV25" s="5"/>
      <c r="PGX25" s="28"/>
      <c r="PGY25" s="28"/>
      <c r="PHW25" s="5"/>
      <c r="PHY25" s="28"/>
      <c r="PHZ25" s="28"/>
      <c r="PIX25" s="5"/>
      <c r="PIZ25" s="28"/>
      <c r="PJA25" s="28"/>
      <c r="PJY25" s="5"/>
      <c r="PKA25" s="28"/>
      <c r="PKB25" s="28"/>
      <c r="PKZ25" s="5"/>
      <c r="PLB25" s="28"/>
      <c r="PLC25" s="28"/>
      <c r="PMA25" s="5"/>
      <c r="PMC25" s="28"/>
      <c r="PMD25" s="28"/>
      <c r="PNB25" s="5"/>
      <c r="PND25" s="28"/>
      <c r="PNE25" s="28"/>
      <c r="POC25" s="5"/>
      <c r="POE25" s="28"/>
      <c r="POF25" s="28"/>
      <c r="PPD25" s="5"/>
      <c r="PPF25" s="28"/>
      <c r="PPG25" s="28"/>
      <c r="PQE25" s="5"/>
      <c r="PQG25" s="28"/>
      <c r="PQH25" s="28"/>
      <c r="PRF25" s="5"/>
      <c r="PRH25" s="28"/>
      <c r="PRI25" s="28"/>
      <c r="PSG25" s="5"/>
      <c r="PSI25" s="28"/>
      <c r="PSJ25" s="28"/>
      <c r="PTH25" s="5"/>
      <c r="PTJ25" s="28"/>
      <c r="PTK25" s="28"/>
      <c r="PUI25" s="5"/>
      <c r="PUK25" s="28"/>
      <c r="PUL25" s="28"/>
      <c r="PVJ25" s="5"/>
      <c r="PVL25" s="28"/>
      <c r="PVM25" s="28"/>
      <c r="PWK25" s="5"/>
      <c r="PWM25" s="28"/>
      <c r="PWN25" s="28"/>
      <c r="PXL25" s="5"/>
      <c r="PXN25" s="28"/>
      <c r="PXO25" s="28"/>
      <c r="PYM25" s="5"/>
      <c r="PYO25" s="28"/>
      <c r="PYP25" s="28"/>
      <c r="PZN25" s="5"/>
      <c r="PZP25" s="28"/>
      <c r="PZQ25" s="28"/>
      <c r="QAO25" s="5"/>
      <c r="QAQ25" s="28"/>
      <c r="QAR25" s="28"/>
      <c r="QBP25" s="5"/>
      <c r="QBR25" s="28"/>
      <c r="QBS25" s="28"/>
      <c r="QCQ25" s="5"/>
      <c r="QCS25" s="28"/>
      <c r="QCT25" s="28"/>
      <c r="QDR25" s="5"/>
      <c r="QDT25" s="28"/>
      <c r="QDU25" s="28"/>
      <c r="QES25" s="5"/>
      <c r="QEU25" s="28"/>
      <c r="QEV25" s="28"/>
      <c r="QFT25" s="5"/>
      <c r="QFV25" s="28"/>
      <c r="QFW25" s="28"/>
      <c r="QGU25" s="5"/>
      <c r="QGW25" s="28"/>
      <c r="QGX25" s="28"/>
      <c r="QHV25" s="5"/>
      <c r="QHX25" s="28"/>
      <c r="QHY25" s="28"/>
      <c r="QIW25" s="5"/>
      <c r="QIY25" s="28"/>
      <c r="QIZ25" s="28"/>
      <c r="QJX25" s="5"/>
      <c r="QJZ25" s="28"/>
      <c r="QKA25" s="28"/>
      <c r="QKY25" s="5"/>
      <c r="QLA25" s="28"/>
      <c r="QLB25" s="28"/>
      <c r="QLZ25" s="5"/>
      <c r="QMB25" s="28"/>
      <c r="QMC25" s="28"/>
      <c r="QNA25" s="5"/>
      <c r="QNC25" s="28"/>
      <c r="QND25" s="28"/>
      <c r="QOB25" s="5"/>
      <c r="QOD25" s="28"/>
      <c r="QOE25" s="28"/>
      <c r="QPC25" s="5"/>
      <c r="QPE25" s="28"/>
      <c r="QPF25" s="28"/>
      <c r="QQD25" s="5"/>
      <c r="QQF25" s="28"/>
      <c r="QQG25" s="28"/>
      <c r="QRE25" s="5"/>
      <c r="QRG25" s="28"/>
      <c r="QRH25" s="28"/>
      <c r="QSF25" s="5"/>
      <c r="QSH25" s="28"/>
      <c r="QSI25" s="28"/>
      <c r="QTG25" s="5"/>
      <c r="QTI25" s="28"/>
      <c r="QTJ25" s="28"/>
      <c r="QUH25" s="5"/>
      <c r="QUJ25" s="28"/>
      <c r="QUK25" s="28"/>
      <c r="QVI25" s="5"/>
      <c r="QVK25" s="28"/>
      <c r="QVL25" s="28"/>
      <c r="QWJ25" s="5"/>
      <c r="QWL25" s="28"/>
      <c r="QWM25" s="28"/>
      <c r="QXK25" s="5"/>
      <c r="QXM25" s="28"/>
      <c r="QXN25" s="28"/>
      <c r="QYL25" s="5"/>
      <c r="QYN25" s="28"/>
      <c r="QYO25" s="28"/>
      <c r="QZM25" s="5"/>
      <c r="QZO25" s="28"/>
      <c r="QZP25" s="28"/>
      <c r="RAN25" s="5"/>
      <c r="RAP25" s="28"/>
      <c r="RAQ25" s="28"/>
      <c r="RBO25" s="5"/>
      <c r="RBQ25" s="28"/>
      <c r="RBR25" s="28"/>
      <c r="RCP25" s="5"/>
      <c r="RCR25" s="28"/>
      <c r="RCS25" s="28"/>
      <c r="RDQ25" s="5"/>
      <c r="RDS25" s="28"/>
      <c r="RDT25" s="28"/>
      <c r="RER25" s="5"/>
      <c r="RET25" s="28"/>
      <c r="REU25" s="28"/>
      <c r="RFS25" s="5"/>
      <c r="RFU25" s="28"/>
      <c r="RFV25" s="28"/>
      <c r="RGT25" s="5"/>
      <c r="RGV25" s="28"/>
      <c r="RGW25" s="28"/>
      <c r="RHU25" s="5"/>
      <c r="RHW25" s="28"/>
      <c r="RHX25" s="28"/>
      <c r="RIV25" s="5"/>
      <c r="RIX25" s="28"/>
      <c r="RIY25" s="28"/>
      <c r="RJW25" s="5"/>
      <c r="RJY25" s="28"/>
      <c r="RJZ25" s="28"/>
      <c r="RKX25" s="5"/>
      <c r="RKZ25" s="28"/>
      <c r="RLA25" s="28"/>
      <c r="RLY25" s="5"/>
      <c r="RMA25" s="28"/>
      <c r="RMB25" s="28"/>
      <c r="RMZ25" s="5"/>
      <c r="RNB25" s="28"/>
      <c r="RNC25" s="28"/>
      <c r="ROA25" s="5"/>
      <c r="ROC25" s="28"/>
      <c r="ROD25" s="28"/>
      <c r="RPB25" s="5"/>
      <c r="RPD25" s="28"/>
      <c r="RPE25" s="28"/>
      <c r="RQC25" s="5"/>
      <c r="RQE25" s="28"/>
      <c r="RQF25" s="28"/>
      <c r="RRD25" s="5"/>
      <c r="RRF25" s="28"/>
      <c r="RRG25" s="28"/>
      <c r="RSE25" s="5"/>
      <c r="RSG25" s="28"/>
      <c r="RSH25" s="28"/>
      <c r="RTF25" s="5"/>
      <c r="RTH25" s="28"/>
      <c r="RTI25" s="28"/>
      <c r="RUG25" s="5"/>
      <c r="RUI25" s="28"/>
      <c r="RUJ25" s="28"/>
      <c r="RVH25" s="5"/>
      <c r="RVJ25" s="28"/>
      <c r="RVK25" s="28"/>
      <c r="RWI25" s="5"/>
      <c r="RWK25" s="28"/>
      <c r="RWL25" s="28"/>
      <c r="RXJ25" s="5"/>
      <c r="RXL25" s="28"/>
      <c r="RXM25" s="28"/>
      <c r="RYK25" s="5"/>
      <c r="RYM25" s="28"/>
      <c r="RYN25" s="28"/>
      <c r="RZL25" s="5"/>
      <c r="RZN25" s="28"/>
      <c r="RZO25" s="28"/>
      <c r="SAM25" s="5"/>
      <c r="SAO25" s="28"/>
      <c r="SAP25" s="28"/>
      <c r="SBN25" s="5"/>
      <c r="SBP25" s="28"/>
      <c r="SBQ25" s="28"/>
      <c r="SCO25" s="5"/>
      <c r="SCQ25" s="28"/>
      <c r="SCR25" s="28"/>
      <c r="SDP25" s="5"/>
      <c r="SDR25" s="28"/>
      <c r="SDS25" s="28"/>
      <c r="SEQ25" s="5"/>
      <c r="SES25" s="28"/>
      <c r="SET25" s="28"/>
      <c r="SFR25" s="5"/>
      <c r="SFT25" s="28"/>
      <c r="SFU25" s="28"/>
      <c r="SGS25" s="5"/>
      <c r="SGU25" s="28"/>
      <c r="SGV25" s="28"/>
      <c r="SHT25" s="5"/>
      <c r="SHV25" s="28"/>
      <c r="SHW25" s="28"/>
      <c r="SIU25" s="5"/>
      <c r="SIW25" s="28"/>
      <c r="SIX25" s="28"/>
      <c r="SJV25" s="5"/>
      <c r="SJX25" s="28"/>
      <c r="SJY25" s="28"/>
      <c r="SKW25" s="5"/>
      <c r="SKY25" s="28"/>
      <c r="SKZ25" s="28"/>
      <c r="SLX25" s="5"/>
      <c r="SLZ25" s="28"/>
      <c r="SMA25" s="28"/>
      <c r="SMY25" s="5"/>
      <c r="SNA25" s="28"/>
      <c r="SNB25" s="28"/>
      <c r="SNZ25" s="5"/>
      <c r="SOB25" s="28"/>
      <c r="SOC25" s="28"/>
      <c r="SPA25" s="5"/>
      <c r="SPC25" s="28"/>
      <c r="SPD25" s="28"/>
      <c r="SQB25" s="5"/>
      <c r="SQD25" s="28"/>
      <c r="SQE25" s="28"/>
      <c r="SRC25" s="5"/>
      <c r="SRE25" s="28"/>
      <c r="SRF25" s="28"/>
      <c r="SSD25" s="5"/>
      <c r="SSF25" s="28"/>
      <c r="SSG25" s="28"/>
      <c r="STE25" s="5"/>
      <c r="STG25" s="28"/>
      <c r="STH25" s="28"/>
      <c r="SUF25" s="5"/>
      <c r="SUH25" s="28"/>
      <c r="SUI25" s="28"/>
      <c r="SVG25" s="5"/>
      <c r="SVI25" s="28"/>
      <c r="SVJ25" s="28"/>
      <c r="SWH25" s="5"/>
      <c r="SWJ25" s="28"/>
      <c r="SWK25" s="28"/>
      <c r="SXI25" s="5"/>
      <c r="SXK25" s="28"/>
      <c r="SXL25" s="28"/>
      <c r="SYJ25" s="5"/>
      <c r="SYL25" s="28"/>
      <c r="SYM25" s="28"/>
      <c r="SZK25" s="5"/>
      <c r="SZM25" s="28"/>
      <c r="SZN25" s="28"/>
      <c r="TAL25" s="5"/>
      <c r="TAN25" s="28"/>
      <c r="TAO25" s="28"/>
      <c r="TBM25" s="5"/>
      <c r="TBO25" s="28"/>
      <c r="TBP25" s="28"/>
      <c r="TCN25" s="5"/>
      <c r="TCP25" s="28"/>
      <c r="TCQ25" s="28"/>
      <c r="TDO25" s="5"/>
      <c r="TDQ25" s="28"/>
      <c r="TDR25" s="28"/>
      <c r="TEP25" s="5"/>
      <c r="TER25" s="28"/>
      <c r="TES25" s="28"/>
      <c r="TFQ25" s="5"/>
      <c r="TFS25" s="28"/>
      <c r="TFT25" s="28"/>
      <c r="TGR25" s="5"/>
      <c r="TGT25" s="28"/>
      <c r="TGU25" s="28"/>
      <c r="THS25" s="5"/>
      <c r="THU25" s="28"/>
      <c r="THV25" s="28"/>
      <c r="TIT25" s="5"/>
      <c r="TIV25" s="28"/>
      <c r="TIW25" s="28"/>
      <c r="TJU25" s="5"/>
      <c r="TJW25" s="28"/>
      <c r="TJX25" s="28"/>
      <c r="TKV25" s="5"/>
      <c r="TKX25" s="28"/>
      <c r="TKY25" s="28"/>
      <c r="TLW25" s="5"/>
      <c r="TLY25" s="28"/>
      <c r="TLZ25" s="28"/>
      <c r="TMX25" s="5"/>
      <c r="TMZ25" s="28"/>
      <c r="TNA25" s="28"/>
      <c r="TNY25" s="5"/>
      <c r="TOA25" s="28"/>
      <c r="TOB25" s="28"/>
      <c r="TOZ25" s="5"/>
      <c r="TPB25" s="28"/>
      <c r="TPC25" s="28"/>
      <c r="TQA25" s="5"/>
      <c r="TQC25" s="28"/>
      <c r="TQD25" s="28"/>
      <c r="TRB25" s="5"/>
      <c r="TRD25" s="28"/>
      <c r="TRE25" s="28"/>
      <c r="TSC25" s="5"/>
      <c r="TSE25" s="28"/>
      <c r="TSF25" s="28"/>
      <c r="TTD25" s="5"/>
      <c r="TTF25" s="28"/>
      <c r="TTG25" s="28"/>
      <c r="TUE25" s="5"/>
      <c r="TUG25" s="28"/>
      <c r="TUH25" s="28"/>
      <c r="TVF25" s="5"/>
      <c r="TVH25" s="28"/>
      <c r="TVI25" s="28"/>
      <c r="TWG25" s="5"/>
      <c r="TWI25" s="28"/>
      <c r="TWJ25" s="28"/>
      <c r="TXH25" s="5"/>
      <c r="TXJ25" s="28"/>
      <c r="TXK25" s="28"/>
      <c r="TYI25" s="5"/>
      <c r="TYK25" s="28"/>
      <c r="TYL25" s="28"/>
      <c r="TZJ25" s="5"/>
      <c r="TZL25" s="28"/>
      <c r="TZM25" s="28"/>
      <c r="UAK25" s="5"/>
      <c r="UAM25" s="28"/>
      <c r="UAN25" s="28"/>
      <c r="UBL25" s="5"/>
      <c r="UBN25" s="28"/>
      <c r="UBO25" s="28"/>
      <c r="UCM25" s="5"/>
      <c r="UCO25" s="28"/>
      <c r="UCP25" s="28"/>
      <c r="UDN25" s="5"/>
      <c r="UDP25" s="28"/>
      <c r="UDQ25" s="28"/>
      <c r="UEO25" s="5"/>
      <c r="UEQ25" s="28"/>
      <c r="UER25" s="28"/>
      <c r="UFP25" s="5"/>
      <c r="UFR25" s="28"/>
      <c r="UFS25" s="28"/>
      <c r="UGQ25" s="5"/>
      <c r="UGS25" s="28"/>
      <c r="UGT25" s="28"/>
      <c r="UHR25" s="5"/>
      <c r="UHT25" s="28"/>
      <c r="UHU25" s="28"/>
      <c r="UIS25" s="5"/>
      <c r="UIU25" s="28"/>
      <c r="UIV25" s="28"/>
      <c r="UJT25" s="5"/>
      <c r="UJV25" s="28"/>
      <c r="UJW25" s="28"/>
      <c r="UKU25" s="5"/>
      <c r="UKW25" s="28"/>
      <c r="UKX25" s="28"/>
      <c r="ULV25" s="5"/>
      <c r="ULX25" s="28"/>
      <c r="ULY25" s="28"/>
      <c r="UMW25" s="5"/>
      <c r="UMY25" s="28"/>
      <c r="UMZ25" s="28"/>
      <c r="UNX25" s="5"/>
      <c r="UNZ25" s="28"/>
      <c r="UOA25" s="28"/>
      <c r="UOY25" s="5"/>
      <c r="UPA25" s="28"/>
      <c r="UPB25" s="28"/>
      <c r="UPZ25" s="5"/>
      <c r="UQB25" s="28"/>
      <c r="UQC25" s="28"/>
      <c r="URA25" s="5"/>
      <c r="URC25" s="28"/>
      <c r="URD25" s="28"/>
      <c r="USB25" s="5"/>
      <c r="USD25" s="28"/>
      <c r="USE25" s="28"/>
      <c r="UTC25" s="5"/>
      <c r="UTE25" s="28"/>
      <c r="UTF25" s="28"/>
      <c r="UUD25" s="5"/>
      <c r="UUF25" s="28"/>
      <c r="UUG25" s="28"/>
      <c r="UVE25" s="5"/>
      <c r="UVG25" s="28"/>
      <c r="UVH25" s="28"/>
      <c r="UWF25" s="5"/>
      <c r="UWH25" s="28"/>
      <c r="UWI25" s="28"/>
      <c r="UXG25" s="5"/>
      <c r="UXI25" s="28"/>
      <c r="UXJ25" s="28"/>
      <c r="UYH25" s="5"/>
      <c r="UYJ25" s="28"/>
      <c r="UYK25" s="28"/>
      <c r="UZI25" s="5"/>
      <c r="UZK25" s="28"/>
      <c r="UZL25" s="28"/>
      <c r="VAJ25" s="5"/>
      <c r="VAL25" s="28"/>
      <c r="VAM25" s="28"/>
      <c r="VBK25" s="5"/>
      <c r="VBM25" s="28"/>
      <c r="VBN25" s="28"/>
      <c r="VCL25" s="5"/>
      <c r="VCN25" s="28"/>
      <c r="VCO25" s="28"/>
      <c r="VDM25" s="5"/>
      <c r="VDO25" s="28"/>
      <c r="VDP25" s="28"/>
      <c r="VEN25" s="5"/>
      <c r="VEP25" s="28"/>
      <c r="VEQ25" s="28"/>
      <c r="VFO25" s="5"/>
      <c r="VFQ25" s="28"/>
      <c r="VFR25" s="28"/>
      <c r="VGP25" s="5"/>
      <c r="VGR25" s="28"/>
      <c r="VGS25" s="28"/>
      <c r="VHQ25" s="5"/>
      <c r="VHS25" s="28"/>
      <c r="VHT25" s="28"/>
      <c r="VIR25" s="5"/>
      <c r="VIT25" s="28"/>
      <c r="VIU25" s="28"/>
      <c r="VJS25" s="5"/>
      <c r="VJU25" s="28"/>
      <c r="VJV25" s="28"/>
      <c r="VKT25" s="5"/>
      <c r="VKV25" s="28"/>
      <c r="VKW25" s="28"/>
      <c r="VLU25" s="5"/>
      <c r="VLW25" s="28"/>
      <c r="VLX25" s="28"/>
      <c r="VMV25" s="5"/>
      <c r="VMX25" s="28"/>
      <c r="VMY25" s="28"/>
      <c r="VNW25" s="5"/>
      <c r="VNY25" s="28"/>
      <c r="VNZ25" s="28"/>
      <c r="VOX25" s="5"/>
      <c r="VOZ25" s="28"/>
      <c r="VPA25" s="28"/>
      <c r="VPY25" s="5"/>
      <c r="VQA25" s="28"/>
      <c r="VQB25" s="28"/>
      <c r="VQZ25" s="5"/>
      <c r="VRB25" s="28"/>
      <c r="VRC25" s="28"/>
      <c r="VSA25" s="5"/>
      <c r="VSC25" s="28"/>
      <c r="VSD25" s="28"/>
      <c r="VTB25" s="5"/>
      <c r="VTD25" s="28"/>
      <c r="VTE25" s="28"/>
      <c r="VUC25" s="5"/>
      <c r="VUE25" s="28"/>
      <c r="VUF25" s="28"/>
      <c r="VVD25" s="5"/>
      <c r="VVF25" s="28"/>
      <c r="VVG25" s="28"/>
      <c r="VWE25" s="5"/>
      <c r="VWG25" s="28"/>
      <c r="VWH25" s="28"/>
      <c r="VXF25" s="5"/>
      <c r="VXH25" s="28"/>
      <c r="VXI25" s="28"/>
      <c r="VYG25" s="5"/>
      <c r="VYI25" s="28"/>
      <c r="VYJ25" s="28"/>
      <c r="VZH25" s="5"/>
      <c r="VZJ25" s="28"/>
      <c r="VZK25" s="28"/>
      <c r="WAI25" s="5"/>
      <c r="WAK25" s="28"/>
      <c r="WAL25" s="28"/>
      <c r="WBJ25" s="5"/>
      <c r="WBL25" s="28"/>
      <c r="WBM25" s="28"/>
      <c r="WCK25" s="5"/>
      <c r="WCM25" s="28"/>
      <c r="WCN25" s="28"/>
      <c r="WDL25" s="5"/>
      <c r="WDN25" s="28"/>
      <c r="WDO25" s="28"/>
      <c r="WEM25" s="5"/>
      <c r="WEO25" s="28"/>
      <c r="WEP25" s="28"/>
      <c r="WFN25" s="5"/>
      <c r="WFP25" s="28"/>
      <c r="WFQ25" s="28"/>
      <c r="WGO25" s="5"/>
      <c r="WGQ25" s="28"/>
      <c r="WGR25" s="28"/>
      <c r="WHP25" s="5"/>
      <c r="WHR25" s="28"/>
      <c r="WHS25" s="28"/>
      <c r="WIQ25" s="5"/>
      <c r="WIS25" s="28"/>
      <c r="WIT25" s="28"/>
      <c r="WJR25" s="5"/>
      <c r="WJT25" s="28"/>
      <c r="WJU25" s="28"/>
      <c r="WKS25" s="5"/>
      <c r="WKU25" s="28"/>
      <c r="WKV25" s="28"/>
      <c r="WLT25" s="5"/>
      <c r="WLV25" s="28"/>
      <c r="WLW25" s="28"/>
      <c r="WMU25" s="5"/>
      <c r="WMW25" s="28"/>
      <c r="WMX25" s="28"/>
      <c r="WNV25" s="5"/>
      <c r="WNX25" s="28"/>
      <c r="WNY25" s="28"/>
      <c r="WOW25" s="5"/>
      <c r="WOY25" s="28"/>
      <c r="WOZ25" s="28"/>
      <c r="WPX25" s="5"/>
      <c r="WPZ25" s="28"/>
      <c r="WQA25" s="28"/>
      <c r="WQY25" s="5"/>
      <c r="WRA25" s="28"/>
      <c r="WRB25" s="28"/>
      <c r="WRZ25" s="5"/>
      <c r="WSB25" s="28"/>
      <c r="WSC25" s="28"/>
      <c r="WTA25" s="5"/>
      <c r="WTC25" s="28"/>
      <c r="WTD25" s="28"/>
      <c r="WUB25" s="5"/>
      <c r="WUD25" s="28"/>
      <c r="WUE25" s="28"/>
      <c r="WVC25" s="5"/>
      <c r="WVE25" s="28"/>
      <c r="WVF25" s="28"/>
      <c r="WWD25" s="5"/>
      <c r="WWF25" s="28"/>
      <c r="WWG25" s="28"/>
      <c r="WXE25" s="5"/>
      <c r="WXG25" s="28"/>
      <c r="WXH25" s="28"/>
      <c r="WYF25" s="5"/>
      <c r="WYH25" s="28"/>
      <c r="WYI25" s="28"/>
      <c r="WZG25" s="5"/>
      <c r="WZI25" s="28"/>
      <c r="WZJ25" s="28"/>
      <c r="XAH25" s="5"/>
      <c r="XAJ25" s="28"/>
      <c r="XAK25" s="28"/>
      <c r="XBI25" s="5"/>
      <c r="XBK25" s="28"/>
      <c r="XBL25" s="28"/>
      <c r="XCJ25" s="5"/>
      <c r="XCL25" s="28"/>
      <c r="XCM25" s="28"/>
      <c r="XDK25" s="5"/>
      <c r="XDM25" s="28"/>
      <c r="XDN25" s="28"/>
      <c r="XEL25" s="5"/>
      <c r="XEN25" s="28"/>
      <c r="XEO25" s="28"/>
    </row>
    <row r="26" spans="1:1006 1030:2032 2056:3058 3082:4084 4108:5110 5134:6136 6160:7162 7186:8188 8212:9214 9238:10240 10264:11263 11265:12265 12289:13291 13315:14317 14341:15343 15367:16369" s="4" customFormat="1" x14ac:dyDescent="0.25">
      <c r="A26" s="5"/>
      <c r="C26" s="28"/>
      <c r="D26" s="28"/>
      <c r="E26" s="28"/>
      <c r="F26" s="17">
        <f t="shared" si="175"/>
        <v>17</v>
      </c>
      <c r="EI26" s="5"/>
      <c r="EK26" s="28"/>
      <c r="EL26" s="28"/>
      <c r="FJ26" s="5"/>
      <c r="FL26" s="28"/>
      <c r="FM26" s="28"/>
      <c r="GK26" s="5"/>
      <c r="GM26" s="28"/>
      <c r="GN26" s="28"/>
      <c r="HL26" s="5"/>
      <c r="HN26" s="28"/>
      <c r="HO26" s="28"/>
      <c r="IM26" s="5"/>
      <c r="IO26" s="28"/>
      <c r="IP26" s="28"/>
      <c r="JN26" s="5"/>
      <c r="JP26" s="28"/>
      <c r="JQ26" s="28"/>
      <c r="KO26" s="5"/>
      <c r="KQ26" s="28"/>
      <c r="KR26" s="28"/>
      <c r="LP26" s="5"/>
      <c r="LR26" s="28"/>
      <c r="LS26" s="28"/>
      <c r="MQ26" s="5"/>
      <c r="MS26" s="28"/>
      <c r="MT26" s="28"/>
      <c r="NR26" s="5"/>
      <c r="NT26" s="28"/>
      <c r="NU26" s="28"/>
      <c r="OS26" s="5"/>
      <c r="OU26" s="28"/>
      <c r="OV26" s="28"/>
      <c r="PT26" s="5"/>
      <c r="PV26" s="28"/>
      <c r="PW26" s="28"/>
      <c r="QU26" s="5"/>
      <c r="QW26" s="28"/>
      <c r="QX26" s="28"/>
      <c r="RV26" s="5"/>
      <c r="RX26" s="28"/>
      <c r="RY26" s="28"/>
      <c r="SW26" s="5"/>
      <c r="SY26" s="28"/>
      <c r="SZ26" s="28"/>
      <c r="TX26" s="5"/>
      <c r="TZ26" s="28"/>
      <c r="UA26" s="28"/>
      <c r="UY26" s="5"/>
      <c r="VA26" s="28"/>
      <c r="VB26" s="28"/>
      <c r="VZ26" s="5"/>
      <c r="WB26" s="28"/>
      <c r="WC26" s="28"/>
      <c r="XA26" s="5"/>
      <c r="XC26" s="28"/>
      <c r="XD26" s="28"/>
      <c r="YB26" s="5"/>
      <c r="YD26" s="28"/>
      <c r="YE26" s="28"/>
      <c r="ZC26" s="5"/>
      <c r="ZE26" s="28"/>
      <c r="ZF26" s="28"/>
      <c r="AAD26" s="5"/>
      <c r="AAF26" s="28"/>
      <c r="AAG26" s="28"/>
      <c r="ABE26" s="5"/>
      <c r="ABG26" s="28"/>
      <c r="ABH26" s="28"/>
      <c r="ACF26" s="5"/>
      <c r="ACH26" s="28"/>
      <c r="ACI26" s="28"/>
      <c r="ADG26" s="5"/>
      <c r="ADI26" s="28"/>
      <c r="ADJ26" s="28"/>
      <c r="AEH26" s="5"/>
      <c r="AEJ26" s="28"/>
      <c r="AEK26" s="28"/>
      <c r="AFI26" s="5"/>
      <c r="AFK26" s="28"/>
      <c r="AFL26" s="28"/>
      <c r="AGJ26" s="5"/>
      <c r="AGL26" s="28"/>
      <c r="AGM26" s="28"/>
      <c r="AHK26" s="5"/>
      <c r="AHM26" s="28"/>
      <c r="AHN26" s="28"/>
      <c r="AIL26" s="5"/>
      <c r="AIN26" s="28"/>
      <c r="AIO26" s="28"/>
      <c r="AJM26" s="5"/>
      <c r="AJO26" s="28"/>
      <c r="AJP26" s="28"/>
      <c r="AKN26" s="5"/>
      <c r="AKP26" s="28"/>
      <c r="AKQ26" s="28"/>
      <c r="ALO26" s="5"/>
      <c r="ALQ26" s="28"/>
      <c r="ALR26" s="28"/>
      <c r="AMP26" s="5"/>
      <c r="AMR26" s="28"/>
      <c r="AMS26" s="28"/>
      <c r="ANQ26" s="5"/>
      <c r="ANS26" s="28"/>
      <c r="ANT26" s="28"/>
      <c r="AOR26" s="5"/>
      <c r="AOT26" s="28"/>
      <c r="AOU26" s="28"/>
      <c r="APS26" s="5"/>
      <c r="APU26" s="28"/>
      <c r="APV26" s="28"/>
      <c r="AQT26" s="5"/>
      <c r="AQV26" s="28"/>
      <c r="AQW26" s="28"/>
      <c r="ARU26" s="5"/>
      <c r="ARW26" s="28"/>
      <c r="ARX26" s="28"/>
      <c r="ASV26" s="5"/>
      <c r="ASX26" s="28"/>
      <c r="ASY26" s="28"/>
      <c r="ATW26" s="5"/>
      <c r="ATY26" s="28"/>
      <c r="ATZ26" s="28"/>
      <c r="AUX26" s="5"/>
      <c r="AUZ26" s="28"/>
      <c r="AVA26" s="28"/>
      <c r="AVY26" s="5"/>
      <c r="AWA26" s="28"/>
      <c r="AWB26" s="28"/>
      <c r="AWZ26" s="5"/>
      <c r="AXB26" s="28"/>
      <c r="AXC26" s="28"/>
      <c r="AYA26" s="5"/>
      <c r="AYC26" s="28"/>
      <c r="AYD26" s="28"/>
      <c r="AZB26" s="5"/>
      <c r="AZD26" s="28"/>
      <c r="AZE26" s="28"/>
      <c r="BAC26" s="5"/>
      <c r="BAE26" s="28"/>
      <c r="BAF26" s="28"/>
      <c r="BBD26" s="5"/>
      <c r="BBF26" s="28"/>
      <c r="BBG26" s="28"/>
      <c r="BCE26" s="5"/>
      <c r="BCG26" s="28"/>
      <c r="BCH26" s="28"/>
      <c r="BDF26" s="5"/>
      <c r="BDH26" s="28"/>
      <c r="BDI26" s="28"/>
      <c r="BEG26" s="5"/>
      <c r="BEI26" s="28"/>
      <c r="BEJ26" s="28"/>
      <c r="BFH26" s="5"/>
      <c r="BFJ26" s="28"/>
      <c r="BFK26" s="28"/>
      <c r="BGI26" s="5"/>
      <c r="BGK26" s="28"/>
      <c r="BGL26" s="28"/>
      <c r="BHJ26" s="5"/>
      <c r="BHL26" s="28"/>
      <c r="BHM26" s="28"/>
      <c r="BIK26" s="5"/>
      <c r="BIM26" s="28"/>
      <c r="BIN26" s="28"/>
      <c r="BJL26" s="5"/>
      <c r="BJN26" s="28"/>
      <c r="BJO26" s="28"/>
      <c r="BKM26" s="5"/>
      <c r="BKO26" s="28"/>
      <c r="BKP26" s="28"/>
      <c r="BLN26" s="5"/>
      <c r="BLP26" s="28"/>
      <c r="BLQ26" s="28"/>
      <c r="BMO26" s="5"/>
      <c r="BMQ26" s="28"/>
      <c r="BMR26" s="28"/>
      <c r="BNP26" s="5"/>
      <c r="BNR26" s="28"/>
      <c r="BNS26" s="28"/>
      <c r="BOQ26" s="5"/>
      <c r="BOS26" s="28"/>
      <c r="BOT26" s="28"/>
      <c r="BPR26" s="5"/>
      <c r="BPT26" s="28"/>
      <c r="BPU26" s="28"/>
      <c r="BQS26" s="5"/>
      <c r="BQU26" s="28"/>
      <c r="BQV26" s="28"/>
      <c r="BRT26" s="5"/>
      <c r="BRV26" s="28"/>
      <c r="BRW26" s="28"/>
      <c r="BSU26" s="5"/>
      <c r="BSW26" s="28"/>
      <c r="BSX26" s="28"/>
      <c r="BTV26" s="5"/>
      <c r="BTX26" s="28"/>
      <c r="BTY26" s="28"/>
      <c r="BUW26" s="5"/>
      <c r="BUY26" s="28"/>
      <c r="BUZ26" s="28"/>
      <c r="BVX26" s="5"/>
      <c r="BVZ26" s="28"/>
      <c r="BWA26" s="28"/>
      <c r="BWY26" s="5"/>
      <c r="BXA26" s="28"/>
      <c r="BXB26" s="28"/>
      <c r="BXZ26" s="5"/>
      <c r="BYB26" s="28"/>
      <c r="BYC26" s="28"/>
      <c r="BZA26" s="5"/>
      <c r="BZC26" s="28"/>
      <c r="BZD26" s="28"/>
      <c r="CAB26" s="5"/>
      <c r="CAD26" s="28"/>
      <c r="CAE26" s="28"/>
      <c r="CBC26" s="5"/>
      <c r="CBE26" s="28"/>
      <c r="CBF26" s="28"/>
      <c r="CCD26" s="5"/>
      <c r="CCF26" s="28"/>
      <c r="CCG26" s="28"/>
      <c r="CDE26" s="5"/>
      <c r="CDG26" s="28"/>
      <c r="CDH26" s="28"/>
      <c r="CEF26" s="5"/>
      <c r="CEH26" s="28"/>
      <c r="CEI26" s="28"/>
      <c r="CFG26" s="5"/>
      <c r="CFI26" s="28"/>
      <c r="CFJ26" s="28"/>
      <c r="CGH26" s="5"/>
      <c r="CGJ26" s="28"/>
      <c r="CGK26" s="28"/>
      <c r="CHI26" s="5"/>
      <c r="CHK26" s="28"/>
      <c r="CHL26" s="28"/>
      <c r="CIJ26" s="5"/>
      <c r="CIL26" s="28"/>
      <c r="CIM26" s="28"/>
      <c r="CJK26" s="5"/>
      <c r="CJM26" s="28"/>
      <c r="CJN26" s="28"/>
      <c r="CKL26" s="5"/>
      <c r="CKN26" s="28"/>
      <c r="CKO26" s="28"/>
      <c r="CLM26" s="5"/>
      <c r="CLO26" s="28"/>
      <c r="CLP26" s="28"/>
      <c r="CMN26" s="5"/>
      <c r="CMP26" s="28"/>
      <c r="CMQ26" s="28"/>
      <c r="CNO26" s="5"/>
      <c r="CNQ26" s="28"/>
      <c r="CNR26" s="28"/>
      <c r="COP26" s="5"/>
      <c r="COR26" s="28"/>
      <c r="COS26" s="28"/>
      <c r="CPQ26" s="5"/>
      <c r="CPS26" s="28"/>
      <c r="CPT26" s="28"/>
      <c r="CQR26" s="5"/>
      <c r="CQT26" s="28"/>
      <c r="CQU26" s="28"/>
      <c r="CRS26" s="5"/>
      <c r="CRU26" s="28"/>
      <c r="CRV26" s="28"/>
      <c r="CST26" s="5"/>
      <c r="CSV26" s="28"/>
      <c r="CSW26" s="28"/>
      <c r="CTU26" s="5"/>
      <c r="CTW26" s="28"/>
      <c r="CTX26" s="28"/>
      <c r="CUV26" s="5"/>
      <c r="CUX26" s="28"/>
      <c r="CUY26" s="28"/>
      <c r="CVW26" s="5"/>
      <c r="CVY26" s="28"/>
      <c r="CVZ26" s="28"/>
      <c r="CWX26" s="5"/>
      <c r="CWZ26" s="28"/>
      <c r="CXA26" s="28"/>
      <c r="CXY26" s="5"/>
      <c r="CYA26" s="28"/>
      <c r="CYB26" s="28"/>
      <c r="CYZ26" s="5"/>
      <c r="CZB26" s="28"/>
      <c r="CZC26" s="28"/>
      <c r="DAA26" s="5"/>
      <c r="DAC26" s="28"/>
      <c r="DAD26" s="28"/>
      <c r="DBB26" s="5"/>
      <c r="DBD26" s="28"/>
      <c r="DBE26" s="28"/>
      <c r="DCC26" s="5"/>
      <c r="DCE26" s="28"/>
      <c r="DCF26" s="28"/>
      <c r="DDD26" s="5"/>
      <c r="DDF26" s="28"/>
      <c r="DDG26" s="28"/>
      <c r="DEE26" s="5"/>
      <c r="DEG26" s="28"/>
      <c r="DEH26" s="28"/>
      <c r="DFF26" s="5"/>
      <c r="DFH26" s="28"/>
      <c r="DFI26" s="28"/>
      <c r="DGG26" s="5"/>
      <c r="DGI26" s="28"/>
      <c r="DGJ26" s="28"/>
      <c r="DHH26" s="5"/>
      <c r="DHJ26" s="28"/>
      <c r="DHK26" s="28"/>
      <c r="DII26" s="5"/>
      <c r="DIK26" s="28"/>
      <c r="DIL26" s="28"/>
      <c r="DJJ26" s="5"/>
      <c r="DJL26" s="28"/>
      <c r="DJM26" s="28"/>
      <c r="DKK26" s="5"/>
      <c r="DKM26" s="28"/>
      <c r="DKN26" s="28"/>
      <c r="DLL26" s="5"/>
      <c r="DLN26" s="28"/>
      <c r="DLO26" s="28"/>
      <c r="DMM26" s="5"/>
      <c r="DMO26" s="28"/>
      <c r="DMP26" s="28"/>
      <c r="DNN26" s="5"/>
      <c r="DNP26" s="28"/>
      <c r="DNQ26" s="28"/>
      <c r="DOO26" s="5"/>
      <c r="DOQ26" s="28"/>
      <c r="DOR26" s="28"/>
      <c r="DPP26" s="5"/>
      <c r="DPR26" s="28"/>
      <c r="DPS26" s="28"/>
      <c r="DQQ26" s="5"/>
      <c r="DQS26" s="28"/>
      <c r="DQT26" s="28"/>
      <c r="DRR26" s="5"/>
      <c r="DRT26" s="28"/>
      <c r="DRU26" s="28"/>
      <c r="DSS26" s="5"/>
      <c r="DSU26" s="28"/>
      <c r="DSV26" s="28"/>
      <c r="DTT26" s="5"/>
      <c r="DTV26" s="28"/>
      <c r="DTW26" s="28"/>
      <c r="DUU26" s="5"/>
      <c r="DUW26" s="28"/>
      <c r="DUX26" s="28"/>
      <c r="DVV26" s="5"/>
      <c r="DVX26" s="28"/>
      <c r="DVY26" s="28"/>
      <c r="DWW26" s="5"/>
      <c r="DWY26" s="28"/>
      <c r="DWZ26" s="28"/>
      <c r="DXX26" s="5"/>
      <c r="DXZ26" s="28"/>
      <c r="DYA26" s="28"/>
      <c r="DYY26" s="5"/>
      <c r="DZA26" s="28"/>
      <c r="DZB26" s="28"/>
      <c r="DZZ26" s="5"/>
      <c r="EAB26" s="28"/>
      <c r="EAC26" s="28"/>
      <c r="EBA26" s="5"/>
      <c r="EBC26" s="28"/>
      <c r="EBD26" s="28"/>
      <c r="ECB26" s="5"/>
      <c r="ECD26" s="28"/>
      <c r="ECE26" s="28"/>
      <c r="EDC26" s="5"/>
      <c r="EDE26" s="28"/>
      <c r="EDF26" s="28"/>
      <c r="EED26" s="5"/>
      <c r="EEF26" s="28"/>
      <c r="EEG26" s="28"/>
      <c r="EFE26" s="5"/>
      <c r="EFG26" s="28"/>
      <c r="EFH26" s="28"/>
      <c r="EGF26" s="5"/>
      <c r="EGH26" s="28"/>
      <c r="EGI26" s="28"/>
      <c r="EHG26" s="5"/>
      <c r="EHI26" s="28"/>
      <c r="EHJ26" s="28"/>
      <c r="EIH26" s="5"/>
      <c r="EIJ26" s="28"/>
      <c r="EIK26" s="28"/>
      <c r="EJI26" s="5"/>
      <c r="EJK26" s="28"/>
      <c r="EJL26" s="28"/>
      <c r="EKJ26" s="5"/>
      <c r="EKL26" s="28"/>
      <c r="EKM26" s="28"/>
      <c r="ELK26" s="5"/>
      <c r="ELM26" s="28"/>
      <c r="ELN26" s="28"/>
      <c r="EML26" s="5"/>
      <c r="EMN26" s="28"/>
      <c r="EMO26" s="28"/>
      <c r="ENM26" s="5"/>
      <c r="ENO26" s="28"/>
      <c r="ENP26" s="28"/>
      <c r="EON26" s="5"/>
      <c r="EOP26" s="28"/>
      <c r="EOQ26" s="28"/>
      <c r="EPO26" s="5"/>
      <c r="EPQ26" s="28"/>
      <c r="EPR26" s="28"/>
      <c r="EQP26" s="5"/>
      <c r="EQR26" s="28"/>
      <c r="EQS26" s="28"/>
      <c r="ERQ26" s="5"/>
      <c r="ERS26" s="28"/>
      <c r="ERT26" s="28"/>
      <c r="ESR26" s="5"/>
      <c r="EST26" s="28"/>
      <c r="ESU26" s="28"/>
      <c r="ETS26" s="5"/>
      <c r="ETU26" s="28"/>
      <c r="ETV26" s="28"/>
      <c r="EUT26" s="5"/>
      <c r="EUV26" s="28"/>
      <c r="EUW26" s="28"/>
      <c r="EVU26" s="5"/>
      <c r="EVW26" s="28"/>
      <c r="EVX26" s="28"/>
      <c r="EWV26" s="5"/>
      <c r="EWX26" s="28"/>
      <c r="EWY26" s="28"/>
      <c r="EXW26" s="5"/>
      <c r="EXY26" s="28"/>
      <c r="EXZ26" s="28"/>
      <c r="EYX26" s="5"/>
      <c r="EYZ26" s="28"/>
      <c r="EZA26" s="28"/>
      <c r="EZY26" s="5"/>
      <c r="FAA26" s="28"/>
      <c r="FAB26" s="28"/>
      <c r="FAZ26" s="5"/>
      <c r="FBB26" s="28"/>
      <c r="FBC26" s="28"/>
      <c r="FCA26" s="5"/>
      <c r="FCC26" s="28"/>
      <c r="FCD26" s="28"/>
      <c r="FDB26" s="5"/>
      <c r="FDD26" s="28"/>
      <c r="FDE26" s="28"/>
      <c r="FEC26" s="5"/>
      <c r="FEE26" s="28"/>
      <c r="FEF26" s="28"/>
      <c r="FFD26" s="5"/>
      <c r="FFF26" s="28"/>
      <c r="FFG26" s="28"/>
      <c r="FGE26" s="5"/>
      <c r="FGG26" s="28"/>
      <c r="FGH26" s="28"/>
      <c r="FHF26" s="5"/>
      <c r="FHH26" s="28"/>
      <c r="FHI26" s="28"/>
      <c r="FIG26" s="5"/>
      <c r="FII26" s="28"/>
      <c r="FIJ26" s="28"/>
      <c r="FJH26" s="5"/>
      <c r="FJJ26" s="28"/>
      <c r="FJK26" s="28"/>
      <c r="FKI26" s="5"/>
      <c r="FKK26" s="28"/>
      <c r="FKL26" s="28"/>
      <c r="FLJ26" s="5"/>
      <c r="FLL26" s="28"/>
      <c r="FLM26" s="28"/>
      <c r="FMK26" s="5"/>
      <c r="FMM26" s="28"/>
      <c r="FMN26" s="28"/>
      <c r="FNL26" s="5"/>
      <c r="FNN26" s="28"/>
      <c r="FNO26" s="28"/>
      <c r="FOM26" s="5"/>
      <c r="FOO26" s="28"/>
      <c r="FOP26" s="28"/>
      <c r="FPN26" s="5"/>
      <c r="FPP26" s="28"/>
      <c r="FPQ26" s="28"/>
      <c r="FQO26" s="5"/>
      <c r="FQQ26" s="28"/>
      <c r="FQR26" s="28"/>
      <c r="FRP26" s="5"/>
      <c r="FRR26" s="28"/>
      <c r="FRS26" s="28"/>
      <c r="FSQ26" s="5"/>
      <c r="FSS26" s="28"/>
      <c r="FST26" s="28"/>
      <c r="FTR26" s="5"/>
      <c r="FTT26" s="28"/>
      <c r="FTU26" s="28"/>
      <c r="FUS26" s="5"/>
      <c r="FUU26" s="28"/>
      <c r="FUV26" s="28"/>
      <c r="FVT26" s="5"/>
      <c r="FVV26" s="28"/>
      <c r="FVW26" s="28"/>
      <c r="FWU26" s="5"/>
      <c r="FWW26" s="28"/>
      <c r="FWX26" s="28"/>
      <c r="FXV26" s="5"/>
      <c r="FXX26" s="28"/>
      <c r="FXY26" s="28"/>
      <c r="FYW26" s="5"/>
      <c r="FYY26" s="28"/>
      <c r="FYZ26" s="28"/>
      <c r="FZX26" s="5"/>
      <c r="FZZ26" s="28"/>
      <c r="GAA26" s="28"/>
      <c r="GAY26" s="5"/>
      <c r="GBA26" s="28"/>
      <c r="GBB26" s="28"/>
      <c r="GBZ26" s="5"/>
      <c r="GCB26" s="28"/>
      <c r="GCC26" s="28"/>
      <c r="GDA26" s="5"/>
      <c r="GDC26" s="28"/>
      <c r="GDD26" s="28"/>
      <c r="GEB26" s="5"/>
      <c r="GED26" s="28"/>
      <c r="GEE26" s="28"/>
      <c r="GFC26" s="5"/>
      <c r="GFE26" s="28"/>
      <c r="GFF26" s="28"/>
      <c r="GGD26" s="5"/>
      <c r="GGF26" s="28"/>
      <c r="GGG26" s="28"/>
      <c r="GHE26" s="5"/>
      <c r="GHG26" s="28"/>
      <c r="GHH26" s="28"/>
      <c r="GIF26" s="5"/>
      <c r="GIH26" s="28"/>
      <c r="GII26" s="28"/>
      <c r="GJG26" s="5"/>
      <c r="GJI26" s="28"/>
      <c r="GJJ26" s="28"/>
      <c r="GKH26" s="5"/>
      <c r="GKJ26" s="28"/>
      <c r="GKK26" s="28"/>
      <c r="GLI26" s="5"/>
      <c r="GLK26" s="28"/>
      <c r="GLL26" s="28"/>
      <c r="GMJ26" s="5"/>
      <c r="GML26" s="28"/>
      <c r="GMM26" s="28"/>
      <c r="GNK26" s="5"/>
      <c r="GNM26" s="28"/>
      <c r="GNN26" s="28"/>
      <c r="GOL26" s="5"/>
      <c r="GON26" s="28"/>
      <c r="GOO26" s="28"/>
      <c r="GPM26" s="5"/>
      <c r="GPO26" s="28"/>
      <c r="GPP26" s="28"/>
      <c r="GQN26" s="5"/>
      <c r="GQP26" s="28"/>
      <c r="GQQ26" s="28"/>
      <c r="GRO26" s="5"/>
      <c r="GRQ26" s="28"/>
      <c r="GRR26" s="28"/>
      <c r="GSP26" s="5"/>
      <c r="GSR26" s="28"/>
      <c r="GSS26" s="28"/>
      <c r="GTQ26" s="5"/>
      <c r="GTS26" s="28"/>
      <c r="GTT26" s="28"/>
      <c r="GUR26" s="5"/>
      <c r="GUT26" s="28"/>
      <c r="GUU26" s="28"/>
      <c r="GVS26" s="5"/>
      <c r="GVU26" s="28"/>
      <c r="GVV26" s="28"/>
      <c r="GWT26" s="5"/>
      <c r="GWV26" s="28"/>
      <c r="GWW26" s="28"/>
      <c r="GXU26" s="5"/>
      <c r="GXW26" s="28"/>
      <c r="GXX26" s="28"/>
      <c r="GYV26" s="5"/>
      <c r="GYX26" s="28"/>
      <c r="GYY26" s="28"/>
      <c r="GZW26" s="5"/>
      <c r="GZY26" s="28"/>
      <c r="GZZ26" s="28"/>
      <c r="HAX26" s="5"/>
      <c r="HAZ26" s="28"/>
      <c r="HBA26" s="28"/>
      <c r="HBY26" s="5"/>
      <c r="HCA26" s="28"/>
      <c r="HCB26" s="28"/>
      <c r="HCZ26" s="5"/>
      <c r="HDB26" s="28"/>
      <c r="HDC26" s="28"/>
      <c r="HEA26" s="5"/>
      <c r="HEC26" s="28"/>
      <c r="HED26" s="28"/>
      <c r="HFB26" s="5"/>
      <c r="HFD26" s="28"/>
      <c r="HFE26" s="28"/>
      <c r="HGC26" s="5"/>
      <c r="HGE26" s="28"/>
      <c r="HGF26" s="28"/>
      <c r="HHD26" s="5"/>
      <c r="HHF26" s="28"/>
      <c r="HHG26" s="28"/>
      <c r="HIE26" s="5"/>
      <c r="HIG26" s="28"/>
      <c r="HIH26" s="28"/>
      <c r="HJF26" s="5"/>
      <c r="HJH26" s="28"/>
      <c r="HJI26" s="28"/>
      <c r="HKG26" s="5"/>
      <c r="HKI26" s="28"/>
      <c r="HKJ26" s="28"/>
      <c r="HLH26" s="5"/>
      <c r="HLJ26" s="28"/>
      <c r="HLK26" s="28"/>
      <c r="HMI26" s="5"/>
      <c r="HMK26" s="28"/>
      <c r="HML26" s="28"/>
      <c r="HNJ26" s="5"/>
      <c r="HNL26" s="28"/>
      <c r="HNM26" s="28"/>
      <c r="HOK26" s="5"/>
      <c r="HOM26" s="28"/>
      <c r="HON26" s="28"/>
      <c r="HPL26" s="5"/>
      <c r="HPN26" s="28"/>
      <c r="HPO26" s="28"/>
      <c r="HQM26" s="5"/>
      <c r="HQO26" s="28"/>
      <c r="HQP26" s="28"/>
      <c r="HRN26" s="5"/>
      <c r="HRP26" s="28"/>
      <c r="HRQ26" s="28"/>
      <c r="HSO26" s="5"/>
      <c r="HSQ26" s="28"/>
      <c r="HSR26" s="28"/>
      <c r="HTP26" s="5"/>
      <c r="HTR26" s="28"/>
      <c r="HTS26" s="28"/>
      <c r="HUQ26" s="5"/>
      <c r="HUS26" s="28"/>
      <c r="HUT26" s="28"/>
      <c r="HVR26" s="5"/>
      <c r="HVT26" s="28"/>
      <c r="HVU26" s="28"/>
      <c r="HWS26" s="5"/>
      <c r="HWU26" s="28"/>
      <c r="HWV26" s="28"/>
      <c r="HXT26" s="5"/>
      <c r="HXV26" s="28"/>
      <c r="HXW26" s="28"/>
      <c r="HYU26" s="5"/>
      <c r="HYW26" s="28"/>
      <c r="HYX26" s="28"/>
      <c r="HZV26" s="5"/>
      <c r="HZX26" s="28"/>
      <c r="HZY26" s="28"/>
      <c r="IAW26" s="5"/>
      <c r="IAY26" s="28"/>
      <c r="IAZ26" s="28"/>
      <c r="IBX26" s="5"/>
      <c r="IBZ26" s="28"/>
      <c r="ICA26" s="28"/>
      <c r="ICY26" s="5"/>
      <c r="IDA26" s="28"/>
      <c r="IDB26" s="28"/>
      <c r="IDZ26" s="5"/>
      <c r="IEB26" s="28"/>
      <c r="IEC26" s="28"/>
      <c r="IFA26" s="5"/>
      <c r="IFC26" s="28"/>
      <c r="IFD26" s="28"/>
      <c r="IGB26" s="5"/>
      <c r="IGD26" s="28"/>
      <c r="IGE26" s="28"/>
      <c r="IHC26" s="5"/>
      <c r="IHE26" s="28"/>
      <c r="IHF26" s="28"/>
      <c r="IID26" s="5"/>
      <c r="IIF26" s="28"/>
      <c r="IIG26" s="28"/>
      <c r="IJE26" s="5"/>
      <c r="IJG26" s="28"/>
      <c r="IJH26" s="28"/>
      <c r="IKF26" s="5"/>
      <c r="IKH26" s="28"/>
      <c r="IKI26" s="28"/>
      <c r="ILG26" s="5"/>
      <c r="ILI26" s="28"/>
      <c r="ILJ26" s="28"/>
      <c r="IMH26" s="5"/>
      <c r="IMJ26" s="28"/>
      <c r="IMK26" s="28"/>
      <c r="INI26" s="5"/>
      <c r="INK26" s="28"/>
      <c r="INL26" s="28"/>
      <c r="IOJ26" s="5"/>
      <c r="IOL26" s="28"/>
      <c r="IOM26" s="28"/>
      <c r="IPK26" s="5"/>
      <c r="IPM26" s="28"/>
      <c r="IPN26" s="28"/>
      <c r="IQL26" s="5"/>
      <c r="IQN26" s="28"/>
      <c r="IQO26" s="28"/>
      <c r="IRM26" s="5"/>
      <c r="IRO26" s="28"/>
      <c r="IRP26" s="28"/>
      <c r="ISN26" s="5"/>
      <c r="ISP26" s="28"/>
      <c r="ISQ26" s="28"/>
      <c r="ITO26" s="5"/>
      <c r="ITQ26" s="28"/>
      <c r="ITR26" s="28"/>
      <c r="IUP26" s="5"/>
      <c r="IUR26" s="28"/>
      <c r="IUS26" s="28"/>
      <c r="IVQ26" s="5"/>
      <c r="IVS26" s="28"/>
      <c r="IVT26" s="28"/>
      <c r="IWR26" s="5"/>
      <c r="IWT26" s="28"/>
      <c r="IWU26" s="28"/>
      <c r="IXS26" s="5"/>
      <c r="IXU26" s="28"/>
      <c r="IXV26" s="28"/>
      <c r="IYT26" s="5"/>
      <c r="IYV26" s="28"/>
      <c r="IYW26" s="28"/>
      <c r="IZU26" s="5"/>
      <c r="IZW26" s="28"/>
      <c r="IZX26" s="28"/>
      <c r="JAV26" s="5"/>
      <c r="JAX26" s="28"/>
      <c r="JAY26" s="28"/>
      <c r="JBW26" s="5"/>
      <c r="JBY26" s="28"/>
      <c r="JBZ26" s="28"/>
      <c r="JCX26" s="5"/>
      <c r="JCZ26" s="28"/>
      <c r="JDA26" s="28"/>
      <c r="JDY26" s="5"/>
      <c r="JEA26" s="28"/>
      <c r="JEB26" s="28"/>
      <c r="JEZ26" s="5"/>
      <c r="JFB26" s="28"/>
      <c r="JFC26" s="28"/>
      <c r="JGA26" s="5"/>
      <c r="JGC26" s="28"/>
      <c r="JGD26" s="28"/>
      <c r="JHB26" s="5"/>
      <c r="JHD26" s="28"/>
      <c r="JHE26" s="28"/>
      <c r="JIC26" s="5"/>
      <c r="JIE26" s="28"/>
      <c r="JIF26" s="28"/>
      <c r="JJD26" s="5"/>
      <c r="JJF26" s="28"/>
      <c r="JJG26" s="28"/>
      <c r="JKE26" s="5"/>
      <c r="JKG26" s="28"/>
      <c r="JKH26" s="28"/>
      <c r="JLF26" s="5"/>
      <c r="JLH26" s="28"/>
      <c r="JLI26" s="28"/>
      <c r="JMG26" s="5"/>
      <c r="JMI26" s="28"/>
      <c r="JMJ26" s="28"/>
      <c r="JNH26" s="5"/>
      <c r="JNJ26" s="28"/>
      <c r="JNK26" s="28"/>
      <c r="JOI26" s="5"/>
      <c r="JOK26" s="28"/>
      <c r="JOL26" s="28"/>
      <c r="JPJ26" s="5"/>
      <c r="JPL26" s="28"/>
      <c r="JPM26" s="28"/>
      <c r="JQK26" s="5"/>
      <c r="JQM26" s="28"/>
      <c r="JQN26" s="28"/>
      <c r="JRL26" s="5"/>
      <c r="JRN26" s="28"/>
      <c r="JRO26" s="28"/>
      <c r="JSM26" s="5"/>
      <c r="JSO26" s="28"/>
      <c r="JSP26" s="28"/>
      <c r="JTN26" s="5"/>
      <c r="JTP26" s="28"/>
      <c r="JTQ26" s="28"/>
      <c r="JUO26" s="5"/>
      <c r="JUQ26" s="28"/>
      <c r="JUR26" s="28"/>
      <c r="JVP26" s="5"/>
      <c r="JVR26" s="28"/>
      <c r="JVS26" s="28"/>
      <c r="JWQ26" s="5"/>
      <c r="JWS26" s="28"/>
      <c r="JWT26" s="28"/>
      <c r="JXR26" s="5"/>
      <c r="JXT26" s="28"/>
      <c r="JXU26" s="28"/>
      <c r="JYS26" s="5"/>
      <c r="JYU26" s="28"/>
      <c r="JYV26" s="28"/>
      <c r="JZT26" s="5"/>
      <c r="JZV26" s="28"/>
      <c r="JZW26" s="28"/>
      <c r="KAU26" s="5"/>
      <c r="KAW26" s="28"/>
      <c r="KAX26" s="28"/>
      <c r="KBV26" s="5"/>
      <c r="KBX26" s="28"/>
      <c r="KBY26" s="28"/>
      <c r="KCW26" s="5"/>
      <c r="KCY26" s="28"/>
      <c r="KCZ26" s="28"/>
      <c r="KDX26" s="5"/>
      <c r="KDZ26" s="28"/>
      <c r="KEA26" s="28"/>
      <c r="KEY26" s="5"/>
      <c r="KFA26" s="28"/>
      <c r="KFB26" s="28"/>
      <c r="KFZ26" s="5"/>
      <c r="KGB26" s="28"/>
      <c r="KGC26" s="28"/>
      <c r="KHA26" s="5"/>
      <c r="KHC26" s="28"/>
      <c r="KHD26" s="28"/>
      <c r="KIB26" s="5"/>
      <c r="KID26" s="28"/>
      <c r="KIE26" s="28"/>
      <c r="KJC26" s="5"/>
      <c r="KJE26" s="28"/>
      <c r="KJF26" s="28"/>
      <c r="KKD26" s="5"/>
      <c r="KKF26" s="28"/>
      <c r="KKG26" s="28"/>
      <c r="KLE26" s="5"/>
      <c r="KLG26" s="28"/>
      <c r="KLH26" s="28"/>
      <c r="KMF26" s="5"/>
      <c r="KMH26" s="28"/>
      <c r="KMI26" s="28"/>
      <c r="KNG26" s="5"/>
      <c r="KNI26" s="28"/>
      <c r="KNJ26" s="28"/>
      <c r="KOH26" s="5"/>
      <c r="KOJ26" s="28"/>
      <c r="KOK26" s="28"/>
      <c r="KPI26" s="5"/>
      <c r="KPK26" s="28"/>
      <c r="KPL26" s="28"/>
      <c r="KQJ26" s="5"/>
      <c r="KQL26" s="28"/>
      <c r="KQM26" s="28"/>
      <c r="KRK26" s="5"/>
      <c r="KRM26" s="28"/>
      <c r="KRN26" s="28"/>
      <c r="KSL26" s="5"/>
      <c r="KSN26" s="28"/>
      <c r="KSO26" s="28"/>
      <c r="KTM26" s="5"/>
      <c r="KTO26" s="28"/>
      <c r="KTP26" s="28"/>
      <c r="KUN26" s="5"/>
      <c r="KUP26" s="28"/>
      <c r="KUQ26" s="28"/>
      <c r="KVO26" s="5"/>
      <c r="KVQ26" s="28"/>
      <c r="KVR26" s="28"/>
      <c r="KWP26" s="5"/>
      <c r="KWR26" s="28"/>
      <c r="KWS26" s="28"/>
      <c r="KXQ26" s="5"/>
      <c r="KXS26" s="28"/>
      <c r="KXT26" s="28"/>
      <c r="KYR26" s="5"/>
      <c r="KYT26" s="28"/>
      <c r="KYU26" s="28"/>
      <c r="KZS26" s="5"/>
      <c r="KZU26" s="28"/>
      <c r="KZV26" s="28"/>
      <c r="LAT26" s="5"/>
      <c r="LAV26" s="28"/>
      <c r="LAW26" s="28"/>
      <c r="LBU26" s="5"/>
      <c r="LBW26" s="28"/>
      <c r="LBX26" s="28"/>
      <c r="LCV26" s="5"/>
      <c r="LCX26" s="28"/>
      <c r="LCY26" s="28"/>
      <c r="LDW26" s="5"/>
      <c r="LDY26" s="28"/>
      <c r="LDZ26" s="28"/>
      <c r="LEX26" s="5"/>
      <c r="LEZ26" s="28"/>
      <c r="LFA26" s="28"/>
      <c r="LFY26" s="5"/>
      <c r="LGA26" s="28"/>
      <c r="LGB26" s="28"/>
      <c r="LGZ26" s="5"/>
      <c r="LHB26" s="28"/>
      <c r="LHC26" s="28"/>
      <c r="LIA26" s="5"/>
      <c r="LIC26" s="28"/>
      <c r="LID26" s="28"/>
      <c r="LJB26" s="5"/>
      <c r="LJD26" s="28"/>
      <c r="LJE26" s="28"/>
      <c r="LKC26" s="5"/>
      <c r="LKE26" s="28"/>
      <c r="LKF26" s="28"/>
      <c r="LLD26" s="5"/>
      <c r="LLF26" s="28"/>
      <c r="LLG26" s="28"/>
      <c r="LME26" s="5"/>
      <c r="LMG26" s="28"/>
      <c r="LMH26" s="28"/>
      <c r="LNF26" s="5"/>
      <c r="LNH26" s="28"/>
      <c r="LNI26" s="28"/>
      <c r="LOG26" s="5"/>
      <c r="LOI26" s="28"/>
      <c r="LOJ26" s="28"/>
      <c r="LPH26" s="5"/>
      <c r="LPJ26" s="28"/>
      <c r="LPK26" s="28"/>
      <c r="LQI26" s="5"/>
      <c r="LQK26" s="28"/>
      <c r="LQL26" s="28"/>
      <c r="LRJ26" s="5"/>
      <c r="LRL26" s="28"/>
      <c r="LRM26" s="28"/>
      <c r="LSK26" s="5"/>
      <c r="LSM26" s="28"/>
      <c r="LSN26" s="28"/>
      <c r="LTL26" s="5"/>
      <c r="LTN26" s="28"/>
      <c r="LTO26" s="28"/>
      <c r="LUM26" s="5"/>
      <c r="LUO26" s="28"/>
      <c r="LUP26" s="28"/>
      <c r="LVN26" s="5"/>
      <c r="LVP26" s="28"/>
      <c r="LVQ26" s="28"/>
      <c r="LWO26" s="5"/>
      <c r="LWQ26" s="28"/>
      <c r="LWR26" s="28"/>
      <c r="LXP26" s="5"/>
      <c r="LXR26" s="28"/>
      <c r="LXS26" s="28"/>
      <c r="LYQ26" s="5"/>
      <c r="LYS26" s="28"/>
      <c r="LYT26" s="28"/>
      <c r="LZR26" s="5"/>
      <c r="LZT26" s="28"/>
      <c r="LZU26" s="28"/>
      <c r="MAS26" s="5"/>
      <c r="MAU26" s="28"/>
      <c r="MAV26" s="28"/>
      <c r="MBT26" s="5"/>
      <c r="MBV26" s="28"/>
      <c r="MBW26" s="28"/>
      <c r="MCU26" s="5"/>
      <c r="MCW26" s="28"/>
      <c r="MCX26" s="28"/>
      <c r="MDV26" s="5"/>
      <c r="MDX26" s="28"/>
      <c r="MDY26" s="28"/>
      <c r="MEW26" s="5"/>
      <c r="MEY26" s="28"/>
      <c r="MEZ26" s="28"/>
      <c r="MFX26" s="5"/>
      <c r="MFZ26" s="28"/>
      <c r="MGA26" s="28"/>
      <c r="MGY26" s="5"/>
      <c r="MHA26" s="28"/>
      <c r="MHB26" s="28"/>
      <c r="MHZ26" s="5"/>
      <c r="MIB26" s="28"/>
      <c r="MIC26" s="28"/>
      <c r="MJA26" s="5"/>
      <c r="MJC26" s="28"/>
      <c r="MJD26" s="28"/>
      <c r="MKB26" s="5"/>
      <c r="MKD26" s="28"/>
      <c r="MKE26" s="28"/>
      <c r="MLC26" s="5"/>
      <c r="MLE26" s="28"/>
      <c r="MLF26" s="28"/>
      <c r="MMD26" s="5"/>
      <c r="MMF26" s="28"/>
      <c r="MMG26" s="28"/>
      <c r="MNE26" s="5"/>
      <c r="MNG26" s="28"/>
      <c r="MNH26" s="28"/>
      <c r="MOF26" s="5"/>
      <c r="MOH26" s="28"/>
      <c r="MOI26" s="28"/>
      <c r="MPG26" s="5"/>
      <c r="MPI26" s="28"/>
      <c r="MPJ26" s="28"/>
      <c r="MQH26" s="5"/>
      <c r="MQJ26" s="28"/>
      <c r="MQK26" s="28"/>
      <c r="MRI26" s="5"/>
      <c r="MRK26" s="28"/>
      <c r="MRL26" s="28"/>
      <c r="MSJ26" s="5"/>
      <c r="MSL26" s="28"/>
      <c r="MSM26" s="28"/>
      <c r="MTK26" s="5"/>
      <c r="MTM26" s="28"/>
      <c r="MTN26" s="28"/>
      <c r="MUL26" s="5"/>
      <c r="MUN26" s="28"/>
      <c r="MUO26" s="28"/>
      <c r="MVM26" s="5"/>
      <c r="MVO26" s="28"/>
      <c r="MVP26" s="28"/>
      <c r="MWN26" s="5"/>
      <c r="MWP26" s="28"/>
      <c r="MWQ26" s="28"/>
      <c r="MXO26" s="5"/>
      <c r="MXQ26" s="28"/>
      <c r="MXR26" s="28"/>
      <c r="MYP26" s="5"/>
      <c r="MYR26" s="28"/>
      <c r="MYS26" s="28"/>
      <c r="MZQ26" s="5"/>
      <c r="MZS26" s="28"/>
      <c r="MZT26" s="28"/>
      <c r="NAR26" s="5"/>
      <c r="NAT26" s="28"/>
      <c r="NAU26" s="28"/>
      <c r="NBS26" s="5"/>
      <c r="NBU26" s="28"/>
      <c r="NBV26" s="28"/>
      <c r="NCT26" s="5"/>
      <c r="NCV26" s="28"/>
      <c r="NCW26" s="28"/>
      <c r="NDU26" s="5"/>
      <c r="NDW26" s="28"/>
      <c r="NDX26" s="28"/>
      <c r="NEV26" s="5"/>
      <c r="NEX26" s="28"/>
      <c r="NEY26" s="28"/>
      <c r="NFW26" s="5"/>
      <c r="NFY26" s="28"/>
      <c r="NFZ26" s="28"/>
      <c r="NGX26" s="5"/>
      <c r="NGZ26" s="28"/>
      <c r="NHA26" s="28"/>
      <c r="NHY26" s="5"/>
      <c r="NIA26" s="28"/>
      <c r="NIB26" s="28"/>
      <c r="NIZ26" s="5"/>
      <c r="NJB26" s="28"/>
      <c r="NJC26" s="28"/>
      <c r="NKA26" s="5"/>
      <c r="NKC26" s="28"/>
      <c r="NKD26" s="28"/>
      <c r="NLB26" s="5"/>
      <c r="NLD26" s="28"/>
      <c r="NLE26" s="28"/>
      <c r="NMC26" s="5"/>
      <c r="NME26" s="28"/>
      <c r="NMF26" s="28"/>
      <c r="NND26" s="5"/>
      <c r="NNF26" s="28"/>
      <c r="NNG26" s="28"/>
      <c r="NOE26" s="5"/>
      <c r="NOG26" s="28"/>
      <c r="NOH26" s="28"/>
      <c r="NPF26" s="5"/>
      <c r="NPH26" s="28"/>
      <c r="NPI26" s="28"/>
      <c r="NQG26" s="5"/>
      <c r="NQI26" s="28"/>
      <c r="NQJ26" s="28"/>
      <c r="NRH26" s="5"/>
      <c r="NRJ26" s="28"/>
      <c r="NRK26" s="28"/>
      <c r="NSI26" s="5"/>
      <c r="NSK26" s="28"/>
      <c r="NSL26" s="28"/>
      <c r="NTJ26" s="5"/>
      <c r="NTL26" s="28"/>
      <c r="NTM26" s="28"/>
      <c r="NUK26" s="5"/>
      <c r="NUM26" s="28"/>
      <c r="NUN26" s="28"/>
      <c r="NVL26" s="5"/>
      <c r="NVN26" s="28"/>
      <c r="NVO26" s="28"/>
      <c r="NWM26" s="5"/>
      <c r="NWO26" s="28"/>
      <c r="NWP26" s="28"/>
      <c r="NXN26" s="5"/>
      <c r="NXP26" s="28"/>
      <c r="NXQ26" s="28"/>
      <c r="NYO26" s="5"/>
      <c r="NYQ26" s="28"/>
      <c r="NYR26" s="28"/>
      <c r="NZP26" s="5"/>
      <c r="NZR26" s="28"/>
      <c r="NZS26" s="28"/>
      <c r="OAQ26" s="5"/>
      <c r="OAS26" s="28"/>
      <c r="OAT26" s="28"/>
      <c r="OBR26" s="5"/>
      <c r="OBT26" s="28"/>
      <c r="OBU26" s="28"/>
      <c r="OCS26" s="5"/>
      <c r="OCU26" s="28"/>
      <c r="OCV26" s="28"/>
      <c r="ODT26" s="5"/>
      <c r="ODV26" s="28"/>
      <c r="ODW26" s="28"/>
      <c r="OEU26" s="5"/>
      <c r="OEW26" s="28"/>
      <c r="OEX26" s="28"/>
      <c r="OFV26" s="5"/>
      <c r="OFX26" s="28"/>
      <c r="OFY26" s="28"/>
      <c r="OGW26" s="5"/>
      <c r="OGY26" s="28"/>
      <c r="OGZ26" s="28"/>
      <c r="OHX26" s="5"/>
      <c r="OHZ26" s="28"/>
      <c r="OIA26" s="28"/>
      <c r="OIY26" s="5"/>
      <c r="OJA26" s="28"/>
      <c r="OJB26" s="28"/>
      <c r="OJZ26" s="5"/>
      <c r="OKB26" s="28"/>
      <c r="OKC26" s="28"/>
      <c r="OLA26" s="5"/>
      <c r="OLC26" s="28"/>
      <c r="OLD26" s="28"/>
      <c r="OMB26" s="5"/>
      <c r="OMD26" s="28"/>
      <c r="OME26" s="28"/>
      <c r="ONC26" s="5"/>
      <c r="ONE26" s="28"/>
      <c r="ONF26" s="28"/>
      <c r="OOD26" s="5"/>
      <c r="OOF26" s="28"/>
      <c r="OOG26" s="28"/>
      <c r="OPE26" s="5"/>
      <c r="OPG26" s="28"/>
      <c r="OPH26" s="28"/>
      <c r="OQF26" s="5"/>
      <c r="OQH26" s="28"/>
      <c r="OQI26" s="28"/>
      <c r="ORG26" s="5"/>
      <c r="ORI26" s="28"/>
      <c r="ORJ26" s="28"/>
      <c r="OSH26" s="5"/>
      <c r="OSJ26" s="28"/>
      <c r="OSK26" s="28"/>
      <c r="OTI26" s="5"/>
      <c r="OTK26" s="28"/>
      <c r="OTL26" s="28"/>
      <c r="OUJ26" s="5"/>
      <c r="OUL26" s="28"/>
      <c r="OUM26" s="28"/>
      <c r="OVK26" s="5"/>
      <c r="OVM26" s="28"/>
      <c r="OVN26" s="28"/>
      <c r="OWL26" s="5"/>
      <c r="OWN26" s="28"/>
      <c r="OWO26" s="28"/>
      <c r="OXM26" s="5"/>
      <c r="OXO26" s="28"/>
      <c r="OXP26" s="28"/>
      <c r="OYN26" s="5"/>
      <c r="OYP26" s="28"/>
      <c r="OYQ26" s="28"/>
      <c r="OZO26" s="5"/>
      <c r="OZQ26" s="28"/>
      <c r="OZR26" s="28"/>
      <c r="PAP26" s="5"/>
      <c r="PAR26" s="28"/>
      <c r="PAS26" s="28"/>
      <c r="PBQ26" s="5"/>
      <c r="PBS26" s="28"/>
      <c r="PBT26" s="28"/>
      <c r="PCR26" s="5"/>
      <c r="PCT26" s="28"/>
      <c r="PCU26" s="28"/>
      <c r="PDS26" s="5"/>
      <c r="PDU26" s="28"/>
      <c r="PDV26" s="28"/>
      <c r="PET26" s="5"/>
      <c r="PEV26" s="28"/>
      <c r="PEW26" s="28"/>
      <c r="PFU26" s="5"/>
      <c r="PFW26" s="28"/>
      <c r="PFX26" s="28"/>
      <c r="PGV26" s="5"/>
      <c r="PGX26" s="28"/>
      <c r="PGY26" s="28"/>
      <c r="PHW26" s="5"/>
      <c r="PHY26" s="28"/>
      <c r="PHZ26" s="28"/>
      <c r="PIX26" s="5"/>
      <c r="PIZ26" s="28"/>
      <c r="PJA26" s="28"/>
      <c r="PJY26" s="5"/>
      <c r="PKA26" s="28"/>
      <c r="PKB26" s="28"/>
      <c r="PKZ26" s="5"/>
      <c r="PLB26" s="28"/>
      <c r="PLC26" s="28"/>
      <c r="PMA26" s="5"/>
      <c r="PMC26" s="28"/>
      <c r="PMD26" s="28"/>
      <c r="PNB26" s="5"/>
      <c r="PND26" s="28"/>
      <c r="PNE26" s="28"/>
      <c r="POC26" s="5"/>
      <c r="POE26" s="28"/>
      <c r="POF26" s="28"/>
      <c r="PPD26" s="5"/>
      <c r="PPF26" s="28"/>
      <c r="PPG26" s="28"/>
      <c r="PQE26" s="5"/>
      <c r="PQG26" s="28"/>
      <c r="PQH26" s="28"/>
      <c r="PRF26" s="5"/>
      <c r="PRH26" s="28"/>
      <c r="PRI26" s="28"/>
      <c r="PSG26" s="5"/>
      <c r="PSI26" s="28"/>
      <c r="PSJ26" s="28"/>
      <c r="PTH26" s="5"/>
      <c r="PTJ26" s="28"/>
      <c r="PTK26" s="28"/>
      <c r="PUI26" s="5"/>
      <c r="PUK26" s="28"/>
      <c r="PUL26" s="28"/>
      <c r="PVJ26" s="5"/>
      <c r="PVL26" s="28"/>
      <c r="PVM26" s="28"/>
      <c r="PWK26" s="5"/>
      <c r="PWM26" s="28"/>
      <c r="PWN26" s="28"/>
      <c r="PXL26" s="5"/>
      <c r="PXN26" s="28"/>
      <c r="PXO26" s="28"/>
      <c r="PYM26" s="5"/>
      <c r="PYO26" s="28"/>
      <c r="PYP26" s="28"/>
      <c r="PZN26" s="5"/>
      <c r="PZP26" s="28"/>
      <c r="PZQ26" s="28"/>
      <c r="QAO26" s="5"/>
      <c r="QAQ26" s="28"/>
      <c r="QAR26" s="28"/>
      <c r="QBP26" s="5"/>
      <c r="QBR26" s="28"/>
      <c r="QBS26" s="28"/>
      <c r="QCQ26" s="5"/>
      <c r="QCS26" s="28"/>
      <c r="QCT26" s="28"/>
      <c r="QDR26" s="5"/>
      <c r="QDT26" s="28"/>
      <c r="QDU26" s="28"/>
      <c r="QES26" s="5"/>
      <c r="QEU26" s="28"/>
      <c r="QEV26" s="28"/>
      <c r="QFT26" s="5"/>
      <c r="QFV26" s="28"/>
      <c r="QFW26" s="28"/>
      <c r="QGU26" s="5"/>
      <c r="QGW26" s="28"/>
      <c r="QGX26" s="28"/>
      <c r="QHV26" s="5"/>
      <c r="QHX26" s="28"/>
      <c r="QHY26" s="28"/>
      <c r="QIW26" s="5"/>
      <c r="QIY26" s="28"/>
      <c r="QIZ26" s="28"/>
      <c r="QJX26" s="5"/>
      <c r="QJZ26" s="28"/>
      <c r="QKA26" s="28"/>
      <c r="QKY26" s="5"/>
      <c r="QLA26" s="28"/>
      <c r="QLB26" s="28"/>
      <c r="QLZ26" s="5"/>
      <c r="QMB26" s="28"/>
      <c r="QMC26" s="28"/>
      <c r="QNA26" s="5"/>
      <c r="QNC26" s="28"/>
      <c r="QND26" s="28"/>
      <c r="QOB26" s="5"/>
      <c r="QOD26" s="28"/>
      <c r="QOE26" s="28"/>
      <c r="QPC26" s="5"/>
      <c r="QPE26" s="28"/>
      <c r="QPF26" s="28"/>
      <c r="QQD26" s="5"/>
      <c r="QQF26" s="28"/>
      <c r="QQG26" s="28"/>
      <c r="QRE26" s="5"/>
      <c r="QRG26" s="28"/>
      <c r="QRH26" s="28"/>
      <c r="QSF26" s="5"/>
      <c r="QSH26" s="28"/>
      <c r="QSI26" s="28"/>
      <c r="QTG26" s="5"/>
      <c r="QTI26" s="28"/>
      <c r="QTJ26" s="28"/>
      <c r="QUH26" s="5"/>
      <c r="QUJ26" s="28"/>
      <c r="QUK26" s="28"/>
      <c r="QVI26" s="5"/>
      <c r="QVK26" s="28"/>
      <c r="QVL26" s="28"/>
      <c r="QWJ26" s="5"/>
      <c r="QWL26" s="28"/>
      <c r="QWM26" s="28"/>
      <c r="QXK26" s="5"/>
      <c r="QXM26" s="28"/>
      <c r="QXN26" s="28"/>
      <c r="QYL26" s="5"/>
      <c r="QYN26" s="28"/>
      <c r="QYO26" s="28"/>
      <c r="QZM26" s="5"/>
      <c r="QZO26" s="28"/>
      <c r="QZP26" s="28"/>
      <c r="RAN26" s="5"/>
      <c r="RAP26" s="28"/>
      <c r="RAQ26" s="28"/>
      <c r="RBO26" s="5"/>
      <c r="RBQ26" s="28"/>
      <c r="RBR26" s="28"/>
      <c r="RCP26" s="5"/>
      <c r="RCR26" s="28"/>
      <c r="RCS26" s="28"/>
      <c r="RDQ26" s="5"/>
      <c r="RDS26" s="28"/>
      <c r="RDT26" s="28"/>
      <c r="RER26" s="5"/>
      <c r="RET26" s="28"/>
      <c r="REU26" s="28"/>
      <c r="RFS26" s="5"/>
      <c r="RFU26" s="28"/>
      <c r="RFV26" s="28"/>
      <c r="RGT26" s="5"/>
      <c r="RGV26" s="28"/>
      <c r="RGW26" s="28"/>
      <c r="RHU26" s="5"/>
      <c r="RHW26" s="28"/>
      <c r="RHX26" s="28"/>
      <c r="RIV26" s="5"/>
      <c r="RIX26" s="28"/>
      <c r="RIY26" s="28"/>
      <c r="RJW26" s="5"/>
      <c r="RJY26" s="28"/>
      <c r="RJZ26" s="28"/>
      <c r="RKX26" s="5"/>
      <c r="RKZ26" s="28"/>
      <c r="RLA26" s="28"/>
      <c r="RLY26" s="5"/>
      <c r="RMA26" s="28"/>
      <c r="RMB26" s="28"/>
      <c r="RMZ26" s="5"/>
      <c r="RNB26" s="28"/>
      <c r="RNC26" s="28"/>
      <c r="ROA26" s="5"/>
      <c r="ROC26" s="28"/>
      <c r="ROD26" s="28"/>
      <c r="RPB26" s="5"/>
      <c r="RPD26" s="28"/>
      <c r="RPE26" s="28"/>
      <c r="RQC26" s="5"/>
      <c r="RQE26" s="28"/>
      <c r="RQF26" s="28"/>
      <c r="RRD26" s="5"/>
      <c r="RRF26" s="28"/>
      <c r="RRG26" s="28"/>
      <c r="RSE26" s="5"/>
      <c r="RSG26" s="28"/>
      <c r="RSH26" s="28"/>
      <c r="RTF26" s="5"/>
      <c r="RTH26" s="28"/>
      <c r="RTI26" s="28"/>
      <c r="RUG26" s="5"/>
      <c r="RUI26" s="28"/>
      <c r="RUJ26" s="28"/>
      <c r="RVH26" s="5"/>
      <c r="RVJ26" s="28"/>
      <c r="RVK26" s="28"/>
      <c r="RWI26" s="5"/>
      <c r="RWK26" s="28"/>
      <c r="RWL26" s="28"/>
      <c r="RXJ26" s="5"/>
      <c r="RXL26" s="28"/>
      <c r="RXM26" s="28"/>
      <c r="RYK26" s="5"/>
      <c r="RYM26" s="28"/>
      <c r="RYN26" s="28"/>
      <c r="RZL26" s="5"/>
      <c r="RZN26" s="28"/>
      <c r="RZO26" s="28"/>
      <c r="SAM26" s="5"/>
      <c r="SAO26" s="28"/>
      <c r="SAP26" s="28"/>
      <c r="SBN26" s="5"/>
      <c r="SBP26" s="28"/>
      <c r="SBQ26" s="28"/>
      <c r="SCO26" s="5"/>
      <c r="SCQ26" s="28"/>
      <c r="SCR26" s="28"/>
      <c r="SDP26" s="5"/>
      <c r="SDR26" s="28"/>
      <c r="SDS26" s="28"/>
      <c r="SEQ26" s="5"/>
      <c r="SES26" s="28"/>
      <c r="SET26" s="28"/>
      <c r="SFR26" s="5"/>
      <c r="SFT26" s="28"/>
      <c r="SFU26" s="28"/>
      <c r="SGS26" s="5"/>
      <c r="SGU26" s="28"/>
      <c r="SGV26" s="28"/>
      <c r="SHT26" s="5"/>
      <c r="SHV26" s="28"/>
      <c r="SHW26" s="28"/>
      <c r="SIU26" s="5"/>
      <c r="SIW26" s="28"/>
      <c r="SIX26" s="28"/>
      <c r="SJV26" s="5"/>
      <c r="SJX26" s="28"/>
      <c r="SJY26" s="28"/>
      <c r="SKW26" s="5"/>
      <c r="SKY26" s="28"/>
      <c r="SKZ26" s="28"/>
      <c r="SLX26" s="5"/>
      <c r="SLZ26" s="28"/>
      <c r="SMA26" s="28"/>
      <c r="SMY26" s="5"/>
      <c r="SNA26" s="28"/>
      <c r="SNB26" s="28"/>
      <c r="SNZ26" s="5"/>
      <c r="SOB26" s="28"/>
      <c r="SOC26" s="28"/>
      <c r="SPA26" s="5"/>
      <c r="SPC26" s="28"/>
      <c r="SPD26" s="28"/>
      <c r="SQB26" s="5"/>
      <c r="SQD26" s="28"/>
      <c r="SQE26" s="28"/>
      <c r="SRC26" s="5"/>
      <c r="SRE26" s="28"/>
      <c r="SRF26" s="28"/>
      <c r="SSD26" s="5"/>
      <c r="SSF26" s="28"/>
      <c r="SSG26" s="28"/>
      <c r="STE26" s="5"/>
      <c r="STG26" s="28"/>
      <c r="STH26" s="28"/>
      <c r="SUF26" s="5"/>
      <c r="SUH26" s="28"/>
      <c r="SUI26" s="28"/>
      <c r="SVG26" s="5"/>
      <c r="SVI26" s="28"/>
      <c r="SVJ26" s="28"/>
      <c r="SWH26" s="5"/>
      <c r="SWJ26" s="28"/>
      <c r="SWK26" s="28"/>
      <c r="SXI26" s="5"/>
      <c r="SXK26" s="28"/>
      <c r="SXL26" s="28"/>
      <c r="SYJ26" s="5"/>
      <c r="SYL26" s="28"/>
      <c r="SYM26" s="28"/>
      <c r="SZK26" s="5"/>
      <c r="SZM26" s="28"/>
      <c r="SZN26" s="28"/>
      <c r="TAL26" s="5"/>
      <c r="TAN26" s="28"/>
      <c r="TAO26" s="28"/>
      <c r="TBM26" s="5"/>
      <c r="TBO26" s="28"/>
      <c r="TBP26" s="28"/>
      <c r="TCN26" s="5"/>
      <c r="TCP26" s="28"/>
      <c r="TCQ26" s="28"/>
      <c r="TDO26" s="5"/>
      <c r="TDQ26" s="28"/>
      <c r="TDR26" s="28"/>
      <c r="TEP26" s="5"/>
      <c r="TER26" s="28"/>
      <c r="TES26" s="28"/>
      <c r="TFQ26" s="5"/>
      <c r="TFS26" s="28"/>
      <c r="TFT26" s="28"/>
      <c r="TGR26" s="5"/>
      <c r="TGT26" s="28"/>
      <c r="TGU26" s="28"/>
      <c r="THS26" s="5"/>
      <c r="THU26" s="28"/>
      <c r="THV26" s="28"/>
      <c r="TIT26" s="5"/>
      <c r="TIV26" s="28"/>
      <c r="TIW26" s="28"/>
      <c r="TJU26" s="5"/>
      <c r="TJW26" s="28"/>
      <c r="TJX26" s="28"/>
      <c r="TKV26" s="5"/>
      <c r="TKX26" s="28"/>
      <c r="TKY26" s="28"/>
      <c r="TLW26" s="5"/>
      <c r="TLY26" s="28"/>
      <c r="TLZ26" s="28"/>
      <c r="TMX26" s="5"/>
      <c r="TMZ26" s="28"/>
      <c r="TNA26" s="28"/>
      <c r="TNY26" s="5"/>
      <c r="TOA26" s="28"/>
      <c r="TOB26" s="28"/>
      <c r="TOZ26" s="5"/>
      <c r="TPB26" s="28"/>
      <c r="TPC26" s="28"/>
      <c r="TQA26" s="5"/>
      <c r="TQC26" s="28"/>
      <c r="TQD26" s="28"/>
      <c r="TRB26" s="5"/>
      <c r="TRD26" s="28"/>
      <c r="TRE26" s="28"/>
      <c r="TSC26" s="5"/>
      <c r="TSE26" s="28"/>
      <c r="TSF26" s="28"/>
      <c r="TTD26" s="5"/>
      <c r="TTF26" s="28"/>
      <c r="TTG26" s="28"/>
      <c r="TUE26" s="5"/>
      <c r="TUG26" s="28"/>
      <c r="TUH26" s="28"/>
      <c r="TVF26" s="5"/>
      <c r="TVH26" s="28"/>
      <c r="TVI26" s="28"/>
      <c r="TWG26" s="5"/>
      <c r="TWI26" s="28"/>
      <c r="TWJ26" s="28"/>
      <c r="TXH26" s="5"/>
      <c r="TXJ26" s="28"/>
      <c r="TXK26" s="28"/>
      <c r="TYI26" s="5"/>
      <c r="TYK26" s="28"/>
      <c r="TYL26" s="28"/>
      <c r="TZJ26" s="5"/>
      <c r="TZL26" s="28"/>
      <c r="TZM26" s="28"/>
      <c r="UAK26" s="5"/>
      <c r="UAM26" s="28"/>
      <c r="UAN26" s="28"/>
      <c r="UBL26" s="5"/>
      <c r="UBN26" s="28"/>
      <c r="UBO26" s="28"/>
      <c r="UCM26" s="5"/>
      <c r="UCO26" s="28"/>
      <c r="UCP26" s="28"/>
      <c r="UDN26" s="5"/>
      <c r="UDP26" s="28"/>
      <c r="UDQ26" s="28"/>
      <c r="UEO26" s="5"/>
      <c r="UEQ26" s="28"/>
      <c r="UER26" s="28"/>
      <c r="UFP26" s="5"/>
      <c r="UFR26" s="28"/>
      <c r="UFS26" s="28"/>
      <c r="UGQ26" s="5"/>
      <c r="UGS26" s="28"/>
      <c r="UGT26" s="28"/>
      <c r="UHR26" s="5"/>
      <c r="UHT26" s="28"/>
      <c r="UHU26" s="28"/>
      <c r="UIS26" s="5"/>
      <c r="UIU26" s="28"/>
      <c r="UIV26" s="28"/>
      <c r="UJT26" s="5"/>
      <c r="UJV26" s="28"/>
      <c r="UJW26" s="28"/>
      <c r="UKU26" s="5"/>
      <c r="UKW26" s="28"/>
      <c r="UKX26" s="28"/>
      <c r="ULV26" s="5"/>
      <c r="ULX26" s="28"/>
      <c r="ULY26" s="28"/>
      <c r="UMW26" s="5"/>
      <c r="UMY26" s="28"/>
      <c r="UMZ26" s="28"/>
      <c r="UNX26" s="5"/>
      <c r="UNZ26" s="28"/>
      <c r="UOA26" s="28"/>
      <c r="UOY26" s="5"/>
      <c r="UPA26" s="28"/>
      <c r="UPB26" s="28"/>
      <c r="UPZ26" s="5"/>
      <c r="UQB26" s="28"/>
      <c r="UQC26" s="28"/>
      <c r="URA26" s="5"/>
      <c r="URC26" s="28"/>
      <c r="URD26" s="28"/>
      <c r="USB26" s="5"/>
      <c r="USD26" s="28"/>
      <c r="USE26" s="28"/>
      <c r="UTC26" s="5"/>
      <c r="UTE26" s="28"/>
      <c r="UTF26" s="28"/>
      <c r="UUD26" s="5"/>
      <c r="UUF26" s="28"/>
      <c r="UUG26" s="28"/>
      <c r="UVE26" s="5"/>
      <c r="UVG26" s="28"/>
      <c r="UVH26" s="28"/>
      <c r="UWF26" s="5"/>
      <c r="UWH26" s="28"/>
      <c r="UWI26" s="28"/>
      <c r="UXG26" s="5"/>
      <c r="UXI26" s="28"/>
      <c r="UXJ26" s="28"/>
      <c r="UYH26" s="5"/>
      <c r="UYJ26" s="28"/>
      <c r="UYK26" s="28"/>
      <c r="UZI26" s="5"/>
      <c r="UZK26" s="28"/>
      <c r="UZL26" s="28"/>
      <c r="VAJ26" s="5"/>
      <c r="VAL26" s="28"/>
      <c r="VAM26" s="28"/>
      <c r="VBK26" s="5"/>
      <c r="VBM26" s="28"/>
      <c r="VBN26" s="28"/>
      <c r="VCL26" s="5"/>
      <c r="VCN26" s="28"/>
      <c r="VCO26" s="28"/>
      <c r="VDM26" s="5"/>
      <c r="VDO26" s="28"/>
      <c r="VDP26" s="28"/>
      <c r="VEN26" s="5"/>
      <c r="VEP26" s="28"/>
      <c r="VEQ26" s="28"/>
      <c r="VFO26" s="5"/>
      <c r="VFQ26" s="28"/>
      <c r="VFR26" s="28"/>
      <c r="VGP26" s="5"/>
      <c r="VGR26" s="28"/>
      <c r="VGS26" s="28"/>
      <c r="VHQ26" s="5"/>
      <c r="VHS26" s="28"/>
      <c r="VHT26" s="28"/>
      <c r="VIR26" s="5"/>
      <c r="VIT26" s="28"/>
      <c r="VIU26" s="28"/>
      <c r="VJS26" s="5"/>
      <c r="VJU26" s="28"/>
      <c r="VJV26" s="28"/>
      <c r="VKT26" s="5"/>
      <c r="VKV26" s="28"/>
      <c r="VKW26" s="28"/>
      <c r="VLU26" s="5"/>
      <c r="VLW26" s="28"/>
      <c r="VLX26" s="28"/>
      <c r="VMV26" s="5"/>
      <c r="VMX26" s="28"/>
      <c r="VMY26" s="28"/>
      <c r="VNW26" s="5"/>
      <c r="VNY26" s="28"/>
      <c r="VNZ26" s="28"/>
      <c r="VOX26" s="5"/>
      <c r="VOZ26" s="28"/>
      <c r="VPA26" s="28"/>
      <c r="VPY26" s="5"/>
      <c r="VQA26" s="28"/>
      <c r="VQB26" s="28"/>
      <c r="VQZ26" s="5"/>
      <c r="VRB26" s="28"/>
      <c r="VRC26" s="28"/>
      <c r="VSA26" s="5"/>
      <c r="VSC26" s="28"/>
      <c r="VSD26" s="28"/>
      <c r="VTB26" s="5"/>
      <c r="VTD26" s="28"/>
      <c r="VTE26" s="28"/>
      <c r="VUC26" s="5"/>
      <c r="VUE26" s="28"/>
      <c r="VUF26" s="28"/>
      <c r="VVD26" s="5"/>
      <c r="VVF26" s="28"/>
      <c r="VVG26" s="28"/>
      <c r="VWE26" s="5"/>
      <c r="VWG26" s="28"/>
      <c r="VWH26" s="28"/>
      <c r="VXF26" s="5"/>
      <c r="VXH26" s="28"/>
      <c r="VXI26" s="28"/>
      <c r="VYG26" s="5"/>
      <c r="VYI26" s="28"/>
      <c r="VYJ26" s="28"/>
      <c r="VZH26" s="5"/>
      <c r="VZJ26" s="28"/>
      <c r="VZK26" s="28"/>
      <c r="WAI26" s="5"/>
      <c r="WAK26" s="28"/>
      <c r="WAL26" s="28"/>
      <c r="WBJ26" s="5"/>
      <c r="WBL26" s="28"/>
      <c r="WBM26" s="28"/>
      <c r="WCK26" s="5"/>
      <c r="WCM26" s="28"/>
      <c r="WCN26" s="28"/>
      <c r="WDL26" s="5"/>
      <c r="WDN26" s="28"/>
      <c r="WDO26" s="28"/>
      <c r="WEM26" s="5"/>
      <c r="WEO26" s="28"/>
      <c r="WEP26" s="28"/>
      <c r="WFN26" s="5"/>
      <c r="WFP26" s="28"/>
      <c r="WFQ26" s="28"/>
      <c r="WGO26" s="5"/>
      <c r="WGQ26" s="28"/>
      <c r="WGR26" s="28"/>
      <c r="WHP26" s="5"/>
      <c r="WHR26" s="28"/>
      <c r="WHS26" s="28"/>
      <c r="WIQ26" s="5"/>
      <c r="WIS26" s="28"/>
      <c r="WIT26" s="28"/>
      <c r="WJR26" s="5"/>
      <c r="WJT26" s="28"/>
      <c r="WJU26" s="28"/>
      <c r="WKS26" s="5"/>
      <c r="WKU26" s="28"/>
      <c r="WKV26" s="28"/>
      <c r="WLT26" s="5"/>
      <c r="WLV26" s="28"/>
      <c r="WLW26" s="28"/>
      <c r="WMU26" s="5"/>
      <c r="WMW26" s="28"/>
      <c r="WMX26" s="28"/>
      <c r="WNV26" s="5"/>
      <c r="WNX26" s="28"/>
      <c r="WNY26" s="28"/>
      <c r="WOW26" s="5"/>
      <c r="WOY26" s="28"/>
      <c r="WOZ26" s="28"/>
      <c r="WPX26" s="5"/>
      <c r="WPZ26" s="28"/>
      <c r="WQA26" s="28"/>
      <c r="WQY26" s="5"/>
      <c r="WRA26" s="28"/>
      <c r="WRB26" s="28"/>
      <c r="WRZ26" s="5"/>
      <c r="WSB26" s="28"/>
      <c r="WSC26" s="28"/>
      <c r="WTA26" s="5"/>
      <c r="WTC26" s="28"/>
      <c r="WTD26" s="28"/>
      <c r="WUB26" s="5"/>
      <c r="WUD26" s="28"/>
      <c r="WUE26" s="28"/>
      <c r="WVC26" s="5"/>
      <c r="WVE26" s="28"/>
      <c r="WVF26" s="28"/>
      <c r="WWD26" s="5"/>
      <c r="WWF26" s="28"/>
      <c r="WWG26" s="28"/>
      <c r="WXE26" s="5"/>
      <c r="WXG26" s="28"/>
      <c r="WXH26" s="28"/>
      <c r="WYF26" s="5"/>
      <c r="WYH26" s="28"/>
      <c r="WYI26" s="28"/>
      <c r="WZG26" s="5"/>
      <c r="WZI26" s="28"/>
      <c r="WZJ26" s="28"/>
      <c r="XAH26" s="5"/>
      <c r="XAJ26" s="28"/>
      <c r="XAK26" s="28"/>
      <c r="XBI26" s="5"/>
      <c r="XBK26" s="28"/>
      <c r="XBL26" s="28"/>
      <c r="XCJ26" s="5"/>
      <c r="XCL26" s="28"/>
      <c r="XCM26" s="28"/>
      <c r="XDK26" s="5"/>
      <c r="XDM26" s="28"/>
      <c r="XDN26" s="28"/>
      <c r="XEL26" s="5"/>
      <c r="XEN26" s="28"/>
      <c r="XEO26" s="28"/>
    </row>
    <row r="27" spans="1:1006 1030:2032 2056:3058 3082:4084 4108:5110 5134:6136 6160:7162 7186:8188 8212:9214 9238:10240 10264:11263 11265:12265 12289:13291 13315:14317 14341:15343 15367:16369" ht="60.95" customHeight="1" x14ac:dyDescent="0.25">
      <c r="F27" s="17">
        <f t="shared" si="175"/>
        <v>18</v>
      </c>
      <c r="G27" s="31" t="s">
        <v>98</v>
      </c>
      <c r="H27" s="105" t="s">
        <v>99</v>
      </c>
      <c r="I27" s="106" t="s">
        <v>100</v>
      </c>
      <c r="J27" s="103" t="s">
        <v>101</v>
      </c>
      <c r="K27" s="104" t="s">
        <v>102</v>
      </c>
      <c r="M27" s="4"/>
      <c r="DZ27" s="100" t="s">
        <v>103</v>
      </c>
    </row>
    <row r="28" spans="1:1006 1030:2032 2056:3058 3082:4084 4108:5110 5134:6136 6160:7162 7186:8188 8212:9214 9238:10240 10264:11263 11265:12265 12289:13291 13315:14317 14341:15343 15367:16369" x14ac:dyDescent="0.25">
      <c r="F28" s="17">
        <f t="shared" si="175"/>
        <v>19</v>
      </c>
      <c r="G28" s="12" t="s">
        <v>104</v>
      </c>
      <c r="H28" s="13">
        <v>0</v>
      </c>
      <c r="I28" s="13">
        <v>0</v>
      </c>
      <c r="J28" s="117">
        <v>0</v>
      </c>
      <c r="K28" s="189">
        <f>H66</f>
        <v>4942.4237748663891</v>
      </c>
      <c r="L28" s="189">
        <f t="shared" ref="L28:V28" si="188">$K$28</f>
        <v>4942.4237748663891</v>
      </c>
      <c r="M28" s="189">
        <f t="shared" si="188"/>
        <v>4942.4237748663891</v>
      </c>
      <c r="N28" s="189">
        <f t="shared" si="188"/>
        <v>4942.4237748663891</v>
      </c>
      <c r="O28" s="189">
        <f t="shared" si="188"/>
        <v>4942.4237748663891</v>
      </c>
      <c r="P28" s="189">
        <f t="shared" si="188"/>
        <v>4942.4237748663891</v>
      </c>
      <c r="Q28" s="189">
        <f t="shared" si="188"/>
        <v>4942.4237748663891</v>
      </c>
      <c r="R28" s="189">
        <f t="shared" si="188"/>
        <v>4942.4237748663891</v>
      </c>
      <c r="S28" s="189">
        <f t="shared" si="188"/>
        <v>4942.4237748663891</v>
      </c>
      <c r="T28" s="189">
        <f t="shared" si="188"/>
        <v>4942.4237748663891</v>
      </c>
      <c r="U28" s="189">
        <f t="shared" si="188"/>
        <v>4942.4237748663891</v>
      </c>
      <c r="V28" s="189">
        <f t="shared" si="188"/>
        <v>4942.4237748663891</v>
      </c>
      <c r="W28" s="189">
        <f>$K$28*(1+Dados!$C$22)</f>
        <v>5090.6964881123813</v>
      </c>
      <c r="X28" s="189">
        <f>$K$28*(1+Dados!$C$22)</f>
        <v>5090.6964881123813</v>
      </c>
      <c r="Y28" s="189">
        <f>$K$28*(1+Dados!$C$22)</f>
        <v>5090.6964881123813</v>
      </c>
      <c r="Z28" s="189">
        <f>$K$28*(1+Dados!$C$22)</f>
        <v>5090.6964881123813</v>
      </c>
      <c r="AA28" s="189">
        <f>$K$28*(1+Dados!$C$22)</f>
        <v>5090.6964881123813</v>
      </c>
      <c r="AB28" s="189">
        <f>$K$28*(1+Dados!$C$22)</f>
        <v>5090.6964881123813</v>
      </c>
      <c r="AC28" s="189">
        <f>$K$28*(1+Dados!$C$22)</f>
        <v>5090.6964881123813</v>
      </c>
      <c r="AD28" s="189">
        <f>$K$28*(1+Dados!$C$22)</f>
        <v>5090.6964881123813</v>
      </c>
      <c r="AE28" s="189">
        <f>$K$28*(1+Dados!$C$22)</f>
        <v>5090.6964881123813</v>
      </c>
      <c r="AF28" s="189">
        <f>$K$28*(1+Dados!$C$22)</f>
        <v>5090.6964881123813</v>
      </c>
      <c r="AG28" s="189">
        <f>$K$28*(1+Dados!$C$22)</f>
        <v>5090.6964881123813</v>
      </c>
      <c r="AH28" s="189">
        <f>$K$28*(1+Dados!$C$22)</f>
        <v>5090.6964881123813</v>
      </c>
      <c r="AI28" s="189">
        <f>$AH$28*(1+Dados!$C$22)</f>
        <v>5243.4173827557524</v>
      </c>
      <c r="AJ28" s="189">
        <f>$AH$28*(1+Dados!$C$22)</f>
        <v>5243.4173827557524</v>
      </c>
      <c r="AK28" s="189">
        <f>$AH$28*(1+Dados!$C$22)</f>
        <v>5243.4173827557524</v>
      </c>
      <c r="AL28" s="189">
        <f>$AH$28*(1+Dados!$C$22)</f>
        <v>5243.4173827557524</v>
      </c>
      <c r="AM28" s="189">
        <f>$AH$28*(1+Dados!$C$22)</f>
        <v>5243.4173827557524</v>
      </c>
      <c r="AN28" s="189">
        <f>$AH$28*(1+Dados!$C$22)</f>
        <v>5243.4173827557524</v>
      </c>
      <c r="AO28" s="189">
        <f>$AH$28*(1+Dados!$C$22)</f>
        <v>5243.4173827557524</v>
      </c>
      <c r="AP28" s="189">
        <f>$AH$28*(1+Dados!$C$22)</f>
        <v>5243.4173827557524</v>
      </c>
      <c r="AQ28" s="189">
        <f>$AH$28*(1+Dados!$C$22)</f>
        <v>5243.4173827557524</v>
      </c>
      <c r="AR28" s="189">
        <f>$AH$28*(1+Dados!$C$22)</f>
        <v>5243.4173827557524</v>
      </c>
      <c r="AS28" s="189">
        <f>$AH$28*(1+Dados!$C$22)</f>
        <v>5243.4173827557524</v>
      </c>
      <c r="AT28" s="189">
        <f>$AH$28*(1+Dados!$C$22)</f>
        <v>5243.4173827557524</v>
      </c>
      <c r="AU28" s="189">
        <f>$AS$28*(1+Dados!$C$22)</f>
        <v>5400.7199042384254</v>
      </c>
      <c r="AV28" s="189">
        <f>$AS$28*(1+Dados!$C$22)</f>
        <v>5400.7199042384254</v>
      </c>
      <c r="AW28" s="189">
        <f>$AS$28*(1+Dados!$C$22)</f>
        <v>5400.7199042384254</v>
      </c>
      <c r="AX28" s="189">
        <f>$AS$28*(1+Dados!$C$22)</f>
        <v>5400.7199042384254</v>
      </c>
      <c r="AY28" s="189">
        <f>$AS$28*(1+Dados!$C$22)</f>
        <v>5400.7199042384254</v>
      </c>
      <c r="AZ28" s="189">
        <f>$AS$28*(1+Dados!$C$22)</f>
        <v>5400.7199042384254</v>
      </c>
      <c r="BA28" s="189">
        <f>$AS$28*(1+Dados!$C$22)</f>
        <v>5400.7199042384254</v>
      </c>
      <c r="BB28" s="189">
        <f>$AS$28*(1+Dados!$C$22)</f>
        <v>5400.7199042384254</v>
      </c>
      <c r="BC28" s="189">
        <f>$AS$28*(1+Dados!$C$22)</f>
        <v>5400.7199042384254</v>
      </c>
      <c r="BD28" s="189">
        <f>$AS$28*(1+Dados!$C$22)</f>
        <v>5400.7199042384254</v>
      </c>
      <c r="BE28" s="189">
        <f>$AS$28*(1+Dados!$C$22)</f>
        <v>5400.7199042384254</v>
      </c>
      <c r="BF28" s="189">
        <f>$AS$28*(1+Dados!$C$22)</f>
        <v>5400.7199042384254</v>
      </c>
      <c r="BG28" s="189">
        <f>$BF$28*(1+Dados!$C$22)</f>
        <v>5562.7415013655782</v>
      </c>
      <c r="BH28" s="189">
        <f>$BF$28*(1+Dados!$C$22)</f>
        <v>5562.7415013655782</v>
      </c>
      <c r="BI28" s="189">
        <f>$BF$28*(1+Dados!$C$22)</f>
        <v>5562.7415013655782</v>
      </c>
      <c r="BJ28" s="189">
        <f>$BF$28*(1+Dados!$C$22)</f>
        <v>5562.7415013655782</v>
      </c>
      <c r="BK28" s="189">
        <f>$BF$28*(1+Dados!$C$22)</f>
        <v>5562.7415013655782</v>
      </c>
      <c r="BL28" s="189">
        <f>$BF$28*(1+Dados!$C$22)</f>
        <v>5562.7415013655782</v>
      </c>
      <c r="BM28" s="189">
        <f>$BF$28*(1+Dados!$C$22)</f>
        <v>5562.7415013655782</v>
      </c>
      <c r="BN28" s="189">
        <f>$BF$28*(1+Dados!$C$22)</f>
        <v>5562.7415013655782</v>
      </c>
      <c r="BO28" s="189">
        <f>$BF$28*(1+Dados!$C$22)</f>
        <v>5562.7415013655782</v>
      </c>
      <c r="BP28" s="189">
        <f>$BF$28*(1+Dados!$C$22)</f>
        <v>5562.7415013655782</v>
      </c>
      <c r="BQ28" s="189">
        <f>$BF$28*(1+Dados!$C$22)</f>
        <v>5562.7415013655782</v>
      </c>
      <c r="BR28" s="189">
        <f>$BF$28*(1+Dados!$C$22)</f>
        <v>5562.7415013655782</v>
      </c>
      <c r="BS28" s="189">
        <f>$BR$28*(1+Dados!$C$22)</f>
        <v>5729.6237464065453</v>
      </c>
      <c r="BT28" s="189">
        <f>$BR$28*(1+Dados!$C$22)</f>
        <v>5729.6237464065453</v>
      </c>
      <c r="BU28" s="189">
        <f>$BR$28*(1+Dados!$C$22)</f>
        <v>5729.6237464065453</v>
      </c>
      <c r="BV28" s="189">
        <f>$BR$28*(1+Dados!$C$22)</f>
        <v>5729.6237464065453</v>
      </c>
      <c r="BW28" s="189">
        <f>$BR$28*(1+Dados!$C$22)</f>
        <v>5729.6237464065453</v>
      </c>
      <c r="BX28" s="189">
        <f>$BR$28*(1+Dados!$C$22)</f>
        <v>5729.6237464065453</v>
      </c>
      <c r="BY28" s="189">
        <f>$BR$28*(1+Dados!$C$22)</f>
        <v>5729.6237464065453</v>
      </c>
      <c r="BZ28" s="189">
        <f>$BR$28*(1+Dados!$C$22)</f>
        <v>5729.6237464065453</v>
      </c>
      <c r="CA28" s="189">
        <f>$BR$28*(1+Dados!$C$22)</f>
        <v>5729.6237464065453</v>
      </c>
      <c r="CB28" s="189">
        <f>$BR$28*(1+Dados!$C$22)</f>
        <v>5729.6237464065453</v>
      </c>
      <c r="CC28" s="189">
        <f>$BR$28*(1+Dados!$C$22)</f>
        <v>5729.6237464065453</v>
      </c>
      <c r="CD28" s="189">
        <f>$BR$28*(1+Dados!$C$22)</f>
        <v>5729.6237464065453</v>
      </c>
      <c r="CE28" s="189">
        <f>$CD$28*(1+Dados!$C$22)</f>
        <v>5901.512458798742</v>
      </c>
      <c r="CF28" s="189">
        <f>$CD$28*(1+Dados!$C$22)</f>
        <v>5901.512458798742</v>
      </c>
      <c r="CG28" s="189">
        <f>$CD$28*(1+Dados!$C$22)</f>
        <v>5901.512458798742</v>
      </c>
      <c r="CH28" s="189">
        <f>$CD$28*(1+Dados!$C$22)</f>
        <v>5901.512458798742</v>
      </c>
      <c r="CI28" s="189">
        <f>$CD$28*(1+Dados!$C$22)</f>
        <v>5901.512458798742</v>
      </c>
      <c r="CJ28" s="189">
        <f>$CD$28*(1+Dados!$C$22)</f>
        <v>5901.512458798742</v>
      </c>
      <c r="CK28" s="189">
        <f>$CD$28*(1+Dados!$C$22)</f>
        <v>5901.512458798742</v>
      </c>
      <c r="CL28" s="189">
        <f>$CD$28*(1+Dados!$C$22)</f>
        <v>5901.512458798742</v>
      </c>
      <c r="CM28" s="189">
        <f>$CD$28*(1+Dados!$C$22)</f>
        <v>5901.512458798742</v>
      </c>
      <c r="CN28" s="189">
        <f>$CD$28*(1+Dados!$C$22)</f>
        <v>5901.512458798742</v>
      </c>
      <c r="CO28" s="189">
        <f>$CD$28*(1+Dados!$C$22)</f>
        <v>5901.512458798742</v>
      </c>
      <c r="CP28" s="189">
        <f>$CD$28*(1+Dados!$C$22)</f>
        <v>5901.512458798742</v>
      </c>
      <c r="CQ28" s="189">
        <f>$CP$28*(1+Dados!$C$22)</f>
        <v>6078.5578325627048</v>
      </c>
      <c r="CR28" s="189">
        <f>$CP$28*(1+Dados!$C$22)</f>
        <v>6078.5578325627048</v>
      </c>
      <c r="CS28" s="189">
        <f>$CP$28*(1+Dados!$C$22)</f>
        <v>6078.5578325627048</v>
      </c>
      <c r="CT28" s="189">
        <f>$CP$28*(1+Dados!$C$22)</f>
        <v>6078.5578325627048</v>
      </c>
      <c r="CU28" s="189">
        <f>$CP$28*(1+Dados!$C$22)</f>
        <v>6078.5578325627048</v>
      </c>
      <c r="CV28" s="189">
        <f>$CP$28*(1+Dados!$C$22)</f>
        <v>6078.5578325627048</v>
      </c>
      <c r="CW28" s="189">
        <f>$CP$28*(1+Dados!$C$22)</f>
        <v>6078.5578325627048</v>
      </c>
      <c r="CX28" s="189">
        <f>$CP$28*(1+Dados!$C$22)</f>
        <v>6078.5578325627048</v>
      </c>
      <c r="CY28" s="189">
        <f>$CP$28*(1+Dados!$C$22)</f>
        <v>6078.5578325627048</v>
      </c>
      <c r="CZ28" s="189">
        <f>$CP$28*(1+Dados!$C$22)</f>
        <v>6078.5578325627048</v>
      </c>
      <c r="DA28" s="189">
        <f>$CP$28*(1+Dados!$C$22)</f>
        <v>6078.5578325627048</v>
      </c>
      <c r="DB28" s="189">
        <f>$CP$28*(1+Dados!$C$22)</f>
        <v>6078.5578325627048</v>
      </c>
      <c r="DC28" s="189">
        <f>$DA$28*(1+Dados!$C$22)</f>
        <v>6260.9145675395857</v>
      </c>
      <c r="DD28" s="189">
        <f>$DA$28*(1+Dados!$C$22)</f>
        <v>6260.9145675395857</v>
      </c>
      <c r="DE28" s="189">
        <f>$DA$28*(1+Dados!$C$22)</f>
        <v>6260.9145675395857</v>
      </c>
      <c r="DF28" s="189">
        <f>$DA$28*(1+Dados!$C$22)</f>
        <v>6260.9145675395857</v>
      </c>
      <c r="DG28" s="189">
        <f>$DA$28*(1+Dados!$C$22)</f>
        <v>6260.9145675395857</v>
      </c>
      <c r="DH28" s="189">
        <f>$DA$28*(1+Dados!$C$22)</f>
        <v>6260.9145675395857</v>
      </c>
      <c r="DI28" s="189">
        <f>$DA$28*(1+Dados!$C$22)</f>
        <v>6260.9145675395857</v>
      </c>
      <c r="DJ28" s="189">
        <f>$DA$28*(1+Dados!$C$22)</f>
        <v>6260.9145675395857</v>
      </c>
      <c r="DK28" s="189">
        <f>$DA$28*(1+Dados!$C$22)</f>
        <v>6260.9145675395857</v>
      </c>
      <c r="DL28" s="189">
        <f>$DA$28*(1+Dados!$C$22)</f>
        <v>6260.9145675395857</v>
      </c>
      <c r="DM28" s="189">
        <f>$DA$28*(1+Dados!$C$22)</f>
        <v>6260.9145675395857</v>
      </c>
      <c r="DN28" s="189">
        <f>$DA$28*(1+Dados!$C$22)</f>
        <v>6260.9145675395857</v>
      </c>
      <c r="DO28" s="189">
        <f>$DL$28*(1+Dados!$C$22)</f>
        <v>6448.7420045657736</v>
      </c>
      <c r="DP28" s="189">
        <f>$DL$28*(1+Dados!$C$22)</f>
        <v>6448.7420045657736</v>
      </c>
      <c r="DQ28" s="189">
        <f>$DL$28*(1+Dados!$C$22)</f>
        <v>6448.7420045657736</v>
      </c>
      <c r="DR28" s="189">
        <f>$DL$28*(1+Dados!$C$22)</f>
        <v>6448.7420045657736</v>
      </c>
      <c r="DS28" s="189">
        <f>$DL$28*(1+Dados!$C$22)</f>
        <v>6448.7420045657736</v>
      </c>
      <c r="DT28" s="189">
        <f>$DL$28*(1+Dados!$C$22)</f>
        <v>6448.7420045657736</v>
      </c>
      <c r="DU28" s="189">
        <f>$DL$28*(1+Dados!$C$22)</f>
        <v>6448.7420045657736</v>
      </c>
      <c r="DV28" s="189">
        <f>$DL$28*(1+Dados!$C$22)</f>
        <v>6448.7420045657736</v>
      </c>
      <c r="DW28" s="189">
        <f>$DL$28*(1+Dados!$C$22)</f>
        <v>6448.7420045657736</v>
      </c>
      <c r="DX28" s="189">
        <f>$DL$28*(1+Dados!$C$22)</f>
        <v>6448.7420045657736</v>
      </c>
      <c r="DY28" s="189">
        <f>$DL$28*(1+Dados!$C$22)</f>
        <v>6448.7420045657736</v>
      </c>
      <c r="DZ28" s="189">
        <f>$DL$28*(1+Dados!$C$22)</f>
        <v>6448.7420045657736</v>
      </c>
      <c r="EA28" s="13"/>
      <c r="EB28" s="13"/>
    </row>
    <row r="29" spans="1:1006 1030:2032 2056:3058 3082:4084 4108:5110 5134:6136 6160:7162 7186:8188 8212:9214 9238:10240 10264:11263 11265:12265 12289:13291 13315:14317 14341:15343 15367:16369" x14ac:dyDescent="0.25">
      <c r="F29" s="17">
        <f t="shared" si="175"/>
        <v>20</v>
      </c>
      <c r="G29" s="5"/>
      <c r="H29" s="4"/>
      <c r="I29" s="4"/>
      <c r="J29" s="157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4"/>
      <c r="BD29" s="4"/>
      <c r="BE29" s="4"/>
      <c r="BF29" s="4"/>
      <c r="BG29" s="4"/>
      <c r="BH29" s="4"/>
      <c r="BI29" s="4"/>
      <c r="BJ29" s="4"/>
      <c r="BK29" s="4"/>
      <c r="BL29" s="4"/>
      <c r="BM29" s="4"/>
      <c r="BN29" s="4"/>
      <c r="BO29" s="4"/>
      <c r="BP29" s="4"/>
      <c r="BQ29" s="4"/>
      <c r="BR29" s="4"/>
      <c r="BS29" s="4"/>
      <c r="BT29" s="4"/>
      <c r="BU29" s="4"/>
      <c r="BV29" s="4"/>
      <c r="BW29" s="4"/>
      <c r="BX29" s="4"/>
      <c r="BY29" s="4"/>
      <c r="BZ29" s="4"/>
      <c r="CA29" s="4"/>
      <c r="CB29" s="4"/>
      <c r="CC29" s="4"/>
      <c r="CD29" s="4"/>
      <c r="CE29" s="4"/>
      <c r="CF29" s="4"/>
      <c r="CG29" s="4"/>
      <c r="CH29" s="4"/>
      <c r="CI29" s="4"/>
      <c r="CJ29" s="4"/>
      <c r="CK29" s="4"/>
      <c r="CL29" s="4"/>
      <c r="CM29" s="4"/>
      <c r="CN29" s="4"/>
      <c r="CO29" s="4"/>
      <c r="CP29" s="4"/>
      <c r="CQ29" s="4"/>
      <c r="CR29" s="4"/>
      <c r="CS29" s="4"/>
      <c r="CT29" s="4"/>
      <c r="CU29" s="4"/>
      <c r="CV29" s="4"/>
      <c r="CW29" s="4"/>
      <c r="CX29" s="4"/>
      <c r="CY29" s="4"/>
      <c r="CZ29" s="4"/>
      <c r="DA29" s="4"/>
      <c r="DB29" s="4"/>
      <c r="DC29" s="4"/>
      <c r="DD29" s="4"/>
      <c r="DE29" s="4"/>
      <c r="DF29" s="4"/>
      <c r="DG29" s="4"/>
      <c r="DH29" s="4"/>
      <c r="DI29" s="4"/>
      <c r="DJ29" s="4"/>
      <c r="DK29" s="4"/>
      <c r="DL29" s="4"/>
      <c r="DM29" s="4"/>
      <c r="DN29" s="4"/>
      <c r="DO29" s="4"/>
      <c r="DP29" s="4"/>
      <c r="DQ29" s="4"/>
      <c r="DR29" s="4"/>
      <c r="DS29" s="4"/>
      <c r="DT29" s="4"/>
      <c r="DU29" s="4"/>
      <c r="DV29" s="4"/>
      <c r="DW29" s="4"/>
      <c r="DX29" s="4"/>
      <c r="DY29" s="4"/>
      <c r="DZ29" s="4"/>
      <c r="EA29" s="4"/>
      <c r="EB29" s="4"/>
    </row>
    <row r="30" spans="1:1006 1030:2032 2056:3058 3082:4084 4108:5110 5134:6136 6160:7162 7186:8188 8212:9214 9238:10240 10264:11263 11265:12265 12289:13291 13315:14317 14341:15343 15367:16369" ht="47.25" x14ac:dyDescent="0.25">
      <c r="F30" s="17">
        <f t="shared" si="175"/>
        <v>21</v>
      </c>
      <c r="G30" s="31" t="s">
        <v>105</v>
      </c>
      <c r="H30" s="4"/>
      <c r="I30" s="4"/>
      <c r="J30" s="157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4"/>
      <c r="BD30" s="4"/>
      <c r="BE30" s="4"/>
      <c r="BF30" s="4"/>
      <c r="BG30" s="4"/>
      <c r="BH30" s="4"/>
      <c r="BI30" s="4"/>
      <c r="BJ30" s="4"/>
      <c r="BK30" s="4"/>
      <c r="BL30" s="4"/>
      <c r="BM30" s="4"/>
      <c r="BN30" s="4"/>
      <c r="BO30" s="4"/>
      <c r="BP30" s="4"/>
      <c r="BQ30" s="4"/>
      <c r="BR30" s="4"/>
      <c r="BS30" s="4"/>
      <c r="BT30" s="4"/>
      <c r="BU30" s="4"/>
      <c r="BV30" s="4"/>
      <c r="BW30" s="4"/>
      <c r="BX30" s="4"/>
      <c r="BY30" s="4"/>
      <c r="BZ30" s="4"/>
      <c r="CA30" s="4"/>
      <c r="CB30" s="4"/>
      <c r="CC30" s="4"/>
      <c r="CD30" s="4"/>
      <c r="CE30" s="4"/>
      <c r="CF30" s="4"/>
      <c r="CG30" s="4"/>
      <c r="CH30" s="4"/>
      <c r="CI30" s="4"/>
      <c r="CJ30" s="4"/>
      <c r="CK30" s="4"/>
      <c r="CL30" s="4"/>
      <c r="CM30" s="4"/>
      <c r="CN30" s="4"/>
      <c r="CO30" s="4"/>
      <c r="CP30" s="4"/>
      <c r="CQ30" s="4"/>
      <c r="CR30" s="4"/>
      <c r="CS30" s="4"/>
      <c r="CT30" s="4"/>
      <c r="CU30" s="4"/>
      <c r="CV30" s="4"/>
      <c r="CW30" s="4"/>
      <c r="CX30" s="4"/>
      <c r="CY30" s="4"/>
      <c r="CZ30" s="4"/>
      <c r="DA30" s="4"/>
      <c r="DB30" s="4"/>
      <c r="DC30" s="4"/>
      <c r="DD30" s="4"/>
      <c r="DE30" s="4"/>
      <c r="DF30" s="4"/>
      <c r="DG30" s="4"/>
      <c r="DH30" s="4"/>
      <c r="DI30" s="4"/>
      <c r="DJ30" s="4"/>
      <c r="DK30" s="4"/>
      <c r="DL30" s="4"/>
      <c r="DM30" s="4"/>
      <c r="DN30" s="4"/>
      <c r="DO30" s="4"/>
      <c r="DP30" s="4"/>
      <c r="DQ30" s="4"/>
      <c r="DR30" s="4"/>
      <c r="DS30" s="4"/>
      <c r="DT30" s="4"/>
      <c r="DU30" s="4"/>
      <c r="DV30" s="4"/>
      <c r="DW30" s="4"/>
      <c r="DX30" s="4"/>
      <c r="DY30" s="4"/>
      <c r="DZ30" s="4"/>
      <c r="EA30" s="4"/>
      <c r="EB30" s="100" t="s">
        <v>106</v>
      </c>
    </row>
    <row r="31" spans="1:1006 1030:2032 2056:3058 3082:4084 4108:5110 5134:6136 6160:7162 7186:8188 8212:9214 9238:10240 10264:11263 11265:12265 12289:13291 13315:14317 14341:15343 15367:16369" x14ac:dyDescent="0.25">
      <c r="F31" s="17">
        <f t="shared" si="175"/>
        <v>22</v>
      </c>
      <c r="G31" s="12" t="s">
        <v>107</v>
      </c>
      <c r="H31" s="25"/>
      <c r="I31" s="25"/>
      <c r="J31" s="120"/>
      <c r="K31" s="25"/>
      <c r="L31" s="25"/>
      <c r="M31" s="25"/>
      <c r="N31" s="25"/>
      <c r="O31" s="25"/>
      <c r="P31" s="25"/>
      <c r="Q31" s="25"/>
      <c r="R31" s="25"/>
      <c r="S31" s="25"/>
      <c r="T31" s="25"/>
      <c r="U31" s="25"/>
      <c r="V31" s="25"/>
      <c r="W31" s="25"/>
      <c r="X31" s="25"/>
      <c r="Y31" s="25"/>
      <c r="Z31" s="25"/>
      <c r="AA31" s="25"/>
      <c r="AB31" s="25"/>
      <c r="AC31" s="25"/>
      <c r="AD31" s="25"/>
      <c r="AE31" s="25"/>
      <c r="AF31" s="25"/>
      <c r="AG31" s="25"/>
      <c r="AH31" s="25"/>
      <c r="AI31" s="25"/>
      <c r="AJ31" s="25"/>
      <c r="AK31" s="25"/>
      <c r="AL31" s="25"/>
      <c r="AM31" s="25"/>
      <c r="AN31" s="25"/>
      <c r="AO31" s="25"/>
      <c r="AP31" s="25"/>
      <c r="AQ31" s="25"/>
      <c r="AR31" s="25"/>
      <c r="AS31" s="25"/>
      <c r="AT31" s="25"/>
      <c r="AU31" s="25"/>
      <c r="AV31" s="25"/>
      <c r="AW31" s="25"/>
      <c r="AX31" s="25"/>
      <c r="AY31" s="25"/>
      <c r="AZ31" s="25"/>
      <c r="BA31" s="25"/>
      <c r="BB31" s="25"/>
      <c r="BC31" s="25"/>
      <c r="BD31" s="25"/>
      <c r="BE31" s="25"/>
      <c r="BF31" s="25"/>
      <c r="BG31" s="25"/>
      <c r="BH31" s="25"/>
      <c r="BI31" s="25"/>
      <c r="BJ31" s="25"/>
      <c r="BK31" s="25"/>
      <c r="BL31" s="25"/>
      <c r="BM31" s="25"/>
      <c r="BN31" s="25"/>
      <c r="BO31" s="25"/>
      <c r="BP31" s="25"/>
      <c r="BQ31" s="25"/>
      <c r="BR31" s="25"/>
      <c r="BS31" s="25"/>
      <c r="BT31" s="25"/>
      <c r="BU31" s="25"/>
      <c r="BV31" s="25"/>
      <c r="BW31" s="25"/>
      <c r="BX31" s="25"/>
      <c r="BY31" s="25"/>
      <c r="BZ31" s="25"/>
      <c r="CA31" s="25"/>
      <c r="CB31" s="25"/>
      <c r="CC31" s="25"/>
      <c r="CD31" s="25"/>
      <c r="CE31" s="25"/>
      <c r="CF31" s="25"/>
      <c r="CG31" s="25"/>
      <c r="CH31" s="25"/>
      <c r="CI31" s="25"/>
      <c r="CJ31" s="25"/>
      <c r="CK31" s="25"/>
      <c r="CL31" s="25"/>
      <c r="CM31" s="25"/>
      <c r="CN31" s="25"/>
      <c r="CO31" s="25"/>
      <c r="CP31" s="25"/>
      <c r="CQ31" s="25"/>
      <c r="CR31" s="25"/>
      <c r="CS31" s="25"/>
      <c r="CT31" s="25"/>
      <c r="CU31" s="25"/>
      <c r="CV31" s="25"/>
      <c r="CW31" s="25"/>
      <c r="CX31" s="25"/>
      <c r="CY31" s="25"/>
      <c r="CZ31" s="25"/>
      <c r="DA31" s="25"/>
      <c r="DB31" s="25"/>
      <c r="DC31" s="25"/>
      <c r="DD31" s="25"/>
      <c r="DE31" s="25"/>
      <c r="DF31" s="25"/>
      <c r="DG31" s="25"/>
      <c r="DH31" s="25"/>
      <c r="DI31" s="25"/>
      <c r="DJ31" s="25"/>
      <c r="DK31" s="25"/>
      <c r="DL31" s="25"/>
      <c r="DM31" s="25"/>
      <c r="DN31" s="25"/>
      <c r="DO31" s="25"/>
      <c r="DP31" s="25"/>
      <c r="DQ31" s="25"/>
      <c r="DR31" s="25"/>
      <c r="DS31" s="25"/>
      <c r="DT31" s="25"/>
      <c r="DU31" s="25"/>
      <c r="DV31" s="25"/>
      <c r="DW31" s="25"/>
      <c r="DX31" s="25"/>
      <c r="DY31" s="25"/>
      <c r="DZ31" s="25"/>
      <c r="EA31" s="25"/>
      <c r="EB31" s="114">
        <v>0</v>
      </c>
    </row>
    <row r="32" spans="1:1006 1030:2032 2056:3058 3082:4084 4108:5110 5134:6136 6160:7162 7186:8188 8212:9214 9238:10240 10264:11263 11265:12265 12289:13291 13315:14317 14341:15343 15367:16369" x14ac:dyDescent="0.25">
      <c r="F32" s="17">
        <f t="shared" si="175"/>
        <v>23</v>
      </c>
      <c r="G32" s="12" t="s">
        <v>108</v>
      </c>
      <c r="H32" s="25"/>
      <c r="I32" s="25"/>
      <c r="J32" s="120"/>
      <c r="K32" s="25"/>
      <c r="L32" s="25"/>
      <c r="M32" s="25"/>
      <c r="N32" s="25"/>
      <c r="O32" s="25"/>
      <c r="P32" s="25"/>
      <c r="Q32" s="25"/>
      <c r="R32" s="25"/>
      <c r="S32" s="25"/>
      <c r="T32" s="25"/>
      <c r="U32" s="25"/>
      <c r="V32" s="25"/>
      <c r="W32" s="25"/>
      <c r="X32" s="25"/>
      <c r="Y32" s="25"/>
      <c r="Z32" s="25"/>
      <c r="AA32" s="25"/>
      <c r="AB32" s="25"/>
      <c r="AC32" s="25"/>
      <c r="AD32" s="25"/>
      <c r="AE32" s="25"/>
      <c r="AF32" s="25"/>
      <c r="AG32" s="25"/>
      <c r="AH32" s="25"/>
      <c r="AI32" s="25"/>
      <c r="AJ32" s="25"/>
      <c r="AK32" s="25"/>
      <c r="AL32" s="25"/>
      <c r="AM32" s="25"/>
      <c r="AN32" s="25"/>
      <c r="AO32" s="25"/>
      <c r="AP32" s="25"/>
      <c r="AQ32" s="25"/>
      <c r="AR32" s="25"/>
      <c r="AS32" s="25"/>
      <c r="AT32" s="25"/>
      <c r="AU32" s="25"/>
      <c r="AV32" s="25"/>
      <c r="AW32" s="25"/>
      <c r="AX32" s="25"/>
      <c r="AY32" s="25"/>
      <c r="AZ32" s="25"/>
      <c r="BA32" s="25"/>
      <c r="BB32" s="25"/>
      <c r="BC32" s="25"/>
      <c r="BD32" s="25"/>
      <c r="BE32" s="25"/>
      <c r="BF32" s="25"/>
      <c r="BG32" s="25"/>
      <c r="BH32" s="25"/>
      <c r="BI32" s="25"/>
      <c r="BJ32" s="25"/>
      <c r="BK32" s="25"/>
      <c r="BL32" s="25"/>
      <c r="BM32" s="25"/>
      <c r="BN32" s="25"/>
      <c r="BO32" s="25"/>
      <c r="BP32" s="25"/>
      <c r="BQ32" s="25"/>
      <c r="BR32" s="25"/>
      <c r="BS32" s="25"/>
      <c r="BT32" s="25"/>
      <c r="BU32" s="25"/>
      <c r="BV32" s="25"/>
      <c r="BW32" s="25"/>
      <c r="BX32" s="25"/>
      <c r="BY32" s="25"/>
      <c r="BZ32" s="25"/>
      <c r="CA32" s="25"/>
      <c r="CB32" s="25"/>
      <c r="CC32" s="25"/>
      <c r="CD32" s="25"/>
      <c r="CE32" s="25"/>
      <c r="CF32" s="25"/>
      <c r="CG32" s="25"/>
      <c r="CH32" s="25"/>
      <c r="CI32" s="25"/>
      <c r="CJ32" s="25"/>
      <c r="CK32" s="25"/>
      <c r="CL32" s="25"/>
      <c r="CM32" s="25"/>
      <c r="CN32" s="25"/>
      <c r="CO32" s="25"/>
      <c r="CP32" s="25"/>
      <c r="CQ32" s="25"/>
      <c r="CR32" s="25"/>
      <c r="CS32" s="25"/>
      <c r="CT32" s="25"/>
      <c r="CU32" s="25"/>
      <c r="CV32" s="25"/>
      <c r="CW32" s="25"/>
      <c r="CX32" s="25"/>
      <c r="CY32" s="25"/>
      <c r="CZ32" s="25"/>
      <c r="DA32" s="25"/>
      <c r="DB32" s="25"/>
      <c r="DC32" s="25"/>
      <c r="DD32" s="25"/>
      <c r="DE32" s="25"/>
      <c r="DF32" s="25"/>
      <c r="DG32" s="25"/>
      <c r="DH32" s="25"/>
      <c r="DI32" s="25"/>
      <c r="DJ32" s="25"/>
      <c r="DK32" s="25"/>
      <c r="DL32" s="25"/>
      <c r="DM32" s="25"/>
      <c r="DN32" s="25"/>
      <c r="DO32" s="25"/>
      <c r="DP32" s="25"/>
      <c r="DQ32" s="25"/>
      <c r="DR32" s="25"/>
      <c r="DS32" s="25"/>
      <c r="DT32" s="25"/>
      <c r="DU32" s="25"/>
      <c r="DV32" s="25"/>
      <c r="DW32" s="25"/>
      <c r="DX32" s="25"/>
      <c r="DY32" s="25"/>
      <c r="DZ32" s="25"/>
      <c r="EA32" s="25"/>
      <c r="EB32" s="114">
        <f>H96</f>
        <v>28933.699548173394</v>
      </c>
    </row>
    <row r="33" spans="6:132" x14ac:dyDescent="0.25">
      <c r="F33" s="17">
        <f t="shared" si="175"/>
        <v>24</v>
      </c>
    </row>
    <row r="34" spans="6:132" x14ac:dyDescent="0.25">
      <c r="F34" s="17">
        <f t="shared" si="175"/>
        <v>25</v>
      </c>
      <c r="G34" s="33" t="s">
        <v>109</v>
      </c>
    </row>
    <row r="35" spans="6:132" x14ac:dyDescent="0.25">
      <c r="F35" s="17">
        <f t="shared" si="175"/>
        <v>26</v>
      </c>
      <c r="G35" s="156" t="s">
        <v>110</v>
      </c>
    </row>
    <row r="36" spans="6:132" x14ac:dyDescent="0.25">
      <c r="F36" s="17">
        <f t="shared" si="175"/>
        <v>27</v>
      </c>
      <c r="G36" s="12" t="s">
        <v>111</v>
      </c>
      <c r="H36" s="13">
        <f>Tributos!$B$5*SUM(H28)</f>
        <v>0</v>
      </c>
      <c r="I36" s="13">
        <f>Tributos!$B$5*SUM(I28)</f>
        <v>0</v>
      </c>
      <c r="J36" s="13">
        <f>Tributos!$B$5*SUM(J28)</f>
        <v>0</v>
      </c>
      <c r="K36" s="13">
        <f>Tributos!$B$5*SUM(K28)</f>
        <v>180.39846778262319</v>
      </c>
      <c r="L36" s="13">
        <f>Tributos!$B$5*SUM(L28)</f>
        <v>180.39846778262319</v>
      </c>
      <c r="M36" s="13">
        <f>Tributos!$B$5*SUM(M28)</f>
        <v>180.39846778262319</v>
      </c>
      <c r="N36" s="13">
        <f>Tributos!$B$5*SUM(N28)</f>
        <v>180.39846778262319</v>
      </c>
      <c r="O36" s="13">
        <f>Tributos!$B$5*SUM(O28)</f>
        <v>180.39846778262319</v>
      </c>
      <c r="P36" s="13">
        <f>Tributos!$B$5*SUM(P28)</f>
        <v>180.39846778262319</v>
      </c>
      <c r="Q36" s="13">
        <f>Tributos!$B$5*SUM(Q28)</f>
        <v>180.39846778262319</v>
      </c>
      <c r="R36" s="13">
        <f>Tributos!$B$5*SUM(R28)</f>
        <v>180.39846778262319</v>
      </c>
      <c r="S36" s="13">
        <f>Tributos!$B$5*SUM(S28)</f>
        <v>180.39846778262319</v>
      </c>
      <c r="T36" s="13">
        <f>Tributos!$B$5*SUM(T28)</f>
        <v>180.39846778262319</v>
      </c>
      <c r="U36" s="13">
        <f>Tributos!$B$5*SUM(U28)</f>
        <v>180.39846778262319</v>
      </c>
      <c r="V36" s="13">
        <f>Tributos!$B$5*SUM(V28)</f>
        <v>180.39846778262319</v>
      </c>
      <c r="W36" s="13">
        <f>Tributos!$B$5*SUM(W28)</f>
        <v>185.81042181610189</v>
      </c>
      <c r="X36" s="13">
        <f>Tributos!$B$5*SUM(X28)</f>
        <v>185.81042181610189</v>
      </c>
      <c r="Y36" s="13">
        <f>Tributos!$B$5*SUM(Y28)</f>
        <v>185.81042181610189</v>
      </c>
      <c r="Z36" s="13">
        <f>Tributos!$B$5*SUM(Z28)</f>
        <v>185.81042181610189</v>
      </c>
      <c r="AA36" s="13">
        <f>Tributos!$B$5*SUM(AA28)</f>
        <v>185.81042181610189</v>
      </c>
      <c r="AB36" s="13">
        <f>Tributos!$B$5*SUM(AB28)</f>
        <v>185.81042181610189</v>
      </c>
      <c r="AC36" s="13">
        <f>Tributos!$B$5*SUM(AC28)</f>
        <v>185.81042181610189</v>
      </c>
      <c r="AD36" s="13">
        <f>Tributos!$B$5*SUM(AD28)</f>
        <v>185.81042181610189</v>
      </c>
      <c r="AE36" s="13">
        <f>Tributos!$B$5*SUM(AE28)</f>
        <v>185.81042181610189</v>
      </c>
      <c r="AF36" s="13">
        <f>Tributos!$B$5*SUM(AF28)</f>
        <v>185.81042181610189</v>
      </c>
      <c r="AG36" s="13">
        <f>Tributos!$B$5*SUM(AG28)</f>
        <v>185.81042181610189</v>
      </c>
      <c r="AH36" s="13">
        <f>Tributos!$B$5*SUM(AH28)</f>
        <v>185.81042181610189</v>
      </c>
      <c r="AI36" s="13">
        <f>Tributos!$B$5*SUM(AI28)</f>
        <v>191.38473447058496</v>
      </c>
      <c r="AJ36" s="13">
        <f>Tributos!$B$5*SUM(AJ28)</f>
        <v>191.38473447058496</v>
      </c>
      <c r="AK36" s="13">
        <f>Tributos!$B$5*SUM(AK28)</f>
        <v>191.38473447058496</v>
      </c>
      <c r="AL36" s="13">
        <f>Tributos!$B$5*SUM(AL28)</f>
        <v>191.38473447058496</v>
      </c>
      <c r="AM36" s="13">
        <f>Tributos!$B$5*SUM(AM28)</f>
        <v>191.38473447058496</v>
      </c>
      <c r="AN36" s="13">
        <f>Tributos!$B$5*SUM(AN28)</f>
        <v>191.38473447058496</v>
      </c>
      <c r="AO36" s="13">
        <f>Tributos!$B$5*SUM(AO28)</f>
        <v>191.38473447058496</v>
      </c>
      <c r="AP36" s="13">
        <f>Tributos!$B$5*SUM(AP28)</f>
        <v>191.38473447058496</v>
      </c>
      <c r="AQ36" s="13">
        <f>Tributos!$B$5*SUM(AQ28)</f>
        <v>191.38473447058496</v>
      </c>
      <c r="AR36" s="13">
        <f>Tributos!$B$5*SUM(AR28)</f>
        <v>191.38473447058496</v>
      </c>
      <c r="AS36" s="13">
        <f>Tributos!$B$5*SUM(AS28)</f>
        <v>191.38473447058496</v>
      </c>
      <c r="AT36" s="13">
        <f>Tributos!$B$5*SUM(AT28)</f>
        <v>191.38473447058496</v>
      </c>
      <c r="AU36" s="13">
        <f>Tributos!$B$5*SUM(AU28)</f>
        <v>197.1262765047025</v>
      </c>
      <c r="AV36" s="13">
        <f>Tributos!$B$5*SUM(AV28)</f>
        <v>197.1262765047025</v>
      </c>
      <c r="AW36" s="13">
        <f>Tributos!$B$5*SUM(AW28)</f>
        <v>197.1262765047025</v>
      </c>
      <c r="AX36" s="13">
        <f>Tributos!$B$5*SUM(AX28)</f>
        <v>197.1262765047025</v>
      </c>
      <c r="AY36" s="13">
        <f>Tributos!$B$5*SUM(AY28)</f>
        <v>197.1262765047025</v>
      </c>
      <c r="AZ36" s="13">
        <f>Tributos!$B$5*SUM(AZ28)</f>
        <v>197.1262765047025</v>
      </c>
      <c r="BA36" s="13">
        <f>Tributos!$B$5*SUM(BA28)</f>
        <v>197.1262765047025</v>
      </c>
      <c r="BB36" s="13">
        <f>Tributos!$B$5*SUM(BB28)</f>
        <v>197.1262765047025</v>
      </c>
      <c r="BC36" s="13">
        <f>Tributos!$B$5*SUM(BC28)</f>
        <v>197.1262765047025</v>
      </c>
      <c r="BD36" s="13">
        <f>Tributos!$B$5*SUM(BD28)</f>
        <v>197.1262765047025</v>
      </c>
      <c r="BE36" s="13">
        <f>Tributos!$B$5*SUM(BE28)</f>
        <v>197.1262765047025</v>
      </c>
      <c r="BF36" s="13">
        <f>Tributos!$B$5*SUM(BF28)</f>
        <v>197.1262765047025</v>
      </c>
      <c r="BG36" s="13">
        <f>Tributos!$B$5*SUM(BG28)</f>
        <v>203.04006479984358</v>
      </c>
      <c r="BH36" s="13">
        <f>Tributos!$B$5*SUM(BH28)</f>
        <v>203.04006479984358</v>
      </c>
      <c r="BI36" s="13">
        <f>Tributos!$B$5*SUM(BI28)</f>
        <v>203.04006479984358</v>
      </c>
      <c r="BJ36" s="13">
        <f>Tributos!$B$5*SUM(BJ28)</f>
        <v>203.04006479984358</v>
      </c>
      <c r="BK36" s="13">
        <f>Tributos!$B$5*SUM(BK28)</f>
        <v>203.04006479984358</v>
      </c>
      <c r="BL36" s="13">
        <f>Tributos!$B$5*SUM(BL28)</f>
        <v>203.04006479984358</v>
      </c>
      <c r="BM36" s="13">
        <f>Tributos!$B$5*SUM(BM28)</f>
        <v>203.04006479984358</v>
      </c>
      <c r="BN36" s="13">
        <f>Tributos!$B$5*SUM(BN28)</f>
        <v>203.04006479984358</v>
      </c>
      <c r="BO36" s="13">
        <f>Tributos!$B$5*SUM(BO28)</f>
        <v>203.04006479984358</v>
      </c>
      <c r="BP36" s="13">
        <f>Tributos!$B$5*SUM(BP28)</f>
        <v>203.04006479984358</v>
      </c>
      <c r="BQ36" s="13">
        <f>Tributos!$B$5*SUM(BQ28)</f>
        <v>203.04006479984358</v>
      </c>
      <c r="BR36" s="13">
        <f>Tributos!$B$5*SUM(BR28)</f>
        <v>203.04006479984358</v>
      </c>
      <c r="BS36" s="13">
        <f>Tributos!$B$5*SUM(BS28)</f>
        <v>209.13126674383889</v>
      </c>
      <c r="BT36" s="13">
        <f>Tributos!$B$5*SUM(BT28)</f>
        <v>209.13126674383889</v>
      </c>
      <c r="BU36" s="13">
        <f>Tributos!$B$5*SUM(BU28)</f>
        <v>209.13126674383889</v>
      </c>
      <c r="BV36" s="13">
        <f>Tributos!$B$5*SUM(BV28)</f>
        <v>209.13126674383889</v>
      </c>
      <c r="BW36" s="13">
        <f>Tributos!$B$5*SUM(BW28)</f>
        <v>209.13126674383889</v>
      </c>
      <c r="BX36" s="13">
        <f>Tributos!$B$5*SUM(BX28)</f>
        <v>209.13126674383889</v>
      </c>
      <c r="BY36" s="13">
        <f>Tributos!$B$5*SUM(BY28)</f>
        <v>209.13126674383889</v>
      </c>
      <c r="BZ36" s="13">
        <f>Tributos!$B$5*SUM(BZ28)</f>
        <v>209.13126674383889</v>
      </c>
      <c r="CA36" s="13">
        <f>Tributos!$B$5*SUM(CA28)</f>
        <v>209.13126674383889</v>
      </c>
      <c r="CB36" s="13">
        <f>Tributos!$B$5*SUM(CB28)</f>
        <v>209.13126674383889</v>
      </c>
      <c r="CC36" s="13">
        <f>Tributos!$B$5*SUM(CC28)</f>
        <v>209.13126674383889</v>
      </c>
      <c r="CD36" s="13">
        <f>Tributos!$B$5*SUM(CD28)</f>
        <v>209.13126674383889</v>
      </c>
      <c r="CE36" s="13">
        <f>Tributos!$B$5*SUM(CE28)</f>
        <v>215.40520474615408</v>
      </c>
      <c r="CF36" s="13">
        <f>Tributos!$B$5*SUM(CF28)</f>
        <v>215.40520474615408</v>
      </c>
      <c r="CG36" s="13">
        <f>Tributos!$B$5*SUM(CG28)</f>
        <v>215.40520474615408</v>
      </c>
      <c r="CH36" s="13">
        <f>Tributos!$B$5*SUM(CH28)</f>
        <v>215.40520474615408</v>
      </c>
      <c r="CI36" s="13">
        <f>Tributos!$B$5*SUM(CI28)</f>
        <v>215.40520474615408</v>
      </c>
      <c r="CJ36" s="13">
        <f>Tributos!$B$5*SUM(CJ28)</f>
        <v>215.40520474615408</v>
      </c>
      <c r="CK36" s="13">
        <f>Tributos!$B$5*SUM(CK28)</f>
        <v>215.40520474615408</v>
      </c>
      <c r="CL36" s="13">
        <f>Tributos!$B$5*SUM(CL28)</f>
        <v>215.40520474615408</v>
      </c>
      <c r="CM36" s="13">
        <f>Tributos!$B$5*SUM(CM28)</f>
        <v>215.40520474615408</v>
      </c>
      <c r="CN36" s="13">
        <f>Tributos!$B$5*SUM(CN28)</f>
        <v>215.40520474615408</v>
      </c>
      <c r="CO36" s="13">
        <f>Tributos!$B$5*SUM(CO28)</f>
        <v>215.40520474615408</v>
      </c>
      <c r="CP36" s="13">
        <f>Tributos!$B$5*SUM(CP28)</f>
        <v>215.40520474615408</v>
      </c>
      <c r="CQ36" s="13">
        <f>Tributos!$B$5*SUM(CQ28)</f>
        <v>221.86736088853871</v>
      </c>
      <c r="CR36" s="13">
        <f>Tributos!$B$5*SUM(CR28)</f>
        <v>221.86736088853871</v>
      </c>
      <c r="CS36" s="13">
        <f>Tributos!$B$5*SUM(CS28)</f>
        <v>221.86736088853871</v>
      </c>
      <c r="CT36" s="13">
        <f>Tributos!$B$5*SUM(CT28)</f>
        <v>221.86736088853871</v>
      </c>
      <c r="CU36" s="13">
        <f>Tributos!$B$5*SUM(CU28)</f>
        <v>221.86736088853871</v>
      </c>
      <c r="CV36" s="13">
        <f>Tributos!$B$5*SUM(CV28)</f>
        <v>221.86736088853871</v>
      </c>
      <c r="CW36" s="13">
        <f>Tributos!$B$5*SUM(CW28)</f>
        <v>221.86736088853871</v>
      </c>
      <c r="CX36" s="13">
        <f>Tributos!$B$5*SUM(CX28)</f>
        <v>221.86736088853871</v>
      </c>
      <c r="CY36" s="13">
        <f>Tributos!$B$5*SUM(CY28)</f>
        <v>221.86736088853871</v>
      </c>
      <c r="CZ36" s="13">
        <f>Tributos!$B$5*SUM(CZ28)</f>
        <v>221.86736088853871</v>
      </c>
      <c r="DA36" s="13">
        <f>Tributos!$B$5*SUM(DA28)</f>
        <v>221.86736088853871</v>
      </c>
      <c r="DB36" s="13">
        <f>Tributos!$B$5*SUM(DB28)</f>
        <v>221.86736088853871</v>
      </c>
      <c r="DC36" s="13">
        <f>Tributos!$B$5*SUM(DC28)</f>
        <v>228.52338171519486</v>
      </c>
      <c r="DD36" s="13">
        <f>Tributos!$B$5*SUM(DD28)</f>
        <v>228.52338171519486</v>
      </c>
      <c r="DE36" s="13">
        <f>Tributos!$B$5*SUM(DE28)</f>
        <v>228.52338171519486</v>
      </c>
      <c r="DF36" s="13">
        <f>Tributos!$B$5*SUM(DF28)</f>
        <v>228.52338171519486</v>
      </c>
      <c r="DG36" s="13">
        <f>Tributos!$B$5*SUM(DG28)</f>
        <v>228.52338171519486</v>
      </c>
      <c r="DH36" s="13">
        <f>Tributos!$B$5*SUM(DH28)</f>
        <v>228.52338171519486</v>
      </c>
      <c r="DI36" s="13">
        <f>Tributos!$B$5*SUM(DI28)</f>
        <v>228.52338171519486</v>
      </c>
      <c r="DJ36" s="13">
        <f>Tributos!$B$5*SUM(DJ28)</f>
        <v>228.52338171519486</v>
      </c>
      <c r="DK36" s="13">
        <f>Tributos!$B$5*SUM(DK28)</f>
        <v>228.52338171519486</v>
      </c>
      <c r="DL36" s="13">
        <f>Tributos!$B$5*SUM(DL28)</f>
        <v>228.52338171519486</v>
      </c>
      <c r="DM36" s="13">
        <f>Tributos!$B$5*SUM(DM28)</f>
        <v>228.52338171519486</v>
      </c>
      <c r="DN36" s="13">
        <f>Tributos!$B$5*SUM(DN28)</f>
        <v>228.52338171519486</v>
      </c>
      <c r="DO36" s="13">
        <f>Tributos!$B$5*SUM(DO28)</f>
        <v>235.37908316665073</v>
      </c>
      <c r="DP36" s="13">
        <f>Tributos!$B$5*SUM(DP28)</f>
        <v>235.37908316665073</v>
      </c>
      <c r="DQ36" s="13">
        <f>Tributos!$B$5*SUM(DQ28)</f>
        <v>235.37908316665073</v>
      </c>
      <c r="DR36" s="13">
        <f>Tributos!$B$5*SUM(DR28)</f>
        <v>235.37908316665073</v>
      </c>
      <c r="DS36" s="13">
        <f>Tributos!$B$5*SUM(DS28)</f>
        <v>235.37908316665073</v>
      </c>
      <c r="DT36" s="13">
        <f>Tributos!$B$5*SUM(DT28)</f>
        <v>235.37908316665073</v>
      </c>
      <c r="DU36" s="13">
        <f>Tributos!$B$5*SUM(DU28)</f>
        <v>235.37908316665073</v>
      </c>
      <c r="DV36" s="13">
        <f>Tributos!$B$5*SUM(DV28)</f>
        <v>235.37908316665073</v>
      </c>
      <c r="DW36" s="13">
        <f>Tributos!$B$5*SUM(DW28)</f>
        <v>235.37908316665073</v>
      </c>
      <c r="DX36" s="13">
        <f>Tributos!$B$5*SUM(DX28)</f>
        <v>235.37908316665073</v>
      </c>
      <c r="DY36" s="13">
        <f>Tributos!$B$5*SUM(DY28)</f>
        <v>235.37908316665073</v>
      </c>
      <c r="DZ36" s="13">
        <f>Tributos!$B$5*SUM(DZ28)</f>
        <v>235.37908316665073</v>
      </c>
      <c r="EA36" s="13">
        <f>Tributos!$B$5*SUM(EA28)</f>
        <v>0</v>
      </c>
      <c r="EB36" s="13">
        <f>Tributos!$B$5*SUM(EB28)</f>
        <v>0</v>
      </c>
    </row>
    <row r="37" spans="6:132" x14ac:dyDescent="0.25">
      <c r="F37" s="17">
        <f t="shared" si="175"/>
        <v>28</v>
      </c>
    </row>
    <row r="38" spans="6:132" x14ac:dyDescent="0.25">
      <c r="F38" s="17">
        <f t="shared" si="175"/>
        <v>29</v>
      </c>
      <c r="G38" s="160" t="s">
        <v>112</v>
      </c>
    </row>
    <row r="39" spans="6:132" x14ac:dyDescent="0.25">
      <c r="F39" s="17">
        <f t="shared" si="175"/>
        <v>30</v>
      </c>
      <c r="G39" s="31" t="s">
        <v>113</v>
      </c>
    </row>
    <row r="40" spans="6:132" x14ac:dyDescent="0.25">
      <c r="F40" s="17">
        <f t="shared" si="175"/>
        <v>31</v>
      </c>
      <c r="G40" s="12"/>
      <c r="H40" s="25">
        <f t="shared" ref="H40:AS40" si="189">SUM(H28)-H36</f>
        <v>0</v>
      </c>
      <c r="I40" s="25">
        <f t="shared" si="189"/>
        <v>0</v>
      </c>
      <c r="J40" s="25">
        <f t="shared" si="189"/>
        <v>0</v>
      </c>
      <c r="K40" s="25">
        <f t="shared" si="189"/>
        <v>4762.0253070837662</v>
      </c>
      <c r="L40" s="25">
        <f t="shared" si="189"/>
        <v>4762.0253070837662</v>
      </c>
      <c r="M40" s="25">
        <f t="shared" si="189"/>
        <v>4762.0253070837662</v>
      </c>
      <c r="N40" s="25">
        <f t="shared" si="189"/>
        <v>4762.0253070837662</v>
      </c>
      <c r="O40" s="25">
        <f t="shared" si="189"/>
        <v>4762.0253070837662</v>
      </c>
      <c r="P40" s="25">
        <f t="shared" si="189"/>
        <v>4762.0253070837662</v>
      </c>
      <c r="Q40" s="25">
        <f t="shared" si="189"/>
        <v>4762.0253070837662</v>
      </c>
      <c r="R40" s="25">
        <f t="shared" si="189"/>
        <v>4762.0253070837662</v>
      </c>
      <c r="S40" s="25">
        <f t="shared" si="189"/>
        <v>4762.0253070837662</v>
      </c>
      <c r="T40" s="25">
        <f t="shared" si="189"/>
        <v>4762.0253070837662</v>
      </c>
      <c r="U40" s="25">
        <f t="shared" si="189"/>
        <v>4762.0253070837662</v>
      </c>
      <c r="V40" s="25">
        <f t="shared" si="189"/>
        <v>4762.0253070837662</v>
      </c>
      <c r="W40" s="25">
        <f t="shared" si="189"/>
        <v>4904.8860662962798</v>
      </c>
      <c r="X40" s="25">
        <f t="shared" si="189"/>
        <v>4904.8860662962798</v>
      </c>
      <c r="Y40" s="25">
        <f t="shared" si="189"/>
        <v>4904.8860662962798</v>
      </c>
      <c r="Z40" s="25">
        <f t="shared" si="189"/>
        <v>4904.8860662962798</v>
      </c>
      <c r="AA40" s="25">
        <f t="shared" si="189"/>
        <v>4904.8860662962798</v>
      </c>
      <c r="AB40" s="25">
        <f t="shared" si="189"/>
        <v>4904.8860662962798</v>
      </c>
      <c r="AC40" s="25">
        <f t="shared" si="189"/>
        <v>4904.8860662962798</v>
      </c>
      <c r="AD40" s="25">
        <f t="shared" si="189"/>
        <v>4904.8860662962798</v>
      </c>
      <c r="AE40" s="25">
        <f t="shared" si="189"/>
        <v>4904.8860662962798</v>
      </c>
      <c r="AF40" s="25">
        <f t="shared" si="189"/>
        <v>4904.8860662962798</v>
      </c>
      <c r="AG40" s="25">
        <f t="shared" si="189"/>
        <v>4904.8860662962798</v>
      </c>
      <c r="AH40" s="25">
        <f t="shared" si="189"/>
        <v>4904.8860662962798</v>
      </c>
      <c r="AI40" s="25">
        <f t="shared" ref="AI40:AN40" si="190">SUM(AI28)-AI36</f>
        <v>5052.0326482851679</v>
      </c>
      <c r="AJ40" s="25">
        <f t="shared" si="190"/>
        <v>5052.0326482851679</v>
      </c>
      <c r="AK40" s="25">
        <f t="shared" si="190"/>
        <v>5052.0326482851679</v>
      </c>
      <c r="AL40" s="25">
        <f t="shared" si="190"/>
        <v>5052.0326482851679</v>
      </c>
      <c r="AM40" s="25">
        <f t="shared" si="190"/>
        <v>5052.0326482851679</v>
      </c>
      <c r="AN40" s="25">
        <f t="shared" si="190"/>
        <v>5052.0326482851679</v>
      </c>
      <c r="AO40" s="25">
        <f t="shared" si="189"/>
        <v>5052.0326482851679</v>
      </c>
      <c r="AP40" s="25">
        <f t="shared" si="189"/>
        <v>5052.0326482851679</v>
      </c>
      <c r="AQ40" s="25">
        <f t="shared" si="189"/>
        <v>5052.0326482851679</v>
      </c>
      <c r="AR40" s="25">
        <f t="shared" si="189"/>
        <v>5052.0326482851679</v>
      </c>
      <c r="AS40" s="25">
        <f t="shared" si="189"/>
        <v>5052.0326482851679</v>
      </c>
      <c r="AT40" s="25">
        <f t="shared" ref="AT40" si="191">SUM(AT28)-AT36</f>
        <v>5052.0326482851679</v>
      </c>
      <c r="AU40" s="25">
        <f t="shared" ref="AU40:AZ40" si="192">SUM(AU28)-AU36</f>
        <v>5203.5936277337232</v>
      </c>
      <c r="AV40" s="25">
        <f t="shared" si="192"/>
        <v>5203.5936277337232</v>
      </c>
      <c r="AW40" s="25">
        <f t="shared" si="192"/>
        <v>5203.5936277337232</v>
      </c>
      <c r="AX40" s="25">
        <f t="shared" si="192"/>
        <v>5203.5936277337232</v>
      </c>
      <c r="AY40" s="25">
        <f t="shared" si="192"/>
        <v>5203.5936277337232</v>
      </c>
      <c r="AZ40" s="25">
        <f t="shared" si="192"/>
        <v>5203.5936277337232</v>
      </c>
      <c r="BA40" s="25">
        <f t="shared" ref="BA40:BF40" si="193">SUM(BA28)-BA36</f>
        <v>5203.5936277337232</v>
      </c>
      <c r="BB40" s="25">
        <f t="shared" si="193"/>
        <v>5203.5936277337232</v>
      </c>
      <c r="BC40" s="25">
        <f t="shared" si="193"/>
        <v>5203.5936277337232</v>
      </c>
      <c r="BD40" s="25">
        <f t="shared" si="193"/>
        <v>5203.5936277337232</v>
      </c>
      <c r="BE40" s="25">
        <f t="shared" si="193"/>
        <v>5203.5936277337232</v>
      </c>
      <c r="BF40" s="25">
        <f t="shared" si="193"/>
        <v>5203.5936277337232</v>
      </c>
      <c r="BG40" s="25">
        <f t="shared" ref="BG40:BL40" si="194">SUM(BG28)-BG36</f>
        <v>5359.7014365657342</v>
      </c>
      <c r="BH40" s="25">
        <f t="shared" si="194"/>
        <v>5359.7014365657342</v>
      </c>
      <c r="BI40" s="25">
        <f t="shared" si="194"/>
        <v>5359.7014365657342</v>
      </c>
      <c r="BJ40" s="25">
        <f t="shared" si="194"/>
        <v>5359.7014365657342</v>
      </c>
      <c r="BK40" s="25">
        <f t="shared" si="194"/>
        <v>5359.7014365657342</v>
      </c>
      <c r="BL40" s="25">
        <f t="shared" si="194"/>
        <v>5359.7014365657342</v>
      </c>
      <c r="BM40" s="25">
        <f t="shared" ref="BM40:CC40" si="195">SUM(BM28)-BM36</f>
        <v>5359.7014365657342</v>
      </c>
      <c r="BN40" s="25">
        <f t="shared" si="195"/>
        <v>5359.7014365657342</v>
      </c>
      <c r="BO40" s="25">
        <f t="shared" si="195"/>
        <v>5359.7014365657342</v>
      </c>
      <c r="BP40" s="25">
        <f t="shared" ref="BP40:BQ40" si="196">SUM(BP28)-BP36</f>
        <v>5359.7014365657342</v>
      </c>
      <c r="BQ40" s="25">
        <f t="shared" si="196"/>
        <v>5359.7014365657342</v>
      </c>
      <c r="BR40" s="25">
        <f t="shared" si="195"/>
        <v>5359.7014365657342</v>
      </c>
      <c r="BS40" s="25">
        <f t="shared" ref="BS40:BT40" si="197">SUM(BS28)-BS36</f>
        <v>5520.4924796627065</v>
      </c>
      <c r="BT40" s="25">
        <f t="shared" si="197"/>
        <v>5520.4924796627065</v>
      </c>
      <c r="BU40" s="25">
        <f t="shared" si="195"/>
        <v>5520.4924796627065</v>
      </c>
      <c r="BV40" s="25">
        <f t="shared" si="195"/>
        <v>5520.4924796627065</v>
      </c>
      <c r="BW40" s="25">
        <f t="shared" si="195"/>
        <v>5520.4924796627065</v>
      </c>
      <c r="BX40" s="25">
        <f t="shared" si="195"/>
        <v>5520.4924796627065</v>
      </c>
      <c r="BY40" s="25">
        <f t="shared" si="195"/>
        <v>5520.4924796627065</v>
      </c>
      <c r="BZ40" s="25">
        <f t="shared" si="195"/>
        <v>5520.4924796627065</v>
      </c>
      <c r="CA40" s="25">
        <f t="shared" si="195"/>
        <v>5520.4924796627065</v>
      </c>
      <c r="CB40" s="25">
        <f t="shared" si="195"/>
        <v>5520.4924796627065</v>
      </c>
      <c r="CC40" s="25">
        <f t="shared" si="195"/>
        <v>5520.4924796627065</v>
      </c>
      <c r="CD40" s="25">
        <f t="shared" ref="CD40:CI40" si="198">SUM(CD28)-CD36</f>
        <v>5520.4924796627065</v>
      </c>
      <c r="CE40" s="25">
        <f t="shared" si="198"/>
        <v>5686.1072540525884</v>
      </c>
      <c r="CF40" s="25">
        <f t="shared" si="198"/>
        <v>5686.1072540525884</v>
      </c>
      <c r="CG40" s="25">
        <f t="shared" si="198"/>
        <v>5686.1072540525884</v>
      </c>
      <c r="CH40" s="25">
        <f t="shared" si="198"/>
        <v>5686.1072540525884</v>
      </c>
      <c r="CI40" s="25">
        <f t="shared" si="198"/>
        <v>5686.1072540525884</v>
      </c>
      <c r="CJ40" s="25">
        <f t="shared" ref="CJ40:CU40" si="199">SUM(CJ28)-CJ36</f>
        <v>5686.1072540525884</v>
      </c>
      <c r="CK40" s="25">
        <f t="shared" si="199"/>
        <v>5686.1072540525884</v>
      </c>
      <c r="CL40" s="25">
        <f t="shared" si="199"/>
        <v>5686.1072540525884</v>
      </c>
      <c r="CM40" s="25">
        <f t="shared" si="199"/>
        <v>5686.1072540525884</v>
      </c>
      <c r="CN40" s="25">
        <f t="shared" ref="CN40" si="200">SUM(CN28)-CN36</f>
        <v>5686.1072540525884</v>
      </c>
      <c r="CO40" s="25">
        <f t="shared" si="199"/>
        <v>5686.1072540525884</v>
      </c>
      <c r="CP40" s="25">
        <f t="shared" si="199"/>
        <v>5686.1072540525884</v>
      </c>
      <c r="CQ40" s="25">
        <f t="shared" si="199"/>
        <v>5856.6904716741665</v>
      </c>
      <c r="CR40" s="25">
        <f t="shared" si="199"/>
        <v>5856.6904716741665</v>
      </c>
      <c r="CS40" s="25">
        <f t="shared" si="199"/>
        <v>5856.6904716741665</v>
      </c>
      <c r="CT40" s="25">
        <f t="shared" si="199"/>
        <v>5856.6904716741665</v>
      </c>
      <c r="CU40" s="25">
        <f t="shared" si="199"/>
        <v>5856.6904716741665</v>
      </c>
      <c r="CV40" s="25">
        <f t="shared" ref="CV40:DS40" si="201">SUM(CV28)-CV36</f>
        <v>5856.6904716741665</v>
      </c>
      <c r="CW40" s="25">
        <f t="shared" si="201"/>
        <v>5856.6904716741665</v>
      </c>
      <c r="CX40" s="25">
        <f t="shared" si="201"/>
        <v>5856.6904716741665</v>
      </c>
      <c r="CY40" s="25">
        <f t="shared" si="201"/>
        <v>5856.6904716741665</v>
      </c>
      <c r="CZ40" s="25">
        <f t="shared" si="201"/>
        <v>5856.6904716741665</v>
      </c>
      <c r="DA40" s="25">
        <f t="shared" si="201"/>
        <v>5856.6904716741665</v>
      </c>
      <c r="DB40" s="25">
        <f t="shared" si="201"/>
        <v>5856.6904716741665</v>
      </c>
      <c r="DC40" s="25">
        <f t="shared" si="201"/>
        <v>6032.391185824391</v>
      </c>
      <c r="DD40" s="25">
        <f t="shared" si="201"/>
        <v>6032.391185824391</v>
      </c>
      <c r="DE40" s="25">
        <f t="shared" si="201"/>
        <v>6032.391185824391</v>
      </c>
      <c r="DF40" s="25">
        <f t="shared" si="201"/>
        <v>6032.391185824391</v>
      </c>
      <c r="DG40" s="25">
        <f t="shared" si="201"/>
        <v>6032.391185824391</v>
      </c>
      <c r="DH40" s="25">
        <f t="shared" si="201"/>
        <v>6032.391185824391</v>
      </c>
      <c r="DI40" s="25">
        <f t="shared" si="201"/>
        <v>6032.391185824391</v>
      </c>
      <c r="DJ40" s="25">
        <f t="shared" si="201"/>
        <v>6032.391185824391</v>
      </c>
      <c r="DK40" s="25">
        <f t="shared" si="201"/>
        <v>6032.391185824391</v>
      </c>
      <c r="DL40" s="25">
        <f t="shared" si="201"/>
        <v>6032.391185824391</v>
      </c>
      <c r="DM40" s="25">
        <f t="shared" si="201"/>
        <v>6032.391185824391</v>
      </c>
      <c r="DN40" s="25">
        <f t="shared" si="201"/>
        <v>6032.391185824391</v>
      </c>
      <c r="DO40" s="25">
        <f t="shared" si="201"/>
        <v>6213.3629213991226</v>
      </c>
      <c r="DP40" s="25">
        <f t="shared" si="201"/>
        <v>6213.3629213991226</v>
      </c>
      <c r="DQ40" s="25">
        <f t="shared" si="201"/>
        <v>6213.3629213991226</v>
      </c>
      <c r="DR40" s="25">
        <f t="shared" si="201"/>
        <v>6213.3629213991226</v>
      </c>
      <c r="DS40" s="25">
        <f t="shared" si="201"/>
        <v>6213.3629213991226</v>
      </c>
      <c r="DT40" s="25">
        <f t="shared" ref="DT40:DY40" si="202">SUM(DT28)-DT36</f>
        <v>6213.3629213991226</v>
      </c>
      <c r="DU40" s="25">
        <f t="shared" si="202"/>
        <v>6213.3629213991226</v>
      </c>
      <c r="DV40" s="25">
        <f t="shared" si="202"/>
        <v>6213.3629213991226</v>
      </c>
      <c r="DW40" s="25">
        <f t="shared" si="202"/>
        <v>6213.3629213991226</v>
      </c>
      <c r="DX40" s="25">
        <f t="shared" si="202"/>
        <v>6213.3629213991226</v>
      </c>
      <c r="DY40" s="25">
        <f t="shared" si="202"/>
        <v>6213.3629213991226</v>
      </c>
      <c r="DZ40" s="25">
        <f>SUM(DZ28)-DZ36</f>
        <v>6213.3629213991226</v>
      </c>
      <c r="EA40" s="25">
        <f>SUM(EA28)-EA36</f>
        <v>0</v>
      </c>
      <c r="EB40" s="25">
        <f>SUM(EB28)-EB36</f>
        <v>0</v>
      </c>
    </row>
    <row r="41" spans="6:132" x14ac:dyDescent="0.25">
      <c r="F41" s="17">
        <f t="shared" si="175"/>
        <v>32</v>
      </c>
      <c r="G41" s="31" t="s">
        <v>114</v>
      </c>
    </row>
    <row r="42" spans="6:132" x14ac:dyDescent="0.25">
      <c r="F42" s="17">
        <f t="shared" si="175"/>
        <v>33</v>
      </c>
      <c r="G42" s="12"/>
      <c r="H42" s="25">
        <f>SUM(H31:H32)</f>
        <v>0</v>
      </c>
      <c r="I42" s="25">
        <f t="shared" ref="I42:AS42" si="203">SUM(I31:I32)</f>
        <v>0</v>
      </c>
      <c r="J42" s="25">
        <f t="shared" si="203"/>
        <v>0</v>
      </c>
      <c r="K42" s="25">
        <f t="shared" si="203"/>
        <v>0</v>
      </c>
      <c r="L42" s="25">
        <f t="shared" si="203"/>
        <v>0</v>
      </c>
      <c r="M42" s="25">
        <f t="shared" si="203"/>
        <v>0</v>
      </c>
      <c r="N42" s="25">
        <f t="shared" si="203"/>
        <v>0</v>
      </c>
      <c r="O42" s="25">
        <f t="shared" si="203"/>
        <v>0</v>
      </c>
      <c r="P42" s="25">
        <f t="shared" si="203"/>
        <v>0</v>
      </c>
      <c r="Q42" s="25">
        <f t="shared" si="203"/>
        <v>0</v>
      </c>
      <c r="R42" s="25">
        <f t="shared" si="203"/>
        <v>0</v>
      </c>
      <c r="S42" s="25">
        <f t="shared" si="203"/>
        <v>0</v>
      </c>
      <c r="T42" s="25">
        <f t="shared" si="203"/>
        <v>0</v>
      </c>
      <c r="U42" s="25">
        <f t="shared" si="203"/>
        <v>0</v>
      </c>
      <c r="V42" s="25">
        <f t="shared" si="203"/>
        <v>0</v>
      </c>
      <c r="W42" s="25">
        <f t="shared" si="203"/>
        <v>0</v>
      </c>
      <c r="X42" s="25">
        <f t="shared" si="203"/>
        <v>0</v>
      </c>
      <c r="Y42" s="25">
        <f t="shared" si="203"/>
        <v>0</v>
      </c>
      <c r="Z42" s="25">
        <f t="shared" si="203"/>
        <v>0</v>
      </c>
      <c r="AA42" s="25">
        <f t="shared" si="203"/>
        <v>0</v>
      </c>
      <c r="AB42" s="25">
        <f t="shared" si="203"/>
        <v>0</v>
      </c>
      <c r="AC42" s="25">
        <f t="shared" si="203"/>
        <v>0</v>
      </c>
      <c r="AD42" s="25">
        <f t="shared" si="203"/>
        <v>0</v>
      </c>
      <c r="AE42" s="25">
        <f t="shared" si="203"/>
        <v>0</v>
      </c>
      <c r="AF42" s="25">
        <f t="shared" si="203"/>
        <v>0</v>
      </c>
      <c r="AG42" s="25">
        <f t="shared" si="203"/>
        <v>0</v>
      </c>
      <c r="AH42" s="25">
        <f t="shared" si="203"/>
        <v>0</v>
      </c>
      <c r="AI42" s="25">
        <f t="shared" ref="AI42:AN42" si="204">SUM(AI31:AI32)</f>
        <v>0</v>
      </c>
      <c r="AJ42" s="25">
        <f t="shared" si="204"/>
        <v>0</v>
      </c>
      <c r="AK42" s="25">
        <f t="shared" si="204"/>
        <v>0</v>
      </c>
      <c r="AL42" s="25">
        <f t="shared" si="204"/>
        <v>0</v>
      </c>
      <c r="AM42" s="25">
        <f t="shared" si="204"/>
        <v>0</v>
      </c>
      <c r="AN42" s="25">
        <f t="shared" si="204"/>
        <v>0</v>
      </c>
      <c r="AO42" s="25">
        <f t="shared" si="203"/>
        <v>0</v>
      </c>
      <c r="AP42" s="25">
        <f t="shared" si="203"/>
        <v>0</v>
      </c>
      <c r="AQ42" s="25">
        <f t="shared" si="203"/>
        <v>0</v>
      </c>
      <c r="AR42" s="25">
        <f t="shared" si="203"/>
        <v>0</v>
      </c>
      <c r="AS42" s="25">
        <f t="shared" si="203"/>
        <v>0</v>
      </c>
      <c r="AT42" s="25">
        <f t="shared" ref="AT42:BE42" si="205">SUM(AT31:AT32)</f>
        <v>0</v>
      </c>
      <c r="AU42" s="25">
        <f t="shared" si="205"/>
        <v>0</v>
      </c>
      <c r="AV42" s="25">
        <f t="shared" si="205"/>
        <v>0</v>
      </c>
      <c r="AW42" s="25">
        <f t="shared" si="205"/>
        <v>0</v>
      </c>
      <c r="AX42" s="25">
        <f t="shared" si="205"/>
        <v>0</v>
      </c>
      <c r="AY42" s="25">
        <f t="shared" si="205"/>
        <v>0</v>
      </c>
      <c r="AZ42" s="25">
        <f t="shared" si="205"/>
        <v>0</v>
      </c>
      <c r="BA42" s="25">
        <f t="shared" si="205"/>
        <v>0</v>
      </c>
      <c r="BB42" s="25">
        <f t="shared" si="205"/>
        <v>0</v>
      </c>
      <c r="BC42" s="25">
        <f t="shared" si="205"/>
        <v>0</v>
      </c>
      <c r="BD42" s="25">
        <f t="shared" si="205"/>
        <v>0</v>
      </c>
      <c r="BE42" s="25">
        <f t="shared" si="205"/>
        <v>0</v>
      </c>
      <c r="BF42" s="25">
        <f t="shared" ref="BF42:BV42" si="206">SUM(BF31:BF32)</f>
        <v>0</v>
      </c>
      <c r="BG42" s="25">
        <f t="shared" si="206"/>
        <v>0</v>
      </c>
      <c r="BH42" s="25">
        <f t="shared" si="206"/>
        <v>0</v>
      </c>
      <c r="BI42" s="25">
        <f t="shared" si="206"/>
        <v>0</v>
      </c>
      <c r="BJ42" s="25">
        <f t="shared" si="206"/>
        <v>0</v>
      </c>
      <c r="BK42" s="25">
        <f t="shared" si="206"/>
        <v>0</v>
      </c>
      <c r="BL42" s="25">
        <f t="shared" si="206"/>
        <v>0</v>
      </c>
      <c r="BM42" s="25">
        <f t="shared" si="206"/>
        <v>0</v>
      </c>
      <c r="BN42" s="25">
        <f t="shared" si="206"/>
        <v>0</v>
      </c>
      <c r="BO42" s="25">
        <f t="shared" si="206"/>
        <v>0</v>
      </c>
      <c r="BP42" s="25">
        <f t="shared" ref="BP42:BQ42" si="207">SUM(BP31:BP32)</f>
        <v>0</v>
      </c>
      <c r="BQ42" s="25">
        <f t="shared" si="207"/>
        <v>0</v>
      </c>
      <c r="BR42" s="25">
        <f t="shared" si="206"/>
        <v>0</v>
      </c>
      <c r="BS42" s="25">
        <f t="shared" ref="BS42:BT42" si="208">SUM(BS31:BS32)</f>
        <v>0</v>
      </c>
      <c r="BT42" s="25">
        <f t="shared" si="208"/>
        <v>0</v>
      </c>
      <c r="BU42" s="25">
        <f t="shared" si="206"/>
        <v>0</v>
      </c>
      <c r="BV42" s="25">
        <f t="shared" si="206"/>
        <v>0</v>
      </c>
      <c r="BW42" s="25">
        <f t="shared" ref="BW42:CH42" si="209">SUM(BW31:BW32)</f>
        <v>0</v>
      </c>
      <c r="BX42" s="25">
        <f t="shared" si="209"/>
        <v>0</v>
      </c>
      <c r="BY42" s="25">
        <f t="shared" si="209"/>
        <v>0</v>
      </c>
      <c r="BZ42" s="25">
        <f t="shared" si="209"/>
        <v>0</v>
      </c>
      <c r="CA42" s="25">
        <f t="shared" si="209"/>
        <v>0</v>
      </c>
      <c r="CB42" s="25">
        <f t="shared" si="209"/>
        <v>0</v>
      </c>
      <c r="CC42" s="25">
        <f t="shared" si="209"/>
        <v>0</v>
      </c>
      <c r="CD42" s="25">
        <f t="shared" si="209"/>
        <v>0</v>
      </c>
      <c r="CE42" s="25">
        <f t="shared" si="209"/>
        <v>0</v>
      </c>
      <c r="CF42" s="25">
        <f t="shared" si="209"/>
        <v>0</v>
      </c>
      <c r="CG42" s="25">
        <f t="shared" si="209"/>
        <v>0</v>
      </c>
      <c r="CH42" s="25">
        <f t="shared" si="209"/>
        <v>0</v>
      </c>
      <c r="CI42" s="25">
        <f t="shared" ref="CI42:CT42" si="210">SUM(CI31:CI32)</f>
        <v>0</v>
      </c>
      <c r="CJ42" s="25">
        <f t="shared" si="210"/>
        <v>0</v>
      </c>
      <c r="CK42" s="25">
        <f t="shared" si="210"/>
        <v>0</v>
      </c>
      <c r="CL42" s="25">
        <f t="shared" si="210"/>
        <v>0</v>
      </c>
      <c r="CM42" s="25">
        <f t="shared" si="210"/>
        <v>0</v>
      </c>
      <c r="CN42" s="25">
        <f t="shared" ref="CN42" si="211">SUM(CN31:CN32)</f>
        <v>0</v>
      </c>
      <c r="CO42" s="25">
        <f t="shared" si="210"/>
        <v>0</v>
      </c>
      <c r="CP42" s="25">
        <f t="shared" si="210"/>
        <v>0</v>
      </c>
      <c r="CQ42" s="25">
        <f t="shared" si="210"/>
        <v>0</v>
      </c>
      <c r="CR42" s="25">
        <f t="shared" si="210"/>
        <v>0</v>
      </c>
      <c r="CS42" s="25">
        <f t="shared" si="210"/>
        <v>0</v>
      </c>
      <c r="CT42" s="25">
        <f t="shared" si="210"/>
        <v>0</v>
      </c>
      <c r="CU42" s="25">
        <f t="shared" ref="CU42:DR42" si="212">SUM(CU31:CU32)</f>
        <v>0</v>
      </c>
      <c r="CV42" s="25">
        <f t="shared" si="212"/>
        <v>0</v>
      </c>
      <c r="CW42" s="25">
        <f t="shared" si="212"/>
        <v>0</v>
      </c>
      <c r="CX42" s="25">
        <f t="shared" si="212"/>
        <v>0</v>
      </c>
      <c r="CY42" s="25">
        <f t="shared" si="212"/>
        <v>0</v>
      </c>
      <c r="CZ42" s="25">
        <f t="shared" si="212"/>
        <v>0</v>
      </c>
      <c r="DA42" s="25">
        <f t="shared" si="212"/>
        <v>0</v>
      </c>
      <c r="DB42" s="25">
        <f t="shared" si="212"/>
        <v>0</v>
      </c>
      <c r="DC42" s="25">
        <f t="shared" si="212"/>
        <v>0</v>
      </c>
      <c r="DD42" s="25">
        <f t="shared" si="212"/>
        <v>0</v>
      </c>
      <c r="DE42" s="25">
        <f t="shared" si="212"/>
        <v>0</v>
      </c>
      <c r="DF42" s="25">
        <f t="shared" si="212"/>
        <v>0</v>
      </c>
      <c r="DG42" s="25">
        <f t="shared" si="212"/>
        <v>0</v>
      </c>
      <c r="DH42" s="25">
        <f t="shared" si="212"/>
        <v>0</v>
      </c>
      <c r="DI42" s="25">
        <f t="shared" si="212"/>
        <v>0</v>
      </c>
      <c r="DJ42" s="25">
        <f t="shared" si="212"/>
        <v>0</v>
      </c>
      <c r="DK42" s="25">
        <f t="shared" si="212"/>
        <v>0</v>
      </c>
      <c r="DL42" s="25">
        <f t="shared" si="212"/>
        <v>0</v>
      </c>
      <c r="DM42" s="25">
        <f t="shared" si="212"/>
        <v>0</v>
      </c>
      <c r="DN42" s="25">
        <f t="shared" si="212"/>
        <v>0</v>
      </c>
      <c r="DO42" s="25">
        <f t="shared" si="212"/>
        <v>0</v>
      </c>
      <c r="DP42" s="25">
        <f t="shared" si="212"/>
        <v>0</v>
      </c>
      <c r="DQ42" s="25">
        <f t="shared" si="212"/>
        <v>0</v>
      </c>
      <c r="DR42" s="25">
        <f t="shared" si="212"/>
        <v>0</v>
      </c>
      <c r="DS42" s="25">
        <f t="shared" ref="DS42:DY42" si="213">SUM(DS31:DS32)</f>
        <v>0</v>
      </c>
      <c r="DT42" s="25">
        <f t="shared" si="213"/>
        <v>0</v>
      </c>
      <c r="DU42" s="25">
        <f t="shared" si="213"/>
        <v>0</v>
      </c>
      <c r="DV42" s="25">
        <f t="shared" si="213"/>
        <v>0</v>
      </c>
      <c r="DW42" s="25">
        <f t="shared" si="213"/>
        <v>0</v>
      </c>
      <c r="DX42" s="25">
        <f t="shared" si="213"/>
        <v>0</v>
      </c>
      <c r="DY42" s="25">
        <f t="shared" si="213"/>
        <v>0</v>
      </c>
      <c r="DZ42" s="25">
        <f>SUM(DZ31:DZ32)</f>
        <v>0</v>
      </c>
      <c r="EA42" s="25">
        <f>SUM(EA31:EA32)</f>
        <v>0</v>
      </c>
      <c r="EB42" s="25">
        <f>SUM(EB31:EB32)</f>
        <v>28933.699548173394</v>
      </c>
    </row>
    <row r="43" spans="6:132" x14ac:dyDescent="0.25">
      <c r="F43" s="17">
        <f t="shared" si="175"/>
        <v>34</v>
      </c>
    </row>
    <row r="44" spans="6:132" x14ac:dyDescent="0.25">
      <c r="F44" s="17">
        <f t="shared" si="175"/>
        <v>35</v>
      </c>
      <c r="G44" s="32" t="s">
        <v>115</v>
      </c>
    </row>
    <row r="45" spans="6:132" x14ac:dyDescent="0.25">
      <c r="F45" s="17">
        <f t="shared" si="175"/>
        <v>36</v>
      </c>
      <c r="G45" s="27"/>
      <c r="H45" s="27">
        <f>H28-H13-H11</f>
        <v>0</v>
      </c>
      <c r="I45" s="27">
        <f t="shared" ref="I45:AS45" si="214">I28-I13-I11</f>
        <v>-10471.769729720105</v>
      </c>
      <c r="J45" s="27">
        <f t="shared" si="214"/>
        <v>-5732.4197297201054</v>
      </c>
      <c r="K45" s="27">
        <f t="shared" si="214"/>
        <v>-789.99595485371628</v>
      </c>
      <c r="L45" s="27">
        <f t="shared" si="214"/>
        <v>-789.99595485371628</v>
      </c>
      <c r="M45" s="27">
        <f t="shared" si="214"/>
        <v>-789.99595485371628</v>
      </c>
      <c r="N45" s="27">
        <f t="shared" si="214"/>
        <v>-789.99595485371628</v>
      </c>
      <c r="O45" s="27">
        <f t="shared" si="214"/>
        <v>-789.99595485371628</v>
      </c>
      <c r="P45" s="27">
        <f t="shared" si="214"/>
        <v>-789.99595485371628</v>
      </c>
      <c r="Q45" s="27">
        <f t="shared" si="214"/>
        <v>-789.99595485371628</v>
      </c>
      <c r="R45" s="27">
        <f t="shared" si="214"/>
        <v>-789.99595485371628</v>
      </c>
      <c r="S45" s="27">
        <f t="shared" si="214"/>
        <v>-789.99595485371628</v>
      </c>
      <c r="T45" s="27">
        <f t="shared" si="214"/>
        <v>-789.99595485371628</v>
      </c>
      <c r="U45" s="27">
        <f t="shared" si="214"/>
        <v>-5529.3459548537166</v>
      </c>
      <c r="V45" s="27">
        <f t="shared" si="214"/>
        <v>-789.99595485371628</v>
      </c>
      <c r="W45" s="27">
        <f t="shared" si="214"/>
        <v>-641.72324160772405</v>
      </c>
      <c r="X45" s="27">
        <f t="shared" si="214"/>
        <v>-641.72324160772405</v>
      </c>
      <c r="Y45" s="27">
        <f t="shared" si="214"/>
        <v>-641.72324160772405</v>
      </c>
      <c r="Z45" s="27">
        <f t="shared" si="214"/>
        <v>-641.72324160772405</v>
      </c>
      <c r="AA45" s="27">
        <f t="shared" si="214"/>
        <v>-641.72324160772405</v>
      </c>
      <c r="AB45" s="27">
        <f t="shared" si="214"/>
        <v>-641.72324160772405</v>
      </c>
      <c r="AC45" s="27">
        <f t="shared" si="214"/>
        <v>-641.72324160772405</v>
      </c>
      <c r="AD45" s="27">
        <f t="shared" si="214"/>
        <v>-641.72324160772405</v>
      </c>
      <c r="AE45" s="27">
        <f t="shared" si="214"/>
        <v>-641.72324160772405</v>
      </c>
      <c r="AF45" s="27">
        <f t="shared" si="214"/>
        <v>-641.72324160772405</v>
      </c>
      <c r="AG45" s="27">
        <f t="shared" si="214"/>
        <v>-4820.1707416077243</v>
      </c>
      <c r="AH45" s="27">
        <f t="shared" si="214"/>
        <v>-641.72324160772405</v>
      </c>
      <c r="AI45" s="27">
        <f t="shared" ref="AI45:AN45" si="215">AI28-AI13-AI11</f>
        <v>-489.00234696435291</v>
      </c>
      <c r="AJ45" s="27">
        <f t="shared" si="215"/>
        <v>-489.00234696435291</v>
      </c>
      <c r="AK45" s="27">
        <f t="shared" si="215"/>
        <v>-489.00234696435291</v>
      </c>
      <c r="AL45" s="27">
        <f t="shared" si="215"/>
        <v>-489.00234696435291</v>
      </c>
      <c r="AM45" s="27">
        <f t="shared" si="215"/>
        <v>-489.00234696435291</v>
      </c>
      <c r="AN45" s="27">
        <f t="shared" si="215"/>
        <v>-489.00234696435291</v>
      </c>
      <c r="AO45" s="27">
        <f t="shared" si="214"/>
        <v>-489.00234696435291</v>
      </c>
      <c r="AP45" s="27">
        <f t="shared" si="214"/>
        <v>-489.00234696435291</v>
      </c>
      <c r="AQ45" s="27">
        <f t="shared" si="214"/>
        <v>-489.00234696435291</v>
      </c>
      <c r="AR45" s="27">
        <f t="shared" si="214"/>
        <v>-489.00234696435291</v>
      </c>
      <c r="AS45" s="27">
        <f t="shared" si="214"/>
        <v>-4190.6827219643528</v>
      </c>
      <c r="AT45" s="27">
        <f t="shared" ref="AT45:BE45" si="216">AT28-AT13-AT11</f>
        <v>-489.00234696435291</v>
      </c>
      <c r="AU45" s="27">
        <f t="shared" si="216"/>
        <v>-331.69982548167991</v>
      </c>
      <c r="AV45" s="27">
        <f t="shared" si="216"/>
        <v>-331.69982548167991</v>
      </c>
      <c r="AW45" s="27">
        <f t="shared" si="216"/>
        <v>-331.69982548167991</v>
      </c>
      <c r="AX45" s="27">
        <f t="shared" si="216"/>
        <v>-331.69982548167991</v>
      </c>
      <c r="AY45" s="27">
        <f t="shared" si="216"/>
        <v>-331.69982548167991</v>
      </c>
      <c r="AZ45" s="27">
        <f t="shared" si="216"/>
        <v>-331.69982548167991</v>
      </c>
      <c r="BA45" s="27">
        <f t="shared" si="216"/>
        <v>-331.69982548167991</v>
      </c>
      <c r="BB45" s="27">
        <f t="shared" si="216"/>
        <v>-331.69982548167991</v>
      </c>
      <c r="BC45" s="27">
        <f t="shared" si="216"/>
        <v>-331.69982548167991</v>
      </c>
      <c r="BD45" s="27">
        <f t="shared" si="216"/>
        <v>-331.69982548167991</v>
      </c>
      <c r="BE45" s="27">
        <f t="shared" si="216"/>
        <v>-3628.1281442316795</v>
      </c>
      <c r="BF45" s="27">
        <f t="shared" ref="BF45:BV45" si="217">BF28-BF13-BF11</f>
        <v>-331.69982548167991</v>
      </c>
      <c r="BG45" s="27">
        <f t="shared" si="217"/>
        <v>-169.67822835452716</v>
      </c>
      <c r="BH45" s="27">
        <f t="shared" si="217"/>
        <v>-169.67822835452716</v>
      </c>
      <c r="BI45" s="27">
        <f t="shared" si="217"/>
        <v>-169.67822835452716</v>
      </c>
      <c r="BJ45" s="27">
        <f t="shared" si="217"/>
        <v>-169.67822835452716</v>
      </c>
      <c r="BK45" s="27">
        <f t="shared" si="217"/>
        <v>-169.67822835452716</v>
      </c>
      <c r="BL45" s="27">
        <f t="shared" si="217"/>
        <v>-169.67822835452716</v>
      </c>
      <c r="BM45" s="27">
        <f t="shared" si="217"/>
        <v>-169.67822835452716</v>
      </c>
      <c r="BN45" s="27">
        <f t="shared" si="217"/>
        <v>-169.67822835452716</v>
      </c>
      <c r="BO45" s="27">
        <f t="shared" si="217"/>
        <v>-169.67822835452716</v>
      </c>
      <c r="BP45" s="27">
        <f t="shared" ref="BP45:BQ45" si="218">BP28-BP13-BP11</f>
        <v>-169.67822835452716</v>
      </c>
      <c r="BQ45" s="27">
        <f t="shared" si="218"/>
        <v>2610.7774304280783</v>
      </c>
      <c r="BR45" s="27">
        <f t="shared" si="217"/>
        <v>5562.7415013655782</v>
      </c>
      <c r="BS45" s="27">
        <f t="shared" ref="BS45:BT45" si="219">BS28-BS13-BS11</f>
        <v>5729.6237464065453</v>
      </c>
      <c r="BT45" s="27">
        <f t="shared" si="219"/>
        <v>5729.6237464065453</v>
      </c>
      <c r="BU45" s="27">
        <f t="shared" si="217"/>
        <v>5729.6237464065453</v>
      </c>
      <c r="BV45" s="27">
        <f t="shared" si="217"/>
        <v>5729.6237464065453</v>
      </c>
      <c r="BW45" s="27">
        <f t="shared" ref="BW45:CH45" si="220">BW28-BW13-BW11</f>
        <v>5729.6237464065453</v>
      </c>
      <c r="BX45" s="27">
        <f t="shared" si="220"/>
        <v>5729.6237464065453</v>
      </c>
      <c r="BY45" s="27">
        <f t="shared" si="220"/>
        <v>5729.6237464065453</v>
      </c>
      <c r="BZ45" s="27">
        <f t="shared" si="220"/>
        <v>5729.6237464065453</v>
      </c>
      <c r="CA45" s="27">
        <f t="shared" si="220"/>
        <v>5729.6237464065453</v>
      </c>
      <c r="CB45" s="27">
        <f t="shared" si="220"/>
        <v>5729.6237464065453</v>
      </c>
      <c r="CC45" s="27">
        <f t="shared" si="220"/>
        <v>3070.4542861096706</v>
      </c>
      <c r="CD45" s="27">
        <f t="shared" si="220"/>
        <v>5729.6237464065453</v>
      </c>
      <c r="CE45" s="27">
        <f t="shared" si="220"/>
        <v>5901.512458798742</v>
      </c>
      <c r="CF45" s="27">
        <f t="shared" si="220"/>
        <v>5901.512458798742</v>
      </c>
      <c r="CG45" s="27">
        <f t="shared" si="220"/>
        <v>5901.512458798742</v>
      </c>
      <c r="CH45" s="27">
        <f t="shared" si="220"/>
        <v>5901.512458798742</v>
      </c>
      <c r="CI45" s="27">
        <f t="shared" ref="CI45:CT45" si="221">CI28-CI13-CI11</f>
        <v>5901.512458798742</v>
      </c>
      <c r="CJ45" s="27">
        <f t="shared" si="221"/>
        <v>5901.512458798742</v>
      </c>
      <c r="CK45" s="27">
        <f t="shared" si="221"/>
        <v>5901.512458798742</v>
      </c>
      <c r="CL45" s="27">
        <f t="shared" si="221"/>
        <v>5901.512458798742</v>
      </c>
      <c r="CM45" s="27">
        <f t="shared" si="221"/>
        <v>5901.512458798742</v>
      </c>
      <c r="CN45" s="27">
        <f t="shared" ref="CN45" si="222">CN28-CN13-CN11</f>
        <v>5901.512458798742</v>
      </c>
      <c r="CO45" s="27">
        <f t="shared" si="221"/>
        <v>3491.2184175463985</v>
      </c>
      <c r="CP45" s="27">
        <f t="shared" si="221"/>
        <v>5901.512458798742</v>
      </c>
      <c r="CQ45" s="27">
        <f t="shared" si="221"/>
        <v>6078.5578325627048</v>
      </c>
      <c r="CR45" s="27">
        <f t="shared" si="221"/>
        <v>6078.5578325627048</v>
      </c>
      <c r="CS45" s="27">
        <f t="shared" si="221"/>
        <v>6078.5578325627048</v>
      </c>
      <c r="CT45" s="27">
        <f t="shared" si="221"/>
        <v>6078.5578325627048</v>
      </c>
      <c r="CU45" s="27">
        <f t="shared" ref="CU45:DR45" si="223">CU28-CU13-CU11</f>
        <v>6078.5578325627048</v>
      </c>
      <c r="CV45" s="27">
        <f t="shared" si="223"/>
        <v>6078.5578325627048</v>
      </c>
      <c r="CW45" s="27">
        <f t="shared" si="223"/>
        <v>6078.5578325627048</v>
      </c>
      <c r="CX45" s="27">
        <f t="shared" si="223"/>
        <v>6078.5578325627048</v>
      </c>
      <c r="CY45" s="27">
        <f t="shared" si="223"/>
        <v>6078.5578325627048</v>
      </c>
      <c r="CZ45" s="27">
        <f t="shared" si="223"/>
        <v>6078.5578325627048</v>
      </c>
      <c r="DA45" s="27">
        <f t="shared" si="223"/>
        <v>3710.5726125479314</v>
      </c>
      <c r="DB45" s="27">
        <f t="shared" si="223"/>
        <v>6078.5578325627048</v>
      </c>
      <c r="DC45" s="27">
        <f t="shared" si="223"/>
        <v>6260.9145675395857</v>
      </c>
      <c r="DD45" s="27">
        <f t="shared" si="223"/>
        <v>6260.9145675395857</v>
      </c>
      <c r="DE45" s="27">
        <f t="shared" si="223"/>
        <v>6260.9145675395857</v>
      </c>
      <c r="DF45" s="27">
        <f t="shared" si="223"/>
        <v>6260.9145675395857</v>
      </c>
      <c r="DG45" s="27">
        <f t="shared" si="223"/>
        <v>6260.9145675395857</v>
      </c>
      <c r="DH45" s="27">
        <f t="shared" si="223"/>
        <v>6260.9145675395857</v>
      </c>
      <c r="DI45" s="27">
        <f t="shared" si="223"/>
        <v>6260.9145675395857</v>
      </c>
      <c r="DJ45" s="27">
        <f t="shared" si="223"/>
        <v>6260.9145675395857</v>
      </c>
      <c r="DK45" s="27">
        <f t="shared" si="223"/>
        <v>6260.9145675395857</v>
      </c>
      <c r="DL45" s="27">
        <f t="shared" si="223"/>
        <v>6260.9145675395857</v>
      </c>
      <c r="DM45" s="27">
        <f t="shared" si="223"/>
        <v>3933.9689041252559</v>
      </c>
      <c r="DN45" s="27">
        <f t="shared" si="223"/>
        <v>6260.9145675395857</v>
      </c>
      <c r="DO45" s="27">
        <f t="shared" si="223"/>
        <v>6448.7420045657736</v>
      </c>
      <c r="DP45" s="27">
        <f t="shared" si="223"/>
        <v>6448.7420045657736</v>
      </c>
      <c r="DQ45" s="27">
        <f t="shared" si="223"/>
        <v>6448.7420045657736</v>
      </c>
      <c r="DR45" s="27">
        <f t="shared" si="223"/>
        <v>6448.7420045657736</v>
      </c>
      <c r="DS45" s="27">
        <f t="shared" ref="DS45:DY45" si="224">DS28-DS13-DS11</f>
        <v>6448.7420045657736</v>
      </c>
      <c r="DT45" s="27">
        <f t="shared" si="224"/>
        <v>6448.7420045657736</v>
      </c>
      <c r="DU45" s="27">
        <f t="shared" si="224"/>
        <v>6448.7420045657736</v>
      </c>
      <c r="DV45" s="27">
        <f t="shared" si="224"/>
        <v>6448.7420045657736</v>
      </c>
      <c r="DW45" s="27">
        <f t="shared" si="224"/>
        <v>6448.7420045657736</v>
      </c>
      <c r="DX45" s="27">
        <f t="shared" si="224"/>
        <v>6448.7420045657736</v>
      </c>
      <c r="DY45" s="27">
        <f t="shared" si="224"/>
        <v>4161.604711053873</v>
      </c>
      <c r="DZ45" s="27">
        <f>DZ28-DZ13-DZ11</f>
        <v>6448.7420045657736</v>
      </c>
      <c r="EA45" s="27">
        <f>EA28-EA13-EA11</f>
        <v>0</v>
      </c>
      <c r="EB45" s="27">
        <f>EB28-EB13-EB11</f>
        <v>0</v>
      </c>
    </row>
    <row r="46" spans="6:132" x14ac:dyDescent="0.25">
      <c r="F46" s="17">
        <f t="shared" si="175"/>
        <v>37</v>
      </c>
    </row>
    <row r="47" spans="6:132" x14ac:dyDescent="0.25">
      <c r="F47" s="17">
        <f t="shared" si="175"/>
        <v>38</v>
      </c>
    </row>
    <row r="48" spans="6:132" x14ac:dyDescent="0.25">
      <c r="F48" s="17">
        <f t="shared" si="175"/>
        <v>39</v>
      </c>
      <c r="G48" s="33" t="s">
        <v>116</v>
      </c>
    </row>
    <row r="49" spans="6:133" x14ac:dyDescent="0.25">
      <c r="F49" s="17">
        <f t="shared" si="175"/>
        <v>40</v>
      </c>
      <c r="G49" s="33" t="s">
        <v>117</v>
      </c>
      <c r="DS49" s="28"/>
    </row>
    <row r="50" spans="6:133" x14ac:dyDescent="0.25">
      <c r="F50" s="17">
        <f t="shared" si="175"/>
        <v>41</v>
      </c>
      <c r="G50" s="27" t="s">
        <v>118</v>
      </c>
      <c r="H50" s="27">
        <f>Tributos!$B$8*SUM(Cashflow!H28)*32%</f>
        <v>0</v>
      </c>
      <c r="I50" s="27">
        <f>Tributos!$B$8*SUM(Cashflow!I28)*32%</f>
        <v>0</v>
      </c>
      <c r="J50" s="27">
        <f>Tributos!$B$8*SUM(Cashflow!J28)*32%</f>
        <v>0</v>
      </c>
      <c r="K50" s="27">
        <f>Tributos!$B$8*SUM(Cashflow!K28)*32%</f>
        <v>237.23634119358667</v>
      </c>
      <c r="L50" s="27">
        <f>Tributos!$B$8*SUM(Cashflow!L28)*32%</f>
        <v>237.23634119358667</v>
      </c>
      <c r="M50" s="27">
        <f>Tributos!$B$8*SUM(Cashflow!M28)*32%</f>
        <v>237.23634119358667</v>
      </c>
      <c r="N50" s="27">
        <f>Tributos!$B$8*SUM(Cashflow!N28)*32%</f>
        <v>237.23634119358667</v>
      </c>
      <c r="O50" s="27">
        <f>Tributos!$B$8*SUM(Cashflow!O28)*32%</f>
        <v>237.23634119358667</v>
      </c>
      <c r="P50" s="27">
        <f>Tributos!$B$8*SUM(Cashflow!P28)*32%</f>
        <v>237.23634119358667</v>
      </c>
      <c r="Q50" s="27">
        <f>Tributos!$B$8*SUM(Cashflow!Q28)*32%</f>
        <v>237.23634119358667</v>
      </c>
      <c r="R50" s="27">
        <f>Tributos!$B$8*SUM(Cashflow!R28)*32%</f>
        <v>237.23634119358667</v>
      </c>
      <c r="S50" s="27">
        <f>Tributos!$B$8*SUM(Cashflow!S28)*32%</f>
        <v>237.23634119358667</v>
      </c>
      <c r="T50" s="27">
        <f>Tributos!$B$8*SUM(Cashflow!T28)*32%</f>
        <v>237.23634119358667</v>
      </c>
      <c r="U50" s="27">
        <f>Tributos!$B$8*SUM(Cashflow!U28)*32%</f>
        <v>237.23634119358667</v>
      </c>
      <c r="V50" s="27">
        <f>Tributos!$B$8*SUM(Cashflow!V28)*32%</f>
        <v>237.23634119358667</v>
      </c>
      <c r="W50" s="27">
        <f>Tributos!$B$8*SUM(Cashflow!W28)*32%</f>
        <v>244.35343142939431</v>
      </c>
      <c r="X50" s="27">
        <f>Tributos!$B$8*SUM(Cashflow!X28)*32%</f>
        <v>244.35343142939431</v>
      </c>
      <c r="Y50" s="27">
        <f>Tributos!$B$8*SUM(Cashflow!Y28)*32%</f>
        <v>244.35343142939431</v>
      </c>
      <c r="Z50" s="27">
        <f>Tributos!$B$8*SUM(Cashflow!Z28)*32%</f>
        <v>244.35343142939431</v>
      </c>
      <c r="AA50" s="27">
        <f>Tributos!$B$8*SUM(Cashflow!AA28)*32%</f>
        <v>244.35343142939431</v>
      </c>
      <c r="AB50" s="27">
        <f>Tributos!$B$8*SUM(Cashflow!AB28)*32%</f>
        <v>244.35343142939431</v>
      </c>
      <c r="AC50" s="27">
        <f>Tributos!$B$8*SUM(Cashflow!AC28)*32%</f>
        <v>244.35343142939431</v>
      </c>
      <c r="AD50" s="27">
        <f>Tributos!$B$8*SUM(Cashflow!AD28)*32%</f>
        <v>244.35343142939431</v>
      </c>
      <c r="AE50" s="27">
        <f>Tributos!$B$8*SUM(Cashflow!AE28)*32%</f>
        <v>244.35343142939431</v>
      </c>
      <c r="AF50" s="27">
        <f>Tributos!$B$8*SUM(Cashflow!AF28)*32%</f>
        <v>244.35343142939431</v>
      </c>
      <c r="AG50" s="27">
        <f>Tributos!$B$8*SUM(Cashflow!AG28)*32%</f>
        <v>244.35343142939431</v>
      </c>
      <c r="AH50" s="27">
        <f>Tributos!$B$8*SUM(Cashflow!AH28)*32%</f>
        <v>244.35343142939431</v>
      </c>
      <c r="AI50" s="27">
        <f>Tributos!$B$8*SUM(Cashflow!AI28)*32%</f>
        <v>251.6840343722761</v>
      </c>
      <c r="AJ50" s="27">
        <f>Tributos!$B$8*SUM(Cashflow!AJ28)*32%</f>
        <v>251.6840343722761</v>
      </c>
      <c r="AK50" s="27">
        <f>Tributos!$B$8*SUM(Cashflow!AK28)*32%</f>
        <v>251.6840343722761</v>
      </c>
      <c r="AL50" s="27">
        <f>Tributos!$B$8*SUM(Cashflow!AL28)*32%</f>
        <v>251.6840343722761</v>
      </c>
      <c r="AM50" s="27">
        <f>Tributos!$B$8*SUM(Cashflow!AM28)*32%</f>
        <v>251.6840343722761</v>
      </c>
      <c r="AN50" s="27">
        <f>Tributos!$B$8*SUM(Cashflow!AN28)*32%</f>
        <v>251.6840343722761</v>
      </c>
      <c r="AO50" s="27">
        <f>Tributos!$B$8*SUM(Cashflow!AO28)*32%</f>
        <v>251.6840343722761</v>
      </c>
      <c r="AP50" s="27">
        <f>Tributos!$B$8*SUM(Cashflow!AP28)*32%</f>
        <v>251.6840343722761</v>
      </c>
      <c r="AQ50" s="27">
        <f>Tributos!$B$8*SUM(Cashflow!AQ28)*32%</f>
        <v>251.6840343722761</v>
      </c>
      <c r="AR50" s="27">
        <f>Tributos!$B$8*SUM(Cashflow!AR28)*32%</f>
        <v>251.6840343722761</v>
      </c>
      <c r="AS50" s="27">
        <f>Tributos!$B$8*SUM(Cashflow!AS28)*32%</f>
        <v>251.6840343722761</v>
      </c>
      <c r="AT50" s="27">
        <f>Tributos!$B$8*SUM(Cashflow!AT28)*32%</f>
        <v>251.6840343722761</v>
      </c>
      <c r="AU50" s="27">
        <f>Tributos!$B$8*SUM(Cashflow!AU28)*32%</f>
        <v>259.23455540344446</v>
      </c>
      <c r="AV50" s="27">
        <f>Tributos!$B$8*SUM(Cashflow!AV28)*32%</f>
        <v>259.23455540344446</v>
      </c>
      <c r="AW50" s="27">
        <f>Tributos!$B$8*SUM(Cashflow!AW28)*32%</f>
        <v>259.23455540344446</v>
      </c>
      <c r="AX50" s="27">
        <f>Tributos!$B$8*SUM(Cashflow!AX28)*32%</f>
        <v>259.23455540344446</v>
      </c>
      <c r="AY50" s="27">
        <f>Tributos!$B$8*SUM(Cashflow!AY28)*32%</f>
        <v>259.23455540344446</v>
      </c>
      <c r="AZ50" s="27">
        <f>Tributos!$B$8*SUM(Cashflow!AZ28)*32%</f>
        <v>259.23455540344446</v>
      </c>
      <c r="BA50" s="27">
        <f>Tributos!$B$8*SUM(Cashflow!BA28)*32%</f>
        <v>259.23455540344446</v>
      </c>
      <c r="BB50" s="27">
        <f>Tributos!$B$8*SUM(Cashflow!BB28)*32%</f>
        <v>259.23455540344446</v>
      </c>
      <c r="BC50" s="27">
        <f>Tributos!$B$8*SUM(Cashflow!BC28)*32%</f>
        <v>259.23455540344446</v>
      </c>
      <c r="BD50" s="27">
        <f>Tributos!$B$8*SUM(Cashflow!BD28)*32%</f>
        <v>259.23455540344446</v>
      </c>
      <c r="BE50" s="27">
        <f>Tributos!$B$8*SUM(Cashflow!BE28)*32%</f>
        <v>259.23455540344446</v>
      </c>
      <c r="BF50" s="27">
        <f>Tributos!$B$8*SUM(Cashflow!BF28)*32%</f>
        <v>259.23455540344446</v>
      </c>
      <c r="BG50" s="27">
        <f>Tributos!$B$8*SUM(Cashflow!BG28)*32%</f>
        <v>267.01159206554775</v>
      </c>
      <c r="BH50" s="27">
        <f>Tributos!$B$8*SUM(Cashflow!BH28)*32%</f>
        <v>267.01159206554775</v>
      </c>
      <c r="BI50" s="27">
        <f>Tributos!$B$8*SUM(Cashflow!BI28)*32%</f>
        <v>267.01159206554775</v>
      </c>
      <c r="BJ50" s="27">
        <f>Tributos!$B$8*SUM(Cashflow!BJ28)*32%</f>
        <v>267.01159206554775</v>
      </c>
      <c r="BK50" s="27">
        <f>Tributos!$B$8*SUM(Cashflow!BK28)*32%</f>
        <v>267.01159206554775</v>
      </c>
      <c r="BL50" s="27">
        <f>Tributos!$B$8*SUM(Cashflow!BL28)*32%</f>
        <v>267.01159206554775</v>
      </c>
      <c r="BM50" s="27">
        <f>Tributos!$B$8*SUM(Cashflow!BM28)*32%</f>
        <v>267.01159206554775</v>
      </c>
      <c r="BN50" s="27">
        <f>Tributos!$B$8*SUM(Cashflow!BN28)*32%</f>
        <v>267.01159206554775</v>
      </c>
      <c r="BO50" s="27">
        <f>Tributos!$B$8*SUM(Cashflow!BO28)*32%</f>
        <v>267.01159206554775</v>
      </c>
      <c r="BP50" s="27">
        <f>Tributos!$B$8*SUM(Cashflow!BP28)*32%</f>
        <v>267.01159206554775</v>
      </c>
      <c r="BQ50" s="27">
        <f>Tributos!$B$8*SUM(Cashflow!BQ28)*32%</f>
        <v>267.01159206554775</v>
      </c>
      <c r="BR50" s="27">
        <f>Tributos!$B$8*SUM(Cashflow!BR28)*32%</f>
        <v>267.01159206554775</v>
      </c>
      <c r="BS50" s="27">
        <f>Tributos!$B$8*SUM(Cashflow!BS28)*32%</f>
        <v>275.02193982751419</v>
      </c>
      <c r="BT50" s="27">
        <f>Tributos!$B$8*SUM(Cashflow!BT28)*32%</f>
        <v>275.02193982751419</v>
      </c>
      <c r="BU50" s="27">
        <f>Tributos!$B$8*SUM(Cashflow!BU28)*32%</f>
        <v>275.02193982751419</v>
      </c>
      <c r="BV50" s="27">
        <f>Tributos!$B$8*SUM(Cashflow!BV28)*32%</f>
        <v>275.02193982751419</v>
      </c>
      <c r="BW50" s="27">
        <f>Tributos!$B$8*SUM(Cashflow!BW28)*32%</f>
        <v>275.02193982751419</v>
      </c>
      <c r="BX50" s="27">
        <f>Tributos!$B$8*SUM(Cashflow!BX28)*32%</f>
        <v>275.02193982751419</v>
      </c>
      <c r="BY50" s="27">
        <f>Tributos!$B$8*SUM(Cashflow!BY28)*32%</f>
        <v>275.02193982751419</v>
      </c>
      <c r="BZ50" s="27">
        <f>Tributos!$B$8*SUM(Cashflow!BZ28)*32%</f>
        <v>275.02193982751419</v>
      </c>
      <c r="CA50" s="27">
        <f>Tributos!$B$8*SUM(Cashflow!CA28)*32%</f>
        <v>275.02193982751419</v>
      </c>
      <c r="CB50" s="27">
        <f>Tributos!$B$8*SUM(Cashflow!CB28)*32%</f>
        <v>275.02193982751419</v>
      </c>
      <c r="CC50" s="27">
        <f>Tributos!$B$8*SUM(Cashflow!CC28)*32%</f>
        <v>275.02193982751419</v>
      </c>
      <c r="CD50" s="27">
        <f>Tributos!$B$8*SUM(Cashflow!CD28)*32%</f>
        <v>275.02193982751419</v>
      </c>
      <c r="CE50" s="27">
        <f>Tributos!$B$8*SUM(Cashflow!CE28)*32%</f>
        <v>283.27259802233965</v>
      </c>
      <c r="CF50" s="27">
        <f>Tributos!$B$8*SUM(Cashflow!CF28)*32%</f>
        <v>283.27259802233965</v>
      </c>
      <c r="CG50" s="27">
        <f>Tributos!$B$8*SUM(Cashflow!CG28)*32%</f>
        <v>283.27259802233965</v>
      </c>
      <c r="CH50" s="27">
        <f>Tributos!$B$8*SUM(Cashflow!CH28)*32%</f>
        <v>283.27259802233965</v>
      </c>
      <c r="CI50" s="27">
        <f>Tributos!$B$8*SUM(Cashflow!CI28)*32%</f>
        <v>283.27259802233965</v>
      </c>
      <c r="CJ50" s="27">
        <f>Tributos!$B$8*SUM(Cashflow!CJ28)*32%</f>
        <v>283.27259802233965</v>
      </c>
      <c r="CK50" s="27">
        <f>Tributos!$B$8*SUM(Cashflow!CK28)*32%</f>
        <v>283.27259802233965</v>
      </c>
      <c r="CL50" s="27">
        <f>Tributos!$B$8*SUM(Cashflow!CL28)*32%</f>
        <v>283.27259802233965</v>
      </c>
      <c r="CM50" s="27">
        <f>Tributos!$B$8*SUM(Cashflow!CM28)*32%</f>
        <v>283.27259802233965</v>
      </c>
      <c r="CN50" s="27">
        <f>Tributos!$B$8*SUM(Cashflow!CN28)*32%</f>
        <v>283.27259802233965</v>
      </c>
      <c r="CO50" s="27">
        <f>Tributos!$B$8*SUM(Cashflow!CO28)*32%</f>
        <v>283.27259802233965</v>
      </c>
      <c r="CP50" s="27">
        <f>Tributos!$B$8*SUM(Cashflow!CP28)*32%</f>
        <v>283.27259802233965</v>
      </c>
      <c r="CQ50" s="27">
        <f>Tributos!$B$8*SUM(Cashflow!CQ28)*32%</f>
        <v>291.77077596300984</v>
      </c>
      <c r="CR50" s="27">
        <f>Tributos!$B$8*SUM(Cashflow!CR28)*32%</f>
        <v>291.77077596300984</v>
      </c>
      <c r="CS50" s="27">
        <f>Tributos!$B$8*SUM(Cashflow!CS28)*32%</f>
        <v>291.77077596300984</v>
      </c>
      <c r="CT50" s="27">
        <f>Tributos!$B$8*SUM(Cashflow!CT28)*32%</f>
        <v>291.77077596300984</v>
      </c>
      <c r="CU50" s="27">
        <f>Tributos!$B$8*SUM(Cashflow!CU28)*32%</f>
        <v>291.77077596300984</v>
      </c>
      <c r="CV50" s="27">
        <f>Tributos!$B$8*SUM(Cashflow!CV28)*32%</f>
        <v>291.77077596300984</v>
      </c>
      <c r="CW50" s="27">
        <f>Tributos!$B$8*SUM(Cashflow!CW28)*32%</f>
        <v>291.77077596300984</v>
      </c>
      <c r="CX50" s="27">
        <f>Tributos!$B$8*SUM(Cashflow!CX28)*32%</f>
        <v>291.77077596300984</v>
      </c>
      <c r="CY50" s="27">
        <f>Tributos!$B$8*SUM(Cashflow!CY28)*32%</f>
        <v>291.77077596300984</v>
      </c>
      <c r="CZ50" s="27">
        <f>Tributos!$B$8*SUM(Cashflow!CZ28)*32%</f>
        <v>291.77077596300984</v>
      </c>
      <c r="DA50" s="27">
        <f>Tributos!$B$8*SUM(Cashflow!DA28)*32%</f>
        <v>291.77077596300984</v>
      </c>
      <c r="DB50" s="27">
        <f>Tributos!$B$8*SUM(Cashflow!DB28)*32%</f>
        <v>291.77077596300984</v>
      </c>
      <c r="DC50" s="27">
        <f>Tributos!$B$8*SUM(Cashflow!DC28)*32%</f>
        <v>300.5238992419001</v>
      </c>
      <c r="DD50" s="27">
        <f>Tributos!$B$8*SUM(Cashflow!DD28)*32%</f>
        <v>300.5238992419001</v>
      </c>
      <c r="DE50" s="27">
        <f>Tributos!$B$8*SUM(Cashflow!DE28)*32%</f>
        <v>300.5238992419001</v>
      </c>
      <c r="DF50" s="27">
        <f>Tributos!$B$8*SUM(Cashflow!DF28)*32%</f>
        <v>300.5238992419001</v>
      </c>
      <c r="DG50" s="27">
        <f>Tributos!$B$8*SUM(Cashflow!DG28)*32%</f>
        <v>300.5238992419001</v>
      </c>
      <c r="DH50" s="27">
        <f>Tributos!$B$8*SUM(Cashflow!DH28)*32%</f>
        <v>300.5238992419001</v>
      </c>
      <c r="DI50" s="27">
        <f>Tributos!$B$8*SUM(Cashflow!DI28)*32%</f>
        <v>300.5238992419001</v>
      </c>
      <c r="DJ50" s="27">
        <f>Tributos!$B$8*SUM(Cashflow!DJ28)*32%</f>
        <v>300.5238992419001</v>
      </c>
      <c r="DK50" s="27">
        <f>Tributos!$B$8*SUM(Cashflow!DK28)*32%</f>
        <v>300.5238992419001</v>
      </c>
      <c r="DL50" s="27">
        <f>Tributos!$B$8*SUM(Cashflow!DL28)*32%</f>
        <v>300.5238992419001</v>
      </c>
      <c r="DM50" s="27">
        <f>Tributos!$B$8*SUM(Cashflow!DM28)*32%</f>
        <v>300.5238992419001</v>
      </c>
      <c r="DN50" s="27">
        <f>Tributos!$B$8*SUM(Cashflow!DN28)*32%</f>
        <v>300.5238992419001</v>
      </c>
      <c r="DO50" s="27">
        <f>Tributos!$B$8*SUM(Cashflow!DO28)*32%</f>
        <v>309.5396162191571</v>
      </c>
      <c r="DP50" s="27">
        <f>Tributos!$B$8*SUM(Cashflow!DP28)*32%</f>
        <v>309.5396162191571</v>
      </c>
      <c r="DQ50" s="27">
        <f>Tributos!$B$8*SUM(Cashflow!DQ28)*32%</f>
        <v>309.5396162191571</v>
      </c>
      <c r="DR50" s="27">
        <f>Tributos!$B$8*SUM(Cashflow!DR28)*32%</f>
        <v>309.5396162191571</v>
      </c>
      <c r="DS50" s="27">
        <f>Tributos!$B$8*SUM(Cashflow!DS28)*32%</f>
        <v>309.5396162191571</v>
      </c>
      <c r="DT50" s="27">
        <f>Tributos!$B$8*SUM(Cashflow!DT28)*32%</f>
        <v>309.5396162191571</v>
      </c>
      <c r="DU50" s="27">
        <f>Tributos!$B$8*SUM(Cashflow!DU28)*32%</f>
        <v>309.5396162191571</v>
      </c>
      <c r="DV50" s="27">
        <f>Tributos!$B$8*SUM(Cashflow!DV28)*32%</f>
        <v>309.5396162191571</v>
      </c>
      <c r="DW50" s="27">
        <f>Tributos!$B$8*SUM(Cashflow!DW28)*32%</f>
        <v>309.5396162191571</v>
      </c>
      <c r="DX50" s="27">
        <f>Tributos!$B$8*SUM(Cashflow!DX28)*32%</f>
        <v>309.5396162191571</v>
      </c>
      <c r="DY50" s="27">
        <f>Tributos!$B$8*SUM(Cashflow!DY28)*32%</f>
        <v>309.5396162191571</v>
      </c>
      <c r="DZ50" s="27">
        <f>Tributos!$B$8*SUM(Cashflow!DZ28)*32%</f>
        <v>309.5396162191571</v>
      </c>
      <c r="EA50" s="27">
        <f>Tributos!$B$8*SUM(Cashflow!EA28)*32%</f>
        <v>0</v>
      </c>
      <c r="EB50" s="27">
        <f>Tributos!$B$8*SUM(Cashflow!EB28)*32%</f>
        <v>0</v>
      </c>
    </row>
    <row r="51" spans="6:133" x14ac:dyDescent="0.25">
      <c r="F51" s="17">
        <f t="shared" si="175"/>
        <v>42</v>
      </c>
      <c r="G51" s="27" t="s">
        <v>119</v>
      </c>
      <c r="H51" s="27">
        <f>Tributos!$B$9*SUM(Cashflow!H28)*32%</f>
        <v>0</v>
      </c>
      <c r="I51" s="27">
        <f>Tributos!$B$9*SUM(Cashflow!I28)*32%</f>
        <v>0</v>
      </c>
      <c r="J51" s="27">
        <f>Tributos!$B$9*SUM(Cashflow!J28)*32%</f>
        <v>0</v>
      </c>
      <c r="K51" s="27">
        <f>Tributos!$B$9*SUM(Cashflow!K28)*32%</f>
        <v>142.34180471615201</v>
      </c>
      <c r="L51" s="27">
        <f>Tributos!$B$9*SUM(Cashflow!L28)*32%</f>
        <v>142.34180471615201</v>
      </c>
      <c r="M51" s="27">
        <f>Tributos!$B$9*SUM(Cashflow!M28)*32%</f>
        <v>142.34180471615201</v>
      </c>
      <c r="N51" s="27">
        <f>Tributos!$B$9*SUM(Cashflow!N28)*32%</f>
        <v>142.34180471615201</v>
      </c>
      <c r="O51" s="27">
        <f>Tributos!$B$9*SUM(Cashflow!O28)*32%</f>
        <v>142.34180471615201</v>
      </c>
      <c r="P51" s="27">
        <f>Tributos!$B$9*SUM(Cashflow!P28)*32%</f>
        <v>142.34180471615201</v>
      </c>
      <c r="Q51" s="27">
        <f>Tributos!$B$9*SUM(Cashflow!Q28)*32%</f>
        <v>142.34180471615201</v>
      </c>
      <c r="R51" s="27">
        <f>Tributos!$B$9*SUM(Cashflow!R28)*32%</f>
        <v>142.34180471615201</v>
      </c>
      <c r="S51" s="27">
        <f>Tributos!$B$9*SUM(Cashflow!S28)*32%</f>
        <v>142.34180471615201</v>
      </c>
      <c r="T51" s="27">
        <f>Tributos!$B$9*SUM(Cashflow!T28)*32%</f>
        <v>142.34180471615201</v>
      </c>
      <c r="U51" s="27">
        <f>Tributos!$B$9*SUM(Cashflow!U28)*32%</f>
        <v>142.34180471615201</v>
      </c>
      <c r="V51" s="27">
        <f>Tributos!$B$9*SUM(Cashflow!V28)*32%</f>
        <v>142.34180471615201</v>
      </c>
      <c r="W51" s="27">
        <f>Tributos!$B$9*SUM(Cashflow!W28)*32%</f>
        <v>146.61205885763658</v>
      </c>
      <c r="X51" s="27">
        <f>Tributos!$B$9*SUM(Cashflow!X28)*32%</f>
        <v>146.61205885763658</v>
      </c>
      <c r="Y51" s="27">
        <f>Tributos!$B$9*SUM(Cashflow!Y28)*32%</f>
        <v>146.61205885763658</v>
      </c>
      <c r="Z51" s="27">
        <f>Tributos!$B$9*SUM(Cashflow!Z28)*32%</f>
        <v>146.61205885763658</v>
      </c>
      <c r="AA51" s="27">
        <f>Tributos!$B$9*SUM(Cashflow!AA28)*32%</f>
        <v>146.61205885763658</v>
      </c>
      <c r="AB51" s="27">
        <f>Tributos!$B$9*SUM(Cashflow!AB28)*32%</f>
        <v>146.61205885763658</v>
      </c>
      <c r="AC51" s="27">
        <f>Tributos!$B$9*SUM(Cashflow!AC28)*32%</f>
        <v>146.61205885763658</v>
      </c>
      <c r="AD51" s="27">
        <f>Tributos!$B$9*SUM(Cashflow!AD28)*32%</f>
        <v>146.61205885763658</v>
      </c>
      <c r="AE51" s="27">
        <f>Tributos!$B$9*SUM(Cashflow!AE28)*32%</f>
        <v>146.61205885763658</v>
      </c>
      <c r="AF51" s="27">
        <f>Tributos!$B$9*SUM(Cashflow!AF28)*32%</f>
        <v>146.61205885763658</v>
      </c>
      <c r="AG51" s="27">
        <f>Tributos!$B$9*SUM(Cashflow!AG28)*32%</f>
        <v>146.61205885763658</v>
      </c>
      <c r="AH51" s="27">
        <f>Tributos!$B$9*SUM(Cashflow!AH28)*32%</f>
        <v>146.61205885763658</v>
      </c>
      <c r="AI51" s="27">
        <f>Tributos!$B$9*SUM(Cashflow!AI28)*32%</f>
        <v>151.01042062336566</v>
      </c>
      <c r="AJ51" s="27">
        <f>Tributos!$B$9*SUM(Cashflow!AJ28)*32%</f>
        <v>151.01042062336566</v>
      </c>
      <c r="AK51" s="27">
        <f>Tributos!$B$9*SUM(Cashflow!AK28)*32%</f>
        <v>151.01042062336566</v>
      </c>
      <c r="AL51" s="27">
        <f>Tributos!$B$9*SUM(Cashflow!AL28)*32%</f>
        <v>151.01042062336566</v>
      </c>
      <c r="AM51" s="27">
        <f>Tributos!$B$9*SUM(Cashflow!AM28)*32%</f>
        <v>151.01042062336566</v>
      </c>
      <c r="AN51" s="27">
        <f>Tributos!$B$9*SUM(Cashflow!AN28)*32%</f>
        <v>151.01042062336566</v>
      </c>
      <c r="AO51" s="27">
        <f>Tributos!$B$9*SUM(Cashflow!AO28)*32%</f>
        <v>151.01042062336566</v>
      </c>
      <c r="AP51" s="27">
        <f>Tributos!$B$9*SUM(Cashflow!AP28)*32%</f>
        <v>151.01042062336566</v>
      </c>
      <c r="AQ51" s="27">
        <f>Tributos!$B$9*SUM(Cashflow!AQ28)*32%</f>
        <v>151.01042062336566</v>
      </c>
      <c r="AR51" s="27">
        <f>Tributos!$B$9*SUM(Cashflow!AR28)*32%</f>
        <v>151.01042062336566</v>
      </c>
      <c r="AS51" s="27">
        <f>Tributos!$B$9*SUM(Cashflow!AS28)*32%</f>
        <v>151.01042062336566</v>
      </c>
      <c r="AT51" s="27">
        <f>Tributos!$B$9*SUM(Cashflow!AT28)*32%</f>
        <v>151.01042062336566</v>
      </c>
      <c r="AU51" s="27">
        <f>Tributos!$B$9*SUM(Cashflow!AU28)*32%</f>
        <v>155.54073324206666</v>
      </c>
      <c r="AV51" s="27">
        <f>Tributos!$B$9*SUM(Cashflow!AV28)*32%</f>
        <v>155.54073324206666</v>
      </c>
      <c r="AW51" s="27">
        <f>Tributos!$B$9*SUM(Cashflow!AW28)*32%</f>
        <v>155.54073324206666</v>
      </c>
      <c r="AX51" s="27">
        <f>Tributos!$B$9*SUM(Cashflow!AX28)*32%</f>
        <v>155.54073324206666</v>
      </c>
      <c r="AY51" s="27">
        <f>Tributos!$B$9*SUM(Cashflow!AY28)*32%</f>
        <v>155.54073324206666</v>
      </c>
      <c r="AZ51" s="27">
        <f>Tributos!$B$9*SUM(Cashflow!AZ28)*32%</f>
        <v>155.54073324206666</v>
      </c>
      <c r="BA51" s="27">
        <f>Tributos!$B$9*SUM(Cashflow!BA28)*32%</f>
        <v>155.54073324206666</v>
      </c>
      <c r="BB51" s="27">
        <f>Tributos!$B$9*SUM(Cashflow!BB28)*32%</f>
        <v>155.54073324206666</v>
      </c>
      <c r="BC51" s="27">
        <f>Tributos!$B$9*SUM(Cashflow!BC28)*32%</f>
        <v>155.54073324206666</v>
      </c>
      <c r="BD51" s="27">
        <f>Tributos!$B$9*SUM(Cashflow!BD28)*32%</f>
        <v>155.54073324206666</v>
      </c>
      <c r="BE51" s="27">
        <f>Tributos!$B$9*SUM(Cashflow!BE28)*32%</f>
        <v>155.54073324206666</v>
      </c>
      <c r="BF51" s="27">
        <f>Tributos!$B$9*SUM(Cashflow!BF28)*32%</f>
        <v>155.54073324206666</v>
      </c>
      <c r="BG51" s="27">
        <f>Tributos!$B$9*SUM(Cashflow!BG28)*32%</f>
        <v>160.20695523932866</v>
      </c>
      <c r="BH51" s="27">
        <f>Tributos!$B$9*SUM(Cashflow!BH28)*32%</f>
        <v>160.20695523932866</v>
      </c>
      <c r="BI51" s="27">
        <f>Tributos!$B$9*SUM(Cashflow!BI28)*32%</f>
        <v>160.20695523932866</v>
      </c>
      <c r="BJ51" s="27">
        <f>Tributos!$B$9*SUM(Cashflow!BJ28)*32%</f>
        <v>160.20695523932866</v>
      </c>
      <c r="BK51" s="27">
        <f>Tributos!$B$9*SUM(Cashflow!BK28)*32%</f>
        <v>160.20695523932866</v>
      </c>
      <c r="BL51" s="27">
        <f>Tributos!$B$9*SUM(Cashflow!BL28)*32%</f>
        <v>160.20695523932866</v>
      </c>
      <c r="BM51" s="27">
        <f>Tributos!$B$9*SUM(Cashflow!BM28)*32%</f>
        <v>160.20695523932866</v>
      </c>
      <c r="BN51" s="27">
        <f>Tributos!$B$9*SUM(Cashflow!BN28)*32%</f>
        <v>160.20695523932866</v>
      </c>
      <c r="BO51" s="27">
        <f>Tributos!$B$9*SUM(Cashflow!BO28)*32%</f>
        <v>160.20695523932866</v>
      </c>
      <c r="BP51" s="27">
        <f>Tributos!$B$9*SUM(Cashflow!BP28)*32%</f>
        <v>160.20695523932866</v>
      </c>
      <c r="BQ51" s="27">
        <f>Tributos!$B$9*SUM(Cashflow!BQ28)*32%</f>
        <v>160.20695523932866</v>
      </c>
      <c r="BR51" s="27">
        <f>Tributos!$B$9*SUM(Cashflow!BR28)*32%</f>
        <v>160.20695523932866</v>
      </c>
      <c r="BS51" s="27">
        <f>Tributos!$B$9*SUM(Cashflow!BS28)*32%</f>
        <v>165.0131638965085</v>
      </c>
      <c r="BT51" s="27">
        <f>Tributos!$B$9*SUM(Cashflow!BT28)*32%</f>
        <v>165.0131638965085</v>
      </c>
      <c r="BU51" s="27">
        <f>Tributos!$B$9*SUM(Cashflow!BU28)*32%</f>
        <v>165.0131638965085</v>
      </c>
      <c r="BV51" s="27">
        <f>Tributos!$B$9*SUM(Cashflow!BV28)*32%</f>
        <v>165.0131638965085</v>
      </c>
      <c r="BW51" s="27">
        <f>Tributos!$B$9*SUM(Cashflow!BW28)*32%</f>
        <v>165.0131638965085</v>
      </c>
      <c r="BX51" s="27">
        <f>Tributos!$B$9*SUM(Cashflow!BX28)*32%</f>
        <v>165.0131638965085</v>
      </c>
      <c r="BY51" s="27">
        <f>Tributos!$B$9*SUM(Cashflow!BY28)*32%</f>
        <v>165.0131638965085</v>
      </c>
      <c r="BZ51" s="27">
        <f>Tributos!$B$9*SUM(Cashflow!BZ28)*32%</f>
        <v>165.0131638965085</v>
      </c>
      <c r="CA51" s="27">
        <f>Tributos!$B$9*SUM(Cashflow!CA28)*32%</f>
        <v>165.0131638965085</v>
      </c>
      <c r="CB51" s="27">
        <f>Tributos!$B$9*SUM(Cashflow!CB28)*32%</f>
        <v>165.0131638965085</v>
      </c>
      <c r="CC51" s="27">
        <f>Tributos!$B$9*SUM(Cashflow!CC28)*32%</f>
        <v>165.0131638965085</v>
      </c>
      <c r="CD51" s="27">
        <f>Tributos!$B$9*SUM(Cashflow!CD28)*32%</f>
        <v>165.0131638965085</v>
      </c>
      <c r="CE51" s="27">
        <f>Tributos!$B$9*SUM(Cashflow!CE28)*32%</f>
        <v>169.96355881340375</v>
      </c>
      <c r="CF51" s="27">
        <f>Tributos!$B$9*SUM(Cashflow!CF28)*32%</f>
        <v>169.96355881340375</v>
      </c>
      <c r="CG51" s="27">
        <f>Tributos!$B$9*SUM(Cashflow!CG28)*32%</f>
        <v>169.96355881340375</v>
      </c>
      <c r="CH51" s="27">
        <f>Tributos!$B$9*SUM(Cashflow!CH28)*32%</f>
        <v>169.96355881340375</v>
      </c>
      <c r="CI51" s="27">
        <f>Tributos!$B$9*SUM(Cashflow!CI28)*32%</f>
        <v>169.96355881340375</v>
      </c>
      <c r="CJ51" s="27">
        <f>Tributos!$B$9*SUM(Cashflow!CJ28)*32%</f>
        <v>169.96355881340375</v>
      </c>
      <c r="CK51" s="27">
        <f>Tributos!$B$9*SUM(Cashflow!CK28)*32%</f>
        <v>169.96355881340375</v>
      </c>
      <c r="CL51" s="27">
        <f>Tributos!$B$9*SUM(Cashflow!CL28)*32%</f>
        <v>169.96355881340375</v>
      </c>
      <c r="CM51" s="27">
        <f>Tributos!$B$9*SUM(Cashflow!CM28)*32%</f>
        <v>169.96355881340375</v>
      </c>
      <c r="CN51" s="27">
        <f>Tributos!$B$9*SUM(Cashflow!CN28)*32%</f>
        <v>169.96355881340375</v>
      </c>
      <c r="CO51" s="27">
        <f>Tributos!$B$9*SUM(Cashflow!CO28)*32%</f>
        <v>169.96355881340375</v>
      </c>
      <c r="CP51" s="27">
        <f>Tributos!$B$9*SUM(Cashflow!CP28)*32%</f>
        <v>169.96355881340375</v>
      </c>
      <c r="CQ51" s="27">
        <f>Tributos!$B$9*SUM(Cashflow!CQ28)*32%</f>
        <v>175.06246557780588</v>
      </c>
      <c r="CR51" s="27">
        <f>Tributos!$B$9*SUM(Cashflow!CR28)*32%</f>
        <v>175.06246557780588</v>
      </c>
      <c r="CS51" s="27">
        <f>Tributos!$B$9*SUM(Cashflow!CS28)*32%</f>
        <v>175.06246557780588</v>
      </c>
      <c r="CT51" s="27">
        <f>Tributos!$B$9*SUM(Cashflow!CT28)*32%</f>
        <v>175.06246557780588</v>
      </c>
      <c r="CU51" s="27">
        <f>Tributos!$B$9*SUM(Cashflow!CU28)*32%</f>
        <v>175.06246557780588</v>
      </c>
      <c r="CV51" s="27">
        <f>Tributos!$B$9*SUM(Cashflow!CV28)*32%</f>
        <v>175.06246557780588</v>
      </c>
      <c r="CW51" s="27">
        <f>Tributos!$B$9*SUM(Cashflow!CW28)*32%</f>
        <v>175.06246557780588</v>
      </c>
      <c r="CX51" s="27">
        <f>Tributos!$B$9*SUM(Cashflow!CX28)*32%</f>
        <v>175.06246557780588</v>
      </c>
      <c r="CY51" s="27">
        <f>Tributos!$B$9*SUM(Cashflow!CY28)*32%</f>
        <v>175.06246557780588</v>
      </c>
      <c r="CZ51" s="27">
        <f>Tributos!$B$9*SUM(Cashflow!CZ28)*32%</f>
        <v>175.06246557780588</v>
      </c>
      <c r="DA51" s="27">
        <f>Tributos!$B$9*SUM(Cashflow!DA28)*32%</f>
        <v>175.06246557780588</v>
      </c>
      <c r="DB51" s="27">
        <f>Tributos!$B$9*SUM(Cashflow!DB28)*32%</f>
        <v>175.06246557780588</v>
      </c>
      <c r="DC51" s="27">
        <f>Tributos!$B$9*SUM(Cashflow!DC28)*32%</f>
        <v>180.31433954514006</v>
      </c>
      <c r="DD51" s="27">
        <f>Tributos!$B$9*SUM(Cashflow!DD28)*32%</f>
        <v>180.31433954514006</v>
      </c>
      <c r="DE51" s="27">
        <f>Tributos!$B$9*SUM(Cashflow!DE28)*32%</f>
        <v>180.31433954514006</v>
      </c>
      <c r="DF51" s="27">
        <f>Tributos!$B$9*SUM(Cashflow!DF28)*32%</f>
        <v>180.31433954514006</v>
      </c>
      <c r="DG51" s="27">
        <f>Tributos!$B$9*SUM(Cashflow!DG28)*32%</f>
        <v>180.31433954514006</v>
      </c>
      <c r="DH51" s="27">
        <f>Tributos!$B$9*SUM(Cashflow!DH28)*32%</f>
        <v>180.31433954514006</v>
      </c>
      <c r="DI51" s="27">
        <f>Tributos!$B$9*SUM(Cashflow!DI28)*32%</f>
        <v>180.31433954514006</v>
      </c>
      <c r="DJ51" s="27">
        <f>Tributos!$B$9*SUM(Cashflow!DJ28)*32%</f>
        <v>180.31433954514006</v>
      </c>
      <c r="DK51" s="27">
        <f>Tributos!$B$9*SUM(Cashflow!DK28)*32%</f>
        <v>180.31433954514006</v>
      </c>
      <c r="DL51" s="27">
        <f>Tributos!$B$9*SUM(Cashflow!DL28)*32%</f>
        <v>180.31433954514006</v>
      </c>
      <c r="DM51" s="27">
        <f>Tributos!$B$9*SUM(Cashflow!DM28)*32%</f>
        <v>180.31433954514006</v>
      </c>
      <c r="DN51" s="27">
        <f>Tributos!$B$9*SUM(Cashflow!DN28)*32%</f>
        <v>180.31433954514006</v>
      </c>
      <c r="DO51" s="27">
        <f>Tributos!$B$9*SUM(Cashflow!DO28)*32%</f>
        <v>185.72376973149429</v>
      </c>
      <c r="DP51" s="27">
        <f>Tributos!$B$9*SUM(Cashflow!DP28)*32%</f>
        <v>185.72376973149429</v>
      </c>
      <c r="DQ51" s="27">
        <f>Tributos!$B$9*SUM(Cashflow!DQ28)*32%</f>
        <v>185.72376973149429</v>
      </c>
      <c r="DR51" s="27">
        <f>Tributos!$B$9*SUM(Cashflow!DR28)*32%</f>
        <v>185.72376973149429</v>
      </c>
      <c r="DS51" s="27">
        <f>Tributos!$B$9*SUM(Cashflow!DS28)*32%</f>
        <v>185.72376973149429</v>
      </c>
      <c r="DT51" s="27">
        <f>Tributos!$B$9*SUM(Cashflow!DT28)*32%</f>
        <v>185.72376973149429</v>
      </c>
      <c r="DU51" s="27">
        <f>Tributos!$B$9*SUM(Cashflow!DU28)*32%</f>
        <v>185.72376973149429</v>
      </c>
      <c r="DV51" s="27">
        <f>Tributos!$B$9*SUM(Cashflow!DV28)*32%</f>
        <v>185.72376973149429</v>
      </c>
      <c r="DW51" s="27">
        <f>Tributos!$B$9*SUM(Cashflow!DW28)*32%</f>
        <v>185.72376973149429</v>
      </c>
      <c r="DX51" s="27">
        <f>Tributos!$B$9*SUM(Cashflow!DX28)*32%</f>
        <v>185.72376973149429</v>
      </c>
      <c r="DY51" s="27">
        <f>Tributos!$B$9*SUM(Cashflow!DY28)*32%</f>
        <v>185.72376973149429</v>
      </c>
      <c r="DZ51" s="27">
        <f>Tributos!$B$9*SUM(Cashflow!DZ28)*32%</f>
        <v>185.72376973149429</v>
      </c>
      <c r="EA51" s="27">
        <f>Tributos!$B$9*SUM(Cashflow!EA28)*32%</f>
        <v>0</v>
      </c>
      <c r="EB51" s="27">
        <f>Tributos!$B$9*SUM(Cashflow!EB28)*32%</f>
        <v>0</v>
      </c>
    </row>
    <row r="52" spans="6:133" x14ac:dyDescent="0.25">
      <c r="F52" s="17">
        <f t="shared" si="175"/>
        <v>43</v>
      </c>
      <c r="G52" s="33" t="s">
        <v>120</v>
      </c>
    </row>
    <row r="53" spans="6:133" x14ac:dyDescent="0.25">
      <c r="F53" s="17">
        <f t="shared" si="175"/>
        <v>44</v>
      </c>
      <c r="G53" s="27" t="s">
        <v>121</v>
      </c>
      <c r="H53" s="27">
        <v>0</v>
      </c>
      <c r="I53" s="27">
        <v>0</v>
      </c>
      <c r="J53" s="27">
        <v>0</v>
      </c>
      <c r="K53" s="27">
        <v>0</v>
      </c>
      <c r="L53" s="27">
        <v>0</v>
      </c>
      <c r="M53" s="27">
        <v>0</v>
      </c>
      <c r="N53" s="27">
        <v>0</v>
      </c>
      <c r="O53" s="27">
        <v>0</v>
      </c>
      <c r="P53" s="27">
        <v>0</v>
      </c>
      <c r="Q53" s="27">
        <v>0</v>
      </c>
      <c r="R53" s="27">
        <v>0</v>
      </c>
      <c r="S53" s="27">
        <v>0</v>
      </c>
      <c r="T53" s="27">
        <v>0</v>
      </c>
      <c r="U53" s="27">
        <v>0</v>
      </c>
      <c r="V53" s="27">
        <v>0</v>
      </c>
      <c r="W53" s="27">
        <v>0</v>
      </c>
      <c r="X53" s="27">
        <v>0</v>
      </c>
      <c r="Y53" s="27">
        <v>0</v>
      </c>
      <c r="Z53" s="27">
        <v>0</v>
      </c>
      <c r="AA53" s="27">
        <v>0</v>
      </c>
      <c r="AB53" s="27">
        <v>0</v>
      </c>
      <c r="AC53" s="27">
        <v>0</v>
      </c>
      <c r="AD53" s="27">
        <v>0</v>
      </c>
      <c r="AE53" s="27">
        <v>0</v>
      </c>
      <c r="AF53" s="27">
        <v>0</v>
      </c>
      <c r="AG53" s="27">
        <v>0</v>
      </c>
      <c r="AH53" s="27">
        <v>0</v>
      </c>
      <c r="AI53" s="27">
        <v>0</v>
      </c>
      <c r="AJ53" s="27">
        <v>0</v>
      </c>
      <c r="AK53" s="27">
        <v>0</v>
      </c>
      <c r="AL53" s="27">
        <v>0</v>
      </c>
      <c r="AM53" s="27">
        <v>0</v>
      </c>
      <c r="AN53" s="27">
        <v>0</v>
      </c>
      <c r="AO53" s="27">
        <v>0</v>
      </c>
      <c r="AP53" s="27">
        <v>0</v>
      </c>
      <c r="AQ53" s="27">
        <v>0</v>
      </c>
      <c r="AR53" s="27">
        <v>0</v>
      </c>
      <c r="AS53" s="27">
        <v>0</v>
      </c>
      <c r="AT53" s="27">
        <v>0</v>
      </c>
      <c r="AU53" s="27">
        <v>0</v>
      </c>
      <c r="AV53" s="27">
        <v>0</v>
      </c>
      <c r="AW53" s="27">
        <v>0</v>
      </c>
      <c r="AX53" s="27">
        <v>0</v>
      </c>
      <c r="AY53" s="27">
        <v>0</v>
      </c>
      <c r="AZ53" s="27">
        <v>0</v>
      </c>
      <c r="BA53" s="27">
        <v>0</v>
      </c>
      <c r="BB53" s="27">
        <v>0</v>
      </c>
      <c r="BC53" s="27">
        <v>0</v>
      </c>
      <c r="BD53" s="27">
        <v>0</v>
      </c>
      <c r="BE53" s="27">
        <v>0</v>
      </c>
      <c r="BF53" s="27">
        <v>0</v>
      </c>
      <c r="BG53" s="27">
        <v>0</v>
      </c>
      <c r="BH53" s="27">
        <v>0</v>
      </c>
      <c r="BI53" s="27">
        <v>0</v>
      </c>
      <c r="BJ53" s="27">
        <v>0</v>
      </c>
      <c r="BK53" s="27">
        <v>0</v>
      </c>
      <c r="BL53" s="27">
        <v>0</v>
      </c>
      <c r="BM53" s="27">
        <v>0</v>
      </c>
      <c r="BN53" s="27">
        <v>0</v>
      </c>
      <c r="BO53" s="27">
        <v>0</v>
      </c>
      <c r="BP53" s="27">
        <v>0</v>
      </c>
      <c r="BQ53" s="27">
        <v>0</v>
      </c>
      <c r="BR53" s="27">
        <v>0</v>
      </c>
      <c r="BS53" s="27">
        <v>0</v>
      </c>
      <c r="BT53" s="27">
        <v>0</v>
      </c>
      <c r="BU53" s="27">
        <v>0</v>
      </c>
      <c r="BV53" s="27">
        <v>0</v>
      </c>
      <c r="BW53" s="27">
        <v>0</v>
      </c>
      <c r="BX53" s="27">
        <v>0</v>
      </c>
      <c r="BY53" s="27">
        <v>0</v>
      </c>
      <c r="BZ53" s="27">
        <v>0</v>
      </c>
      <c r="CA53" s="27">
        <v>0</v>
      </c>
      <c r="CB53" s="27">
        <v>0</v>
      </c>
      <c r="CC53" s="27">
        <v>0</v>
      </c>
      <c r="CD53" s="27">
        <v>0</v>
      </c>
      <c r="CE53" s="27">
        <v>0</v>
      </c>
      <c r="CF53" s="27">
        <v>0</v>
      </c>
      <c r="CG53" s="27">
        <v>0</v>
      </c>
      <c r="CH53" s="27">
        <v>0</v>
      </c>
      <c r="CI53" s="27">
        <v>0</v>
      </c>
      <c r="CJ53" s="27">
        <v>0</v>
      </c>
      <c r="CK53" s="27">
        <v>0</v>
      </c>
      <c r="CL53" s="27">
        <v>0</v>
      </c>
      <c r="CM53" s="27">
        <v>0</v>
      </c>
      <c r="CN53" s="27">
        <v>0</v>
      </c>
      <c r="CO53" s="27">
        <v>0</v>
      </c>
      <c r="CP53" s="27">
        <v>0</v>
      </c>
      <c r="CQ53" s="27">
        <v>0</v>
      </c>
      <c r="CR53" s="27">
        <v>0</v>
      </c>
      <c r="CS53" s="27">
        <v>0</v>
      </c>
      <c r="CT53" s="27">
        <v>0</v>
      </c>
      <c r="CU53" s="27">
        <v>0</v>
      </c>
      <c r="CV53" s="27">
        <v>0</v>
      </c>
      <c r="CW53" s="27">
        <v>0</v>
      </c>
      <c r="CX53" s="27">
        <v>0</v>
      </c>
      <c r="CY53" s="27">
        <v>0</v>
      </c>
      <c r="CZ53" s="27">
        <v>0</v>
      </c>
      <c r="DA53" s="27">
        <v>0</v>
      </c>
      <c r="DB53" s="27">
        <v>0</v>
      </c>
      <c r="DC53" s="27">
        <v>0</v>
      </c>
      <c r="DD53" s="27">
        <v>0</v>
      </c>
      <c r="DE53" s="27">
        <v>0</v>
      </c>
      <c r="DF53" s="27">
        <v>0</v>
      </c>
      <c r="DG53" s="27">
        <v>0</v>
      </c>
      <c r="DH53" s="27">
        <v>0</v>
      </c>
      <c r="DI53" s="27">
        <v>0</v>
      </c>
      <c r="DJ53" s="27">
        <v>0</v>
      </c>
      <c r="DK53" s="27">
        <v>0</v>
      </c>
      <c r="DL53" s="27">
        <v>0</v>
      </c>
      <c r="DM53" s="27">
        <v>0</v>
      </c>
      <c r="DN53" s="27">
        <v>0</v>
      </c>
      <c r="DO53" s="27">
        <v>0</v>
      </c>
      <c r="DP53" s="27">
        <v>0</v>
      </c>
      <c r="DQ53" s="27">
        <v>0</v>
      </c>
      <c r="DR53" s="27">
        <v>0</v>
      </c>
      <c r="DS53" s="27">
        <v>0</v>
      </c>
      <c r="DT53" s="27">
        <v>0</v>
      </c>
      <c r="DU53" s="27">
        <v>0</v>
      </c>
      <c r="DV53" s="27">
        <v>0</v>
      </c>
      <c r="DW53" s="27">
        <v>0</v>
      </c>
      <c r="DX53" s="27">
        <v>0</v>
      </c>
      <c r="DY53" s="27">
        <v>0</v>
      </c>
      <c r="DZ53" s="27">
        <v>0</v>
      </c>
      <c r="EA53" s="27">
        <v>0</v>
      </c>
      <c r="EB53" s="196"/>
    </row>
    <row r="54" spans="6:133" x14ac:dyDescent="0.25">
      <c r="F54" s="17">
        <f t="shared" si="175"/>
        <v>45</v>
      </c>
      <c r="G54" s="27" t="s">
        <v>122</v>
      </c>
      <c r="H54" s="27">
        <f>H28*3.2%</f>
        <v>0</v>
      </c>
      <c r="I54" s="27">
        <f t="shared" ref="I54:AS54" si="225">I28*3.2%</f>
        <v>0</v>
      </c>
      <c r="J54" s="27">
        <f t="shared" si="225"/>
        <v>0</v>
      </c>
      <c r="K54" s="27">
        <f t="shared" si="225"/>
        <v>158.15756079572446</v>
      </c>
      <c r="L54" s="27">
        <f t="shared" si="225"/>
        <v>158.15756079572446</v>
      </c>
      <c r="M54" s="27">
        <f t="shared" si="225"/>
        <v>158.15756079572446</v>
      </c>
      <c r="N54" s="27">
        <f t="shared" si="225"/>
        <v>158.15756079572446</v>
      </c>
      <c r="O54" s="27">
        <f t="shared" si="225"/>
        <v>158.15756079572446</v>
      </c>
      <c r="P54" s="27">
        <f t="shared" si="225"/>
        <v>158.15756079572446</v>
      </c>
      <c r="Q54" s="27">
        <f t="shared" si="225"/>
        <v>158.15756079572446</v>
      </c>
      <c r="R54" s="27">
        <f t="shared" si="225"/>
        <v>158.15756079572446</v>
      </c>
      <c r="S54" s="27">
        <f t="shared" si="225"/>
        <v>158.15756079572446</v>
      </c>
      <c r="T54" s="27">
        <f t="shared" si="225"/>
        <v>158.15756079572446</v>
      </c>
      <c r="U54" s="27">
        <f t="shared" si="225"/>
        <v>158.15756079572446</v>
      </c>
      <c r="V54" s="27">
        <f t="shared" si="225"/>
        <v>158.15756079572446</v>
      </c>
      <c r="W54" s="27">
        <f t="shared" si="225"/>
        <v>162.90228761959619</v>
      </c>
      <c r="X54" s="27">
        <f t="shared" si="225"/>
        <v>162.90228761959619</v>
      </c>
      <c r="Y54" s="27">
        <f t="shared" si="225"/>
        <v>162.90228761959619</v>
      </c>
      <c r="Z54" s="27">
        <f t="shared" si="225"/>
        <v>162.90228761959619</v>
      </c>
      <c r="AA54" s="27">
        <f t="shared" si="225"/>
        <v>162.90228761959619</v>
      </c>
      <c r="AB54" s="27">
        <f t="shared" si="225"/>
        <v>162.90228761959619</v>
      </c>
      <c r="AC54" s="27">
        <f t="shared" si="225"/>
        <v>162.90228761959619</v>
      </c>
      <c r="AD54" s="27">
        <f t="shared" si="225"/>
        <v>162.90228761959619</v>
      </c>
      <c r="AE54" s="27">
        <f t="shared" si="225"/>
        <v>162.90228761959619</v>
      </c>
      <c r="AF54" s="27">
        <f t="shared" si="225"/>
        <v>162.90228761959619</v>
      </c>
      <c r="AG54" s="27">
        <f t="shared" si="225"/>
        <v>162.90228761959619</v>
      </c>
      <c r="AH54" s="27">
        <f t="shared" si="225"/>
        <v>162.90228761959619</v>
      </c>
      <c r="AI54" s="27">
        <f t="shared" si="225"/>
        <v>167.78935624818408</v>
      </c>
      <c r="AJ54" s="27">
        <f t="shared" si="225"/>
        <v>167.78935624818408</v>
      </c>
      <c r="AK54" s="27">
        <f t="shared" si="225"/>
        <v>167.78935624818408</v>
      </c>
      <c r="AL54" s="27">
        <f t="shared" si="225"/>
        <v>167.78935624818408</v>
      </c>
      <c r="AM54" s="27">
        <f t="shared" si="225"/>
        <v>167.78935624818408</v>
      </c>
      <c r="AN54" s="27">
        <f t="shared" si="225"/>
        <v>167.78935624818408</v>
      </c>
      <c r="AO54" s="27">
        <f t="shared" si="225"/>
        <v>167.78935624818408</v>
      </c>
      <c r="AP54" s="27">
        <f t="shared" si="225"/>
        <v>167.78935624818408</v>
      </c>
      <c r="AQ54" s="27">
        <f t="shared" si="225"/>
        <v>167.78935624818408</v>
      </c>
      <c r="AR54" s="27">
        <f t="shared" si="225"/>
        <v>167.78935624818408</v>
      </c>
      <c r="AS54" s="27">
        <f t="shared" si="225"/>
        <v>167.78935624818408</v>
      </c>
      <c r="AT54" s="27">
        <f t="shared" ref="AT54:BE54" si="226">AT28*3.2%</f>
        <v>167.78935624818408</v>
      </c>
      <c r="AU54" s="27">
        <f t="shared" si="226"/>
        <v>172.82303693562963</v>
      </c>
      <c r="AV54" s="27">
        <f t="shared" si="226"/>
        <v>172.82303693562963</v>
      </c>
      <c r="AW54" s="27">
        <f t="shared" si="226"/>
        <v>172.82303693562963</v>
      </c>
      <c r="AX54" s="27">
        <f t="shared" si="226"/>
        <v>172.82303693562963</v>
      </c>
      <c r="AY54" s="27">
        <f t="shared" si="226"/>
        <v>172.82303693562963</v>
      </c>
      <c r="AZ54" s="27">
        <f t="shared" si="226"/>
        <v>172.82303693562963</v>
      </c>
      <c r="BA54" s="27">
        <f t="shared" si="226"/>
        <v>172.82303693562963</v>
      </c>
      <c r="BB54" s="27">
        <f t="shared" si="226"/>
        <v>172.82303693562963</v>
      </c>
      <c r="BC54" s="27">
        <f t="shared" si="226"/>
        <v>172.82303693562963</v>
      </c>
      <c r="BD54" s="27">
        <f t="shared" si="226"/>
        <v>172.82303693562963</v>
      </c>
      <c r="BE54" s="27">
        <f t="shared" si="226"/>
        <v>172.82303693562963</v>
      </c>
      <c r="BF54" s="27">
        <f t="shared" ref="BF54:BV54" si="227">BF28*3.2%</f>
        <v>172.82303693562963</v>
      </c>
      <c r="BG54" s="27">
        <f t="shared" si="227"/>
        <v>178.00772804369851</v>
      </c>
      <c r="BH54" s="27">
        <f t="shared" si="227"/>
        <v>178.00772804369851</v>
      </c>
      <c r="BI54" s="27">
        <f t="shared" si="227"/>
        <v>178.00772804369851</v>
      </c>
      <c r="BJ54" s="27">
        <f t="shared" si="227"/>
        <v>178.00772804369851</v>
      </c>
      <c r="BK54" s="27">
        <f t="shared" si="227"/>
        <v>178.00772804369851</v>
      </c>
      <c r="BL54" s="27">
        <f t="shared" si="227"/>
        <v>178.00772804369851</v>
      </c>
      <c r="BM54" s="27">
        <f t="shared" si="227"/>
        <v>178.00772804369851</v>
      </c>
      <c r="BN54" s="27">
        <f t="shared" si="227"/>
        <v>178.00772804369851</v>
      </c>
      <c r="BO54" s="27">
        <f t="shared" si="227"/>
        <v>178.00772804369851</v>
      </c>
      <c r="BP54" s="27">
        <f t="shared" ref="BP54:BQ54" si="228">BP28*3.2%</f>
        <v>178.00772804369851</v>
      </c>
      <c r="BQ54" s="27">
        <f t="shared" si="228"/>
        <v>178.00772804369851</v>
      </c>
      <c r="BR54" s="27">
        <f t="shared" si="227"/>
        <v>178.00772804369851</v>
      </c>
      <c r="BS54" s="27">
        <f t="shared" ref="BS54:BT54" si="229">BS28*3.2%</f>
        <v>183.34795988500946</v>
      </c>
      <c r="BT54" s="27">
        <f t="shared" si="229"/>
        <v>183.34795988500946</v>
      </c>
      <c r="BU54" s="27">
        <f t="shared" si="227"/>
        <v>183.34795988500946</v>
      </c>
      <c r="BV54" s="27">
        <f t="shared" si="227"/>
        <v>183.34795988500946</v>
      </c>
      <c r="BW54" s="27">
        <f t="shared" ref="BW54:CH54" si="230">BW28*3.2%</f>
        <v>183.34795988500946</v>
      </c>
      <c r="BX54" s="27">
        <f t="shared" si="230"/>
        <v>183.34795988500946</v>
      </c>
      <c r="BY54" s="27">
        <f t="shared" si="230"/>
        <v>183.34795988500946</v>
      </c>
      <c r="BZ54" s="27">
        <f t="shared" si="230"/>
        <v>183.34795988500946</v>
      </c>
      <c r="CA54" s="27">
        <f t="shared" si="230"/>
        <v>183.34795988500946</v>
      </c>
      <c r="CB54" s="27">
        <f t="shared" si="230"/>
        <v>183.34795988500946</v>
      </c>
      <c r="CC54" s="27">
        <f t="shared" si="230"/>
        <v>183.34795988500946</v>
      </c>
      <c r="CD54" s="27">
        <f t="shared" si="230"/>
        <v>183.34795988500946</v>
      </c>
      <c r="CE54" s="27">
        <f t="shared" si="230"/>
        <v>188.84839868155976</v>
      </c>
      <c r="CF54" s="27">
        <f t="shared" si="230"/>
        <v>188.84839868155976</v>
      </c>
      <c r="CG54" s="27">
        <f t="shared" si="230"/>
        <v>188.84839868155976</v>
      </c>
      <c r="CH54" s="27">
        <f t="shared" si="230"/>
        <v>188.84839868155976</v>
      </c>
      <c r="CI54" s="27">
        <f t="shared" ref="CI54:CT54" si="231">CI28*3.2%</f>
        <v>188.84839868155976</v>
      </c>
      <c r="CJ54" s="27">
        <f t="shared" si="231"/>
        <v>188.84839868155976</v>
      </c>
      <c r="CK54" s="27">
        <f t="shared" si="231"/>
        <v>188.84839868155976</v>
      </c>
      <c r="CL54" s="27">
        <f t="shared" si="231"/>
        <v>188.84839868155976</v>
      </c>
      <c r="CM54" s="27">
        <f t="shared" si="231"/>
        <v>188.84839868155976</v>
      </c>
      <c r="CN54" s="27">
        <f t="shared" ref="CN54" si="232">CN28*3.2%</f>
        <v>188.84839868155976</v>
      </c>
      <c r="CO54" s="27">
        <f t="shared" si="231"/>
        <v>188.84839868155976</v>
      </c>
      <c r="CP54" s="27">
        <f t="shared" si="231"/>
        <v>188.84839868155976</v>
      </c>
      <c r="CQ54" s="27">
        <f t="shared" si="231"/>
        <v>194.51385064200656</v>
      </c>
      <c r="CR54" s="27">
        <f t="shared" si="231"/>
        <v>194.51385064200656</v>
      </c>
      <c r="CS54" s="27">
        <f t="shared" si="231"/>
        <v>194.51385064200656</v>
      </c>
      <c r="CT54" s="27">
        <f t="shared" si="231"/>
        <v>194.51385064200656</v>
      </c>
      <c r="CU54" s="27">
        <f t="shared" ref="CU54:DR54" si="233">CU28*3.2%</f>
        <v>194.51385064200656</v>
      </c>
      <c r="CV54" s="27">
        <f t="shared" si="233"/>
        <v>194.51385064200656</v>
      </c>
      <c r="CW54" s="27">
        <f t="shared" si="233"/>
        <v>194.51385064200656</v>
      </c>
      <c r="CX54" s="27">
        <f t="shared" si="233"/>
        <v>194.51385064200656</v>
      </c>
      <c r="CY54" s="27">
        <f t="shared" si="233"/>
        <v>194.51385064200656</v>
      </c>
      <c r="CZ54" s="27">
        <f t="shared" si="233"/>
        <v>194.51385064200656</v>
      </c>
      <c r="DA54" s="27">
        <f t="shared" si="233"/>
        <v>194.51385064200656</v>
      </c>
      <c r="DB54" s="27">
        <f t="shared" si="233"/>
        <v>194.51385064200656</v>
      </c>
      <c r="DC54" s="27">
        <f t="shared" si="233"/>
        <v>200.34926616126674</v>
      </c>
      <c r="DD54" s="27">
        <f t="shared" si="233"/>
        <v>200.34926616126674</v>
      </c>
      <c r="DE54" s="27">
        <f t="shared" si="233"/>
        <v>200.34926616126674</v>
      </c>
      <c r="DF54" s="27">
        <f t="shared" si="233"/>
        <v>200.34926616126674</v>
      </c>
      <c r="DG54" s="27">
        <f t="shared" si="233"/>
        <v>200.34926616126674</v>
      </c>
      <c r="DH54" s="27">
        <f t="shared" si="233"/>
        <v>200.34926616126674</v>
      </c>
      <c r="DI54" s="27">
        <f t="shared" si="233"/>
        <v>200.34926616126674</v>
      </c>
      <c r="DJ54" s="27">
        <f t="shared" si="233"/>
        <v>200.34926616126674</v>
      </c>
      <c r="DK54" s="27">
        <f t="shared" si="233"/>
        <v>200.34926616126674</v>
      </c>
      <c r="DL54" s="27">
        <f t="shared" si="233"/>
        <v>200.34926616126674</v>
      </c>
      <c r="DM54" s="27">
        <f t="shared" si="233"/>
        <v>200.34926616126674</v>
      </c>
      <c r="DN54" s="27">
        <f t="shared" si="233"/>
        <v>200.34926616126674</v>
      </c>
      <c r="DO54" s="27">
        <f t="shared" si="233"/>
        <v>206.35974414610476</v>
      </c>
      <c r="DP54" s="27">
        <f t="shared" si="233"/>
        <v>206.35974414610476</v>
      </c>
      <c r="DQ54" s="27">
        <f t="shared" si="233"/>
        <v>206.35974414610476</v>
      </c>
      <c r="DR54" s="27">
        <f t="shared" si="233"/>
        <v>206.35974414610476</v>
      </c>
      <c r="DS54" s="27">
        <f t="shared" ref="DS54:DY54" si="234">DS28*3.2%</f>
        <v>206.35974414610476</v>
      </c>
      <c r="DT54" s="27">
        <f t="shared" si="234"/>
        <v>206.35974414610476</v>
      </c>
      <c r="DU54" s="27">
        <f t="shared" si="234"/>
        <v>206.35974414610476</v>
      </c>
      <c r="DV54" s="27">
        <f t="shared" si="234"/>
        <v>206.35974414610476</v>
      </c>
      <c r="DW54" s="27">
        <f t="shared" si="234"/>
        <v>206.35974414610476</v>
      </c>
      <c r="DX54" s="27">
        <f t="shared" si="234"/>
        <v>206.35974414610476</v>
      </c>
      <c r="DY54" s="27">
        <f t="shared" si="234"/>
        <v>206.35974414610476</v>
      </c>
      <c r="DZ54" s="27">
        <f>DZ28*3.2%</f>
        <v>206.35974414610476</v>
      </c>
      <c r="EA54" s="27">
        <f>EA28*3.2%</f>
        <v>0</v>
      </c>
      <c r="EB54" s="196"/>
    </row>
    <row r="55" spans="6:133" x14ac:dyDescent="0.25">
      <c r="F55" s="17"/>
      <c r="G55" s="27" t="s">
        <v>111</v>
      </c>
      <c r="H55" s="27">
        <v>0</v>
      </c>
      <c r="I55" s="27">
        <v>0</v>
      </c>
      <c r="J55" s="27">
        <v>0</v>
      </c>
      <c r="K55" s="27">
        <v>0</v>
      </c>
      <c r="L55" s="27">
        <v>0</v>
      </c>
      <c r="M55" s="27">
        <v>0</v>
      </c>
      <c r="N55" s="27">
        <v>0</v>
      </c>
      <c r="O55" s="27">
        <v>0</v>
      </c>
      <c r="P55" s="27">
        <v>0</v>
      </c>
      <c r="Q55" s="27">
        <v>0</v>
      </c>
      <c r="R55" s="27">
        <v>0</v>
      </c>
      <c r="S55" s="27">
        <v>0</v>
      </c>
      <c r="T55" s="27">
        <v>0</v>
      </c>
      <c r="U55" s="27">
        <v>0</v>
      </c>
      <c r="V55" s="27">
        <v>0</v>
      </c>
      <c r="W55" s="27">
        <v>0</v>
      </c>
      <c r="X55" s="27">
        <v>0</v>
      </c>
      <c r="Y55" s="27">
        <v>0</v>
      </c>
      <c r="Z55" s="27">
        <v>0</v>
      </c>
      <c r="AA55" s="27">
        <v>0</v>
      </c>
      <c r="AB55" s="27">
        <v>0</v>
      </c>
      <c r="AC55" s="27">
        <v>0</v>
      </c>
      <c r="AD55" s="27">
        <v>0</v>
      </c>
      <c r="AE55" s="27">
        <v>0</v>
      </c>
      <c r="AF55" s="27">
        <v>0</v>
      </c>
      <c r="AG55" s="27">
        <v>0</v>
      </c>
      <c r="AH55" s="27">
        <v>0</v>
      </c>
      <c r="AI55" s="27">
        <v>0</v>
      </c>
      <c r="AJ55" s="27">
        <v>0</v>
      </c>
      <c r="AK55" s="27">
        <v>0</v>
      </c>
      <c r="AL55" s="27">
        <v>0</v>
      </c>
      <c r="AM55" s="27">
        <v>0</v>
      </c>
      <c r="AN55" s="27">
        <v>0</v>
      </c>
      <c r="AO55" s="27">
        <v>0</v>
      </c>
      <c r="AP55" s="27">
        <v>0</v>
      </c>
      <c r="AQ55" s="27">
        <v>0</v>
      </c>
      <c r="AR55" s="27">
        <v>0</v>
      </c>
      <c r="AS55" s="27">
        <v>0</v>
      </c>
      <c r="AT55" s="27">
        <v>0</v>
      </c>
      <c r="AU55" s="27">
        <v>0</v>
      </c>
      <c r="AV55" s="27">
        <v>0</v>
      </c>
      <c r="AW55" s="27">
        <v>0</v>
      </c>
      <c r="AX55" s="27">
        <v>0</v>
      </c>
      <c r="AY55" s="27">
        <v>0</v>
      </c>
      <c r="AZ55" s="27">
        <v>0</v>
      </c>
      <c r="BA55" s="27">
        <v>0</v>
      </c>
      <c r="BB55" s="27">
        <v>0</v>
      </c>
      <c r="BC55" s="27">
        <v>0</v>
      </c>
      <c r="BD55" s="27">
        <v>0</v>
      </c>
      <c r="BE55" s="27">
        <v>0</v>
      </c>
      <c r="BF55" s="27">
        <v>0</v>
      </c>
      <c r="BG55" s="27">
        <v>0</v>
      </c>
      <c r="BH55" s="27">
        <v>0</v>
      </c>
      <c r="BI55" s="27">
        <v>0</v>
      </c>
      <c r="BJ55" s="27">
        <v>0</v>
      </c>
      <c r="BK55" s="27">
        <v>0</v>
      </c>
      <c r="BL55" s="27">
        <v>0</v>
      </c>
      <c r="BM55" s="27">
        <v>0</v>
      </c>
      <c r="BN55" s="27">
        <v>0</v>
      </c>
      <c r="BO55" s="27">
        <v>0</v>
      </c>
      <c r="BP55" s="27">
        <v>0</v>
      </c>
      <c r="BQ55" s="27">
        <v>0</v>
      </c>
      <c r="BR55" s="27">
        <v>0</v>
      </c>
      <c r="BS55" s="27">
        <v>0</v>
      </c>
      <c r="BT55" s="27">
        <v>0</v>
      </c>
      <c r="BU55" s="27">
        <v>0</v>
      </c>
      <c r="BV55" s="27">
        <v>0</v>
      </c>
      <c r="BW55" s="27">
        <v>0</v>
      </c>
      <c r="BX55" s="27">
        <v>0</v>
      </c>
      <c r="BY55" s="27">
        <v>0</v>
      </c>
      <c r="BZ55" s="27">
        <v>0</v>
      </c>
      <c r="CA55" s="27">
        <v>0</v>
      </c>
      <c r="CB55" s="27">
        <v>0</v>
      </c>
      <c r="CC55" s="27">
        <v>0</v>
      </c>
      <c r="CD55" s="27">
        <v>0</v>
      </c>
      <c r="CE55" s="27">
        <v>0</v>
      </c>
      <c r="CF55" s="27">
        <v>0</v>
      </c>
      <c r="CG55" s="27">
        <v>0</v>
      </c>
      <c r="CH55" s="27">
        <v>0</v>
      </c>
      <c r="CI55" s="27">
        <v>0</v>
      </c>
      <c r="CJ55" s="27">
        <v>0</v>
      </c>
      <c r="CK55" s="27">
        <v>0</v>
      </c>
      <c r="CL55" s="27">
        <v>0</v>
      </c>
      <c r="CM55" s="27">
        <v>0</v>
      </c>
      <c r="CN55" s="27">
        <v>0</v>
      </c>
      <c r="CO55" s="27">
        <v>0</v>
      </c>
      <c r="CP55" s="27">
        <v>0</v>
      </c>
      <c r="CQ55" s="27">
        <v>0</v>
      </c>
      <c r="CR55" s="27">
        <v>0</v>
      </c>
      <c r="CS55" s="27">
        <v>0</v>
      </c>
      <c r="CT55" s="27">
        <v>0</v>
      </c>
      <c r="CU55" s="27">
        <v>0</v>
      </c>
      <c r="CV55" s="27">
        <v>0</v>
      </c>
      <c r="CW55" s="27">
        <v>0</v>
      </c>
      <c r="CX55" s="27">
        <v>0</v>
      </c>
      <c r="CY55" s="27">
        <v>0</v>
      </c>
      <c r="CZ55" s="27">
        <v>0</v>
      </c>
      <c r="DA55" s="27">
        <v>0</v>
      </c>
      <c r="DB55" s="27">
        <v>0</v>
      </c>
      <c r="DC55" s="27">
        <v>0</v>
      </c>
      <c r="DD55" s="27">
        <v>0</v>
      </c>
      <c r="DE55" s="27">
        <v>0</v>
      </c>
      <c r="DF55" s="27">
        <v>0</v>
      </c>
      <c r="DG55" s="27">
        <v>0</v>
      </c>
      <c r="DH55" s="27">
        <v>0</v>
      </c>
      <c r="DI55" s="27">
        <v>0</v>
      </c>
      <c r="DJ55" s="27">
        <v>0</v>
      </c>
      <c r="DK55" s="27">
        <v>0</v>
      </c>
      <c r="DL55" s="27">
        <v>0</v>
      </c>
      <c r="DM55" s="27">
        <v>0</v>
      </c>
      <c r="DN55" s="27">
        <v>0</v>
      </c>
      <c r="DO55" s="27">
        <v>0</v>
      </c>
      <c r="DP55" s="27">
        <v>0</v>
      </c>
      <c r="DQ55" s="27">
        <v>0</v>
      </c>
      <c r="DR55" s="27">
        <v>0</v>
      </c>
      <c r="DS55" s="27">
        <v>0</v>
      </c>
      <c r="DT55" s="27">
        <v>0</v>
      </c>
      <c r="DU55" s="27">
        <v>0</v>
      </c>
      <c r="DV55" s="27">
        <v>0</v>
      </c>
      <c r="DW55" s="27">
        <v>0</v>
      </c>
      <c r="DX55" s="27">
        <v>0</v>
      </c>
      <c r="DY55" s="27">
        <v>0</v>
      </c>
      <c r="DZ55" s="27">
        <v>0</v>
      </c>
      <c r="EA55" s="27">
        <v>0</v>
      </c>
      <c r="EB55" s="196"/>
    </row>
    <row r="56" spans="6:133" x14ac:dyDescent="0.25">
      <c r="F56" s="17">
        <f>F54+1</f>
        <v>46</v>
      </c>
      <c r="G56" s="27" t="s">
        <v>123</v>
      </c>
      <c r="H56" s="27">
        <v>0</v>
      </c>
      <c r="I56" s="27">
        <v>0</v>
      </c>
      <c r="J56" s="27">
        <v>0</v>
      </c>
      <c r="K56" s="27">
        <v>0</v>
      </c>
      <c r="L56" s="27">
        <v>0</v>
      </c>
      <c r="M56" s="27">
        <v>0</v>
      </c>
      <c r="N56" s="27">
        <v>0</v>
      </c>
      <c r="O56" s="27">
        <v>0</v>
      </c>
      <c r="P56" s="27">
        <v>0</v>
      </c>
      <c r="Q56" s="27">
        <v>0</v>
      </c>
      <c r="R56" s="27">
        <v>0</v>
      </c>
      <c r="S56" s="27">
        <v>0</v>
      </c>
      <c r="T56" s="27">
        <v>0</v>
      </c>
      <c r="U56" s="27">
        <v>0</v>
      </c>
      <c r="V56" s="27">
        <v>0</v>
      </c>
      <c r="W56" s="27">
        <v>0</v>
      </c>
      <c r="X56" s="27">
        <v>0</v>
      </c>
      <c r="Y56" s="27">
        <v>0</v>
      </c>
      <c r="Z56" s="27">
        <v>0</v>
      </c>
      <c r="AA56" s="27">
        <v>0</v>
      </c>
      <c r="AB56" s="27">
        <v>0</v>
      </c>
      <c r="AC56" s="27">
        <v>0</v>
      </c>
      <c r="AD56" s="27">
        <v>0</v>
      </c>
      <c r="AE56" s="27">
        <v>0</v>
      </c>
      <c r="AF56" s="27">
        <v>0</v>
      </c>
      <c r="AG56" s="27">
        <v>0</v>
      </c>
      <c r="AH56" s="27">
        <v>0</v>
      </c>
      <c r="AI56" s="27">
        <v>0</v>
      </c>
      <c r="AJ56" s="27">
        <v>0</v>
      </c>
      <c r="AK56" s="27">
        <v>0</v>
      </c>
      <c r="AL56" s="27">
        <v>0</v>
      </c>
      <c r="AM56" s="27">
        <v>0</v>
      </c>
      <c r="AN56" s="27">
        <v>0</v>
      </c>
      <c r="AO56" s="27">
        <v>0</v>
      </c>
      <c r="AP56" s="27">
        <v>0</v>
      </c>
      <c r="AQ56" s="27">
        <v>0</v>
      </c>
      <c r="AR56" s="27">
        <v>0</v>
      </c>
      <c r="AS56" s="27">
        <v>0</v>
      </c>
      <c r="AT56" s="27">
        <v>0</v>
      </c>
      <c r="AU56" s="27">
        <v>0</v>
      </c>
      <c r="AV56" s="27">
        <v>0</v>
      </c>
      <c r="AW56" s="27">
        <v>0</v>
      </c>
      <c r="AX56" s="27">
        <v>0</v>
      </c>
      <c r="AY56" s="27">
        <v>0</v>
      </c>
      <c r="AZ56" s="27">
        <v>0</v>
      </c>
      <c r="BA56" s="27">
        <v>0</v>
      </c>
      <c r="BB56" s="27">
        <v>0</v>
      </c>
      <c r="BC56" s="27">
        <v>0</v>
      </c>
      <c r="BD56" s="27">
        <v>0</v>
      </c>
      <c r="BE56" s="27">
        <v>0</v>
      </c>
      <c r="BF56" s="27">
        <v>0</v>
      </c>
      <c r="BG56" s="27">
        <v>0</v>
      </c>
      <c r="BH56" s="27">
        <v>0</v>
      </c>
      <c r="BI56" s="27">
        <v>0</v>
      </c>
      <c r="BJ56" s="27">
        <v>0</v>
      </c>
      <c r="BK56" s="27">
        <v>0</v>
      </c>
      <c r="BL56" s="27">
        <v>0</v>
      </c>
      <c r="BM56" s="27">
        <v>0</v>
      </c>
      <c r="BN56" s="27">
        <v>0</v>
      </c>
      <c r="BO56" s="27">
        <v>0</v>
      </c>
      <c r="BP56" s="27">
        <v>0</v>
      </c>
      <c r="BQ56" s="27">
        <v>0</v>
      </c>
      <c r="BR56" s="27">
        <v>0</v>
      </c>
      <c r="BS56" s="27">
        <v>0</v>
      </c>
      <c r="BT56" s="27">
        <v>0</v>
      </c>
      <c r="BU56" s="27">
        <v>0</v>
      </c>
      <c r="BV56" s="27">
        <v>0</v>
      </c>
      <c r="BW56" s="27">
        <v>0</v>
      </c>
      <c r="BX56" s="27">
        <v>0</v>
      </c>
      <c r="BY56" s="27">
        <v>0</v>
      </c>
      <c r="BZ56" s="27">
        <v>0</v>
      </c>
      <c r="CA56" s="27">
        <v>0</v>
      </c>
      <c r="CB56" s="27">
        <v>0</v>
      </c>
      <c r="CC56" s="27">
        <v>0</v>
      </c>
      <c r="CD56" s="27">
        <v>0</v>
      </c>
      <c r="CE56" s="27">
        <v>0</v>
      </c>
      <c r="CF56" s="27">
        <v>0</v>
      </c>
      <c r="CG56" s="27">
        <v>0</v>
      </c>
      <c r="CH56" s="27">
        <v>0</v>
      </c>
      <c r="CI56" s="27">
        <v>0</v>
      </c>
      <c r="CJ56" s="27">
        <v>0</v>
      </c>
      <c r="CK56" s="27">
        <v>0</v>
      </c>
      <c r="CL56" s="27">
        <v>0</v>
      </c>
      <c r="CM56" s="27">
        <v>0</v>
      </c>
      <c r="CN56" s="27">
        <v>0</v>
      </c>
      <c r="CO56" s="27">
        <v>0</v>
      </c>
      <c r="CP56" s="27">
        <v>0</v>
      </c>
      <c r="CQ56" s="27">
        <v>0</v>
      </c>
      <c r="CR56" s="27">
        <v>0</v>
      </c>
      <c r="CS56" s="27">
        <v>0</v>
      </c>
      <c r="CT56" s="27">
        <v>0</v>
      </c>
      <c r="CU56" s="27">
        <v>0</v>
      </c>
      <c r="CV56" s="27">
        <v>0</v>
      </c>
      <c r="CW56" s="27">
        <v>0</v>
      </c>
      <c r="CX56" s="27">
        <v>0</v>
      </c>
      <c r="CY56" s="27">
        <v>0</v>
      </c>
      <c r="CZ56" s="27">
        <v>0</v>
      </c>
      <c r="DA56" s="27">
        <v>0</v>
      </c>
      <c r="DB56" s="27">
        <v>0</v>
      </c>
      <c r="DC56" s="27">
        <v>0</v>
      </c>
      <c r="DD56" s="27">
        <v>0</v>
      </c>
      <c r="DE56" s="27">
        <v>0</v>
      </c>
      <c r="DF56" s="27">
        <v>0</v>
      </c>
      <c r="DG56" s="27">
        <v>0</v>
      </c>
      <c r="DH56" s="27">
        <v>0</v>
      </c>
      <c r="DI56" s="27">
        <v>0</v>
      </c>
      <c r="DJ56" s="27">
        <v>0</v>
      </c>
      <c r="DK56" s="27">
        <v>0</v>
      </c>
      <c r="DL56" s="27">
        <v>0</v>
      </c>
      <c r="DM56" s="27">
        <v>0</v>
      </c>
      <c r="DN56" s="27">
        <v>0</v>
      </c>
      <c r="DO56" s="27">
        <v>0</v>
      </c>
      <c r="DP56" s="27">
        <v>0</v>
      </c>
      <c r="DQ56" s="27">
        <v>0</v>
      </c>
      <c r="DR56" s="27">
        <v>0</v>
      </c>
      <c r="DS56" s="27">
        <v>0</v>
      </c>
      <c r="DT56" s="27">
        <v>0</v>
      </c>
      <c r="DU56" s="27">
        <v>0</v>
      </c>
      <c r="DV56" s="27">
        <v>0</v>
      </c>
      <c r="DW56" s="27">
        <v>0</v>
      </c>
      <c r="DX56" s="27">
        <v>0</v>
      </c>
      <c r="DY56" s="27">
        <v>0</v>
      </c>
      <c r="DZ56" s="27">
        <v>0</v>
      </c>
      <c r="EA56" s="27">
        <v>0</v>
      </c>
      <c r="EB56" s="196"/>
    </row>
    <row r="57" spans="6:133" x14ac:dyDescent="0.25">
      <c r="F57" s="17">
        <f>F56+1</f>
        <v>47</v>
      </c>
    </row>
    <row r="58" spans="6:133" x14ac:dyDescent="0.25">
      <c r="F58" s="17">
        <f t="shared" si="175"/>
        <v>48</v>
      </c>
      <c r="G58" s="165" t="s">
        <v>124</v>
      </c>
    </row>
    <row r="59" spans="6:133" x14ac:dyDescent="0.25">
      <c r="F59" s="17">
        <f t="shared" si="175"/>
        <v>49</v>
      </c>
      <c r="G59" s="27" t="s">
        <v>125</v>
      </c>
      <c r="H59" s="27">
        <f>H45-H50-H51-H54</f>
        <v>0</v>
      </c>
      <c r="I59" s="27">
        <f t="shared" ref="I59:AS59" si="235">I45-I50-I51-I54</f>
        <v>-10471.769729720105</v>
      </c>
      <c r="J59" s="27">
        <f t="shared" si="235"/>
        <v>-5732.4197297201054</v>
      </c>
      <c r="K59" s="27">
        <f t="shared" si="235"/>
        <v>-1327.7316615591794</v>
      </c>
      <c r="L59" s="27">
        <f t="shared" si="235"/>
        <v>-1327.7316615591794</v>
      </c>
      <c r="M59" s="27">
        <f t="shared" si="235"/>
        <v>-1327.7316615591794</v>
      </c>
      <c r="N59" s="27">
        <f t="shared" si="235"/>
        <v>-1327.7316615591794</v>
      </c>
      <c r="O59" s="27">
        <f t="shared" si="235"/>
        <v>-1327.7316615591794</v>
      </c>
      <c r="P59" s="27">
        <f t="shared" si="235"/>
        <v>-1327.7316615591794</v>
      </c>
      <c r="Q59" s="27">
        <f t="shared" si="235"/>
        <v>-1327.7316615591794</v>
      </c>
      <c r="R59" s="27">
        <f t="shared" si="235"/>
        <v>-1327.7316615591794</v>
      </c>
      <c r="S59" s="27">
        <f t="shared" si="235"/>
        <v>-1327.7316615591794</v>
      </c>
      <c r="T59" s="27">
        <f t="shared" si="235"/>
        <v>-1327.7316615591794</v>
      </c>
      <c r="U59" s="27">
        <f t="shared" si="235"/>
        <v>-6067.0816615591802</v>
      </c>
      <c r="V59" s="27">
        <f t="shared" si="235"/>
        <v>-1327.7316615591794</v>
      </c>
      <c r="W59" s="27">
        <f t="shared" si="235"/>
        <v>-1195.591019514351</v>
      </c>
      <c r="X59" s="27">
        <f t="shared" si="235"/>
        <v>-1195.591019514351</v>
      </c>
      <c r="Y59" s="27">
        <f t="shared" si="235"/>
        <v>-1195.591019514351</v>
      </c>
      <c r="Z59" s="27">
        <f t="shared" si="235"/>
        <v>-1195.591019514351</v>
      </c>
      <c r="AA59" s="27">
        <f t="shared" si="235"/>
        <v>-1195.591019514351</v>
      </c>
      <c r="AB59" s="27">
        <f t="shared" si="235"/>
        <v>-1195.591019514351</v>
      </c>
      <c r="AC59" s="27">
        <f t="shared" si="235"/>
        <v>-1195.591019514351</v>
      </c>
      <c r="AD59" s="27">
        <f t="shared" si="235"/>
        <v>-1195.591019514351</v>
      </c>
      <c r="AE59" s="27">
        <f t="shared" si="235"/>
        <v>-1195.591019514351</v>
      </c>
      <c r="AF59" s="27">
        <f t="shared" si="235"/>
        <v>-1195.591019514351</v>
      </c>
      <c r="AG59" s="27">
        <f t="shared" si="235"/>
        <v>-5374.0385195143517</v>
      </c>
      <c r="AH59" s="27">
        <f t="shared" si="235"/>
        <v>-1195.591019514351</v>
      </c>
      <c r="AI59" s="27">
        <f t="shared" si="235"/>
        <v>-1059.4861582081787</v>
      </c>
      <c r="AJ59" s="27">
        <f t="shared" si="235"/>
        <v>-1059.4861582081787</v>
      </c>
      <c r="AK59" s="27">
        <f t="shared" si="235"/>
        <v>-1059.4861582081787</v>
      </c>
      <c r="AL59" s="27">
        <f t="shared" si="235"/>
        <v>-1059.4861582081787</v>
      </c>
      <c r="AM59" s="27">
        <f t="shared" si="235"/>
        <v>-1059.4861582081787</v>
      </c>
      <c r="AN59" s="27">
        <f t="shared" si="235"/>
        <v>-1059.4861582081787</v>
      </c>
      <c r="AO59" s="27">
        <f t="shared" si="235"/>
        <v>-1059.4861582081787</v>
      </c>
      <c r="AP59" s="27">
        <f t="shared" si="235"/>
        <v>-1059.4861582081787</v>
      </c>
      <c r="AQ59" s="27">
        <f t="shared" si="235"/>
        <v>-1059.4861582081787</v>
      </c>
      <c r="AR59" s="27">
        <f t="shared" si="235"/>
        <v>-1059.4861582081787</v>
      </c>
      <c r="AS59" s="27">
        <f t="shared" si="235"/>
        <v>-4761.1665332081784</v>
      </c>
      <c r="AT59" s="27">
        <f t="shared" ref="AT59:BE59" si="236">AT45-AT50-AT51-AT54</f>
        <v>-1059.4861582081787</v>
      </c>
      <c r="AU59" s="27">
        <f t="shared" si="236"/>
        <v>-919.29815106282069</v>
      </c>
      <c r="AV59" s="27">
        <f t="shared" si="236"/>
        <v>-919.29815106282069</v>
      </c>
      <c r="AW59" s="27">
        <f t="shared" si="236"/>
        <v>-919.29815106282069</v>
      </c>
      <c r="AX59" s="27">
        <f t="shared" si="236"/>
        <v>-919.29815106282069</v>
      </c>
      <c r="AY59" s="27">
        <f t="shared" si="236"/>
        <v>-919.29815106282069</v>
      </c>
      <c r="AZ59" s="27">
        <f t="shared" si="236"/>
        <v>-919.29815106282069</v>
      </c>
      <c r="BA59" s="27">
        <f t="shared" si="236"/>
        <v>-919.29815106282069</v>
      </c>
      <c r="BB59" s="27">
        <f t="shared" si="236"/>
        <v>-919.29815106282069</v>
      </c>
      <c r="BC59" s="27">
        <f t="shared" si="236"/>
        <v>-919.29815106282069</v>
      </c>
      <c r="BD59" s="27">
        <f t="shared" si="236"/>
        <v>-919.29815106282069</v>
      </c>
      <c r="BE59" s="27">
        <f t="shared" si="236"/>
        <v>-4215.7264698128201</v>
      </c>
      <c r="BF59" s="27">
        <f t="shared" ref="BF59:BV59" si="237">BF45-BF50-BF51-BF54</f>
        <v>-919.29815106282069</v>
      </c>
      <c r="BG59" s="27">
        <f t="shared" si="237"/>
        <v>-774.90450370310214</v>
      </c>
      <c r="BH59" s="27">
        <f t="shared" si="237"/>
        <v>-774.90450370310214</v>
      </c>
      <c r="BI59" s="27">
        <f t="shared" si="237"/>
        <v>-774.90450370310214</v>
      </c>
      <c r="BJ59" s="27">
        <f t="shared" si="237"/>
        <v>-774.90450370310214</v>
      </c>
      <c r="BK59" s="27">
        <f t="shared" si="237"/>
        <v>-774.90450370310214</v>
      </c>
      <c r="BL59" s="27">
        <f t="shared" si="237"/>
        <v>-774.90450370310214</v>
      </c>
      <c r="BM59" s="27">
        <f t="shared" si="237"/>
        <v>-774.90450370310214</v>
      </c>
      <c r="BN59" s="27">
        <f t="shared" si="237"/>
        <v>-774.90450370310214</v>
      </c>
      <c r="BO59" s="27">
        <f t="shared" si="237"/>
        <v>-774.90450370310214</v>
      </c>
      <c r="BP59" s="27">
        <f t="shared" ref="BP59:BQ59" si="238">BP45-BP50-BP51-BP54</f>
        <v>-774.90450370310214</v>
      </c>
      <c r="BQ59" s="27">
        <f t="shared" si="238"/>
        <v>2005.5511550795036</v>
      </c>
      <c r="BR59" s="27">
        <f t="shared" si="237"/>
        <v>4957.5152260170034</v>
      </c>
      <c r="BS59" s="27">
        <f t="shared" ref="BS59:BT59" si="239">BS45-BS50-BS51-BS54</f>
        <v>5106.2406827975137</v>
      </c>
      <c r="BT59" s="27">
        <f t="shared" si="239"/>
        <v>5106.2406827975137</v>
      </c>
      <c r="BU59" s="27">
        <f t="shared" si="237"/>
        <v>5106.2406827975137</v>
      </c>
      <c r="BV59" s="27">
        <f t="shared" si="237"/>
        <v>5106.2406827975137</v>
      </c>
      <c r="BW59" s="27">
        <f t="shared" ref="BW59:CH59" si="240">BW45-BW50-BW51-BW54</f>
        <v>5106.2406827975137</v>
      </c>
      <c r="BX59" s="27">
        <f t="shared" si="240"/>
        <v>5106.2406827975137</v>
      </c>
      <c r="BY59" s="27">
        <f t="shared" si="240"/>
        <v>5106.2406827975137</v>
      </c>
      <c r="BZ59" s="27">
        <f t="shared" si="240"/>
        <v>5106.2406827975137</v>
      </c>
      <c r="CA59" s="27">
        <f t="shared" si="240"/>
        <v>5106.2406827975137</v>
      </c>
      <c r="CB59" s="27">
        <f t="shared" si="240"/>
        <v>5106.2406827975137</v>
      </c>
      <c r="CC59" s="27">
        <f t="shared" si="240"/>
        <v>2447.0712225006387</v>
      </c>
      <c r="CD59" s="27">
        <f t="shared" si="240"/>
        <v>5106.2406827975137</v>
      </c>
      <c r="CE59" s="27">
        <f t="shared" si="240"/>
        <v>5259.4279032814393</v>
      </c>
      <c r="CF59" s="27">
        <f t="shared" si="240"/>
        <v>5259.4279032814393</v>
      </c>
      <c r="CG59" s="27">
        <f t="shared" si="240"/>
        <v>5259.4279032814393</v>
      </c>
      <c r="CH59" s="27">
        <f t="shared" si="240"/>
        <v>5259.4279032814393</v>
      </c>
      <c r="CI59" s="27">
        <f t="shared" ref="CI59:CT59" si="241">CI45-CI50-CI51-CI54</f>
        <v>5259.4279032814393</v>
      </c>
      <c r="CJ59" s="27">
        <f t="shared" si="241"/>
        <v>5259.4279032814393</v>
      </c>
      <c r="CK59" s="27">
        <f t="shared" si="241"/>
        <v>5259.4279032814393</v>
      </c>
      <c r="CL59" s="27">
        <f t="shared" si="241"/>
        <v>5259.4279032814393</v>
      </c>
      <c r="CM59" s="27">
        <f t="shared" si="241"/>
        <v>5259.4279032814393</v>
      </c>
      <c r="CN59" s="27">
        <f t="shared" ref="CN59" si="242">CN45-CN50-CN51-CN54</f>
        <v>5259.4279032814393</v>
      </c>
      <c r="CO59" s="27">
        <f t="shared" si="241"/>
        <v>2849.1338620290953</v>
      </c>
      <c r="CP59" s="27">
        <f t="shared" si="241"/>
        <v>5259.4279032814393</v>
      </c>
      <c r="CQ59" s="27">
        <f t="shared" si="241"/>
        <v>5417.2107403798827</v>
      </c>
      <c r="CR59" s="27">
        <f t="shared" si="241"/>
        <v>5417.2107403798827</v>
      </c>
      <c r="CS59" s="27">
        <f t="shared" si="241"/>
        <v>5417.2107403798827</v>
      </c>
      <c r="CT59" s="27">
        <f t="shared" si="241"/>
        <v>5417.2107403798827</v>
      </c>
      <c r="CU59" s="27">
        <f t="shared" ref="CU59:DR59" si="243">CU45-CU50-CU51-CU54</f>
        <v>5417.2107403798827</v>
      </c>
      <c r="CV59" s="27">
        <f t="shared" si="243"/>
        <v>5417.2107403798827</v>
      </c>
      <c r="CW59" s="27">
        <f t="shared" si="243"/>
        <v>5417.2107403798827</v>
      </c>
      <c r="CX59" s="27">
        <f t="shared" si="243"/>
        <v>5417.2107403798827</v>
      </c>
      <c r="CY59" s="27">
        <f t="shared" si="243"/>
        <v>5417.2107403798827</v>
      </c>
      <c r="CZ59" s="27">
        <f t="shared" si="243"/>
        <v>5417.2107403798827</v>
      </c>
      <c r="DA59" s="27">
        <f t="shared" si="243"/>
        <v>3049.2255203651089</v>
      </c>
      <c r="DB59" s="27">
        <f t="shared" si="243"/>
        <v>5417.2107403798827</v>
      </c>
      <c r="DC59" s="27">
        <f t="shared" si="243"/>
        <v>5579.7270625912797</v>
      </c>
      <c r="DD59" s="27">
        <f t="shared" si="243"/>
        <v>5579.7270625912797</v>
      </c>
      <c r="DE59" s="27">
        <f t="shared" si="243"/>
        <v>5579.7270625912797</v>
      </c>
      <c r="DF59" s="27">
        <f t="shared" si="243"/>
        <v>5579.7270625912797</v>
      </c>
      <c r="DG59" s="27">
        <f t="shared" si="243"/>
        <v>5579.7270625912797</v>
      </c>
      <c r="DH59" s="27">
        <f t="shared" si="243"/>
        <v>5579.7270625912797</v>
      </c>
      <c r="DI59" s="27">
        <f t="shared" si="243"/>
        <v>5579.7270625912797</v>
      </c>
      <c r="DJ59" s="27">
        <f t="shared" si="243"/>
        <v>5579.7270625912797</v>
      </c>
      <c r="DK59" s="27">
        <f t="shared" si="243"/>
        <v>5579.7270625912797</v>
      </c>
      <c r="DL59" s="27">
        <f t="shared" si="243"/>
        <v>5579.7270625912797</v>
      </c>
      <c r="DM59" s="27">
        <f t="shared" si="243"/>
        <v>3252.781399176949</v>
      </c>
      <c r="DN59" s="27">
        <f t="shared" si="243"/>
        <v>5579.7270625912797</v>
      </c>
      <c r="DO59" s="27">
        <f t="shared" si="243"/>
        <v>5747.1188744690171</v>
      </c>
      <c r="DP59" s="27">
        <f t="shared" si="243"/>
        <v>5747.1188744690171</v>
      </c>
      <c r="DQ59" s="27">
        <f t="shared" si="243"/>
        <v>5747.1188744690171</v>
      </c>
      <c r="DR59" s="27">
        <f t="shared" si="243"/>
        <v>5747.1188744690171</v>
      </c>
      <c r="DS59" s="27">
        <f t="shared" ref="DS59:DY59" si="244">DS45-DS50-DS51-DS54</f>
        <v>5747.1188744690171</v>
      </c>
      <c r="DT59" s="27">
        <f t="shared" si="244"/>
        <v>5747.1188744690171</v>
      </c>
      <c r="DU59" s="27">
        <f t="shared" si="244"/>
        <v>5747.1188744690171</v>
      </c>
      <c r="DV59" s="27">
        <f t="shared" si="244"/>
        <v>5747.1188744690171</v>
      </c>
      <c r="DW59" s="27">
        <f t="shared" si="244"/>
        <v>5747.1188744690171</v>
      </c>
      <c r="DX59" s="27">
        <f t="shared" si="244"/>
        <v>5747.1188744690171</v>
      </c>
      <c r="DY59" s="27">
        <f t="shared" si="244"/>
        <v>3459.9815809571164</v>
      </c>
      <c r="DZ59" s="27">
        <f>DZ45-DZ50-DZ51-DZ54</f>
        <v>5747.1188744690171</v>
      </c>
      <c r="EA59" s="27">
        <f>EA45-EA50-EA51-EA54</f>
        <v>0</v>
      </c>
      <c r="EB59" s="27">
        <f>EB45-EB50-EB51-EB54</f>
        <v>0</v>
      </c>
    </row>
    <row r="60" spans="6:133" x14ac:dyDescent="0.25">
      <c r="F60" s="17">
        <f t="shared" si="175"/>
        <v>50</v>
      </c>
      <c r="G60" s="27" t="s">
        <v>126</v>
      </c>
      <c r="H60" s="27">
        <f t="shared" ref="H60:U60" si="245">H42-H53-H54-H56</f>
        <v>0</v>
      </c>
      <c r="I60" s="27">
        <f t="shared" si="245"/>
        <v>0</v>
      </c>
      <c r="J60" s="27">
        <f t="shared" si="245"/>
        <v>0</v>
      </c>
      <c r="K60" s="27">
        <f t="shared" si="245"/>
        <v>-158.15756079572446</v>
      </c>
      <c r="L60" s="27">
        <f t="shared" si="245"/>
        <v>-158.15756079572446</v>
      </c>
      <c r="M60" s="27">
        <f t="shared" si="245"/>
        <v>-158.15756079572446</v>
      </c>
      <c r="N60" s="27">
        <f t="shared" si="245"/>
        <v>-158.15756079572446</v>
      </c>
      <c r="O60" s="27">
        <f t="shared" si="245"/>
        <v>-158.15756079572446</v>
      </c>
      <c r="P60" s="27">
        <f t="shared" si="245"/>
        <v>-158.15756079572446</v>
      </c>
      <c r="Q60" s="27">
        <f t="shared" si="245"/>
        <v>-158.15756079572446</v>
      </c>
      <c r="R60" s="27">
        <f t="shared" si="245"/>
        <v>-158.15756079572446</v>
      </c>
      <c r="S60" s="27">
        <f t="shared" si="245"/>
        <v>-158.15756079572446</v>
      </c>
      <c r="T60" s="27">
        <f t="shared" si="245"/>
        <v>-158.15756079572446</v>
      </c>
      <c r="U60" s="27">
        <f t="shared" si="245"/>
        <v>-158.15756079572446</v>
      </c>
      <c r="V60" s="27">
        <f t="shared" ref="V60:AS60" si="246">V42-V53-V54-V56</f>
        <v>-158.15756079572446</v>
      </c>
      <c r="W60" s="27">
        <f t="shared" si="246"/>
        <v>-162.90228761959619</v>
      </c>
      <c r="X60" s="27">
        <f t="shared" si="246"/>
        <v>-162.90228761959619</v>
      </c>
      <c r="Y60" s="27">
        <f t="shared" si="246"/>
        <v>-162.90228761959619</v>
      </c>
      <c r="Z60" s="27">
        <f t="shared" si="246"/>
        <v>-162.90228761959619</v>
      </c>
      <c r="AA60" s="27">
        <f t="shared" si="246"/>
        <v>-162.90228761959619</v>
      </c>
      <c r="AB60" s="27">
        <f t="shared" si="246"/>
        <v>-162.90228761959619</v>
      </c>
      <c r="AC60" s="27">
        <f t="shared" si="246"/>
        <v>-162.90228761959619</v>
      </c>
      <c r="AD60" s="27">
        <f t="shared" si="246"/>
        <v>-162.90228761959619</v>
      </c>
      <c r="AE60" s="27">
        <f t="shared" si="246"/>
        <v>-162.90228761959619</v>
      </c>
      <c r="AF60" s="27">
        <f t="shared" si="246"/>
        <v>-162.90228761959619</v>
      </c>
      <c r="AG60" s="27">
        <f t="shared" si="246"/>
        <v>-162.90228761959619</v>
      </c>
      <c r="AH60" s="27">
        <f t="shared" si="246"/>
        <v>-162.90228761959619</v>
      </c>
      <c r="AI60" s="27">
        <f t="shared" ref="AI60:AN60" si="247">AI42-AI53-AI54-AI56</f>
        <v>-167.78935624818408</v>
      </c>
      <c r="AJ60" s="27">
        <f t="shared" si="247"/>
        <v>-167.78935624818408</v>
      </c>
      <c r="AK60" s="27">
        <f t="shared" si="247"/>
        <v>-167.78935624818408</v>
      </c>
      <c r="AL60" s="27">
        <f t="shared" si="247"/>
        <v>-167.78935624818408</v>
      </c>
      <c r="AM60" s="27">
        <f t="shared" si="247"/>
        <v>-167.78935624818408</v>
      </c>
      <c r="AN60" s="27">
        <f t="shared" si="247"/>
        <v>-167.78935624818408</v>
      </c>
      <c r="AO60" s="27">
        <f t="shared" si="246"/>
        <v>-167.78935624818408</v>
      </c>
      <c r="AP60" s="27">
        <f t="shared" si="246"/>
        <v>-167.78935624818408</v>
      </c>
      <c r="AQ60" s="27">
        <f t="shared" si="246"/>
        <v>-167.78935624818408</v>
      </c>
      <c r="AR60" s="27">
        <f t="shared" si="246"/>
        <v>-167.78935624818408</v>
      </c>
      <c r="AS60" s="27">
        <f t="shared" si="246"/>
        <v>-167.78935624818408</v>
      </c>
      <c r="AT60" s="27">
        <f t="shared" ref="AT60:BE60" si="248">AT42-AT53-AT54-AT56</f>
        <v>-167.78935624818408</v>
      </c>
      <c r="AU60" s="27">
        <f t="shared" si="248"/>
        <v>-172.82303693562963</v>
      </c>
      <c r="AV60" s="27">
        <f t="shared" si="248"/>
        <v>-172.82303693562963</v>
      </c>
      <c r="AW60" s="27">
        <f t="shared" si="248"/>
        <v>-172.82303693562963</v>
      </c>
      <c r="AX60" s="27">
        <f t="shared" si="248"/>
        <v>-172.82303693562963</v>
      </c>
      <c r="AY60" s="27">
        <f t="shared" si="248"/>
        <v>-172.82303693562963</v>
      </c>
      <c r="AZ60" s="27">
        <f t="shared" si="248"/>
        <v>-172.82303693562963</v>
      </c>
      <c r="BA60" s="27">
        <f t="shared" si="248"/>
        <v>-172.82303693562963</v>
      </c>
      <c r="BB60" s="27">
        <f t="shared" si="248"/>
        <v>-172.82303693562963</v>
      </c>
      <c r="BC60" s="27">
        <f t="shared" si="248"/>
        <v>-172.82303693562963</v>
      </c>
      <c r="BD60" s="27">
        <f t="shared" si="248"/>
        <v>-172.82303693562963</v>
      </c>
      <c r="BE60" s="27">
        <f t="shared" si="248"/>
        <v>-172.82303693562963</v>
      </c>
      <c r="BF60" s="27">
        <f t="shared" ref="BF60:BV60" si="249">BF42-BF53-BF54-BF56</f>
        <v>-172.82303693562963</v>
      </c>
      <c r="BG60" s="27">
        <f t="shared" si="249"/>
        <v>-178.00772804369851</v>
      </c>
      <c r="BH60" s="27">
        <f t="shared" si="249"/>
        <v>-178.00772804369851</v>
      </c>
      <c r="BI60" s="27">
        <f t="shared" si="249"/>
        <v>-178.00772804369851</v>
      </c>
      <c r="BJ60" s="27">
        <f t="shared" si="249"/>
        <v>-178.00772804369851</v>
      </c>
      <c r="BK60" s="27">
        <f t="shared" si="249"/>
        <v>-178.00772804369851</v>
      </c>
      <c r="BL60" s="27">
        <f t="shared" si="249"/>
        <v>-178.00772804369851</v>
      </c>
      <c r="BM60" s="27">
        <f t="shared" si="249"/>
        <v>-178.00772804369851</v>
      </c>
      <c r="BN60" s="27">
        <f t="shared" si="249"/>
        <v>-178.00772804369851</v>
      </c>
      <c r="BO60" s="27">
        <f t="shared" si="249"/>
        <v>-178.00772804369851</v>
      </c>
      <c r="BP60" s="27">
        <f t="shared" ref="BP60:BQ60" si="250">BP42-BP53-BP54-BP56</f>
        <v>-178.00772804369851</v>
      </c>
      <c r="BQ60" s="27">
        <f t="shared" si="250"/>
        <v>-178.00772804369851</v>
      </c>
      <c r="BR60" s="27">
        <f t="shared" si="249"/>
        <v>-178.00772804369851</v>
      </c>
      <c r="BS60" s="27">
        <f t="shared" ref="BS60:BT60" si="251">BS42-BS53-BS54-BS56</f>
        <v>-183.34795988500946</v>
      </c>
      <c r="BT60" s="27">
        <f t="shared" si="251"/>
        <v>-183.34795988500946</v>
      </c>
      <c r="BU60" s="27">
        <f t="shared" si="249"/>
        <v>-183.34795988500946</v>
      </c>
      <c r="BV60" s="27">
        <f t="shared" si="249"/>
        <v>-183.34795988500946</v>
      </c>
      <c r="BW60" s="27">
        <f t="shared" ref="BW60:CH60" si="252">BW42-BW53-BW54-BW56</f>
        <v>-183.34795988500946</v>
      </c>
      <c r="BX60" s="27">
        <f t="shared" si="252"/>
        <v>-183.34795988500946</v>
      </c>
      <c r="BY60" s="27">
        <f t="shared" si="252"/>
        <v>-183.34795988500946</v>
      </c>
      <c r="BZ60" s="27">
        <f t="shared" si="252"/>
        <v>-183.34795988500946</v>
      </c>
      <c r="CA60" s="27">
        <f t="shared" si="252"/>
        <v>-183.34795988500946</v>
      </c>
      <c r="CB60" s="27">
        <f t="shared" si="252"/>
        <v>-183.34795988500946</v>
      </c>
      <c r="CC60" s="27">
        <f t="shared" si="252"/>
        <v>-183.34795988500946</v>
      </c>
      <c r="CD60" s="27">
        <f t="shared" si="252"/>
        <v>-183.34795988500946</v>
      </c>
      <c r="CE60" s="27">
        <f t="shared" si="252"/>
        <v>-188.84839868155976</v>
      </c>
      <c r="CF60" s="27">
        <f t="shared" si="252"/>
        <v>-188.84839868155976</v>
      </c>
      <c r="CG60" s="27">
        <f t="shared" si="252"/>
        <v>-188.84839868155976</v>
      </c>
      <c r="CH60" s="27">
        <f t="shared" si="252"/>
        <v>-188.84839868155976</v>
      </c>
      <c r="CI60" s="27">
        <f t="shared" ref="CI60:CT60" si="253">CI42-CI53-CI54-CI56</f>
        <v>-188.84839868155976</v>
      </c>
      <c r="CJ60" s="27">
        <f t="shared" si="253"/>
        <v>-188.84839868155976</v>
      </c>
      <c r="CK60" s="27">
        <f t="shared" si="253"/>
        <v>-188.84839868155976</v>
      </c>
      <c r="CL60" s="27">
        <f t="shared" si="253"/>
        <v>-188.84839868155976</v>
      </c>
      <c r="CM60" s="27">
        <f t="shared" si="253"/>
        <v>-188.84839868155976</v>
      </c>
      <c r="CN60" s="27">
        <f t="shared" ref="CN60" si="254">CN42-CN53-CN54-CN56</f>
        <v>-188.84839868155976</v>
      </c>
      <c r="CO60" s="27">
        <f t="shared" si="253"/>
        <v>-188.84839868155976</v>
      </c>
      <c r="CP60" s="27">
        <f t="shared" si="253"/>
        <v>-188.84839868155976</v>
      </c>
      <c r="CQ60" s="27">
        <f t="shared" si="253"/>
        <v>-194.51385064200656</v>
      </c>
      <c r="CR60" s="27">
        <f t="shared" si="253"/>
        <v>-194.51385064200656</v>
      </c>
      <c r="CS60" s="27">
        <f t="shared" si="253"/>
        <v>-194.51385064200656</v>
      </c>
      <c r="CT60" s="27">
        <f t="shared" si="253"/>
        <v>-194.51385064200656</v>
      </c>
      <c r="CU60" s="27">
        <f t="shared" ref="CU60:DR60" si="255">CU42-CU53-CU54-CU56</f>
        <v>-194.51385064200656</v>
      </c>
      <c r="CV60" s="27">
        <f t="shared" si="255"/>
        <v>-194.51385064200656</v>
      </c>
      <c r="CW60" s="27">
        <f t="shared" si="255"/>
        <v>-194.51385064200656</v>
      </c>
      <c r="CX60" s="27">
        <f t="shared" si="255"/>
        <v>-194.51385064200656</v>
      </c>
      <c r="CY60" s="27">
        <f t="shared" si="255"/>
        <v>-194.51385064200656</v>
      </c>
      <c r="CZ60" s="27">
        <f t="shared" si="255"/>
        <v>-194.51385064200656</v>
      </c>
      <c r="DA60" s="27">
        <f t="shared" si="255"/>
        <v>-194.51385064200656</v>
      </c>
      <c r="DB60" s="27">
        <f t="shared" si="255"/>
        <v>-194.51385064200656</v>
      </c>
      <c r="DC60" s="27">
        <f t="shared" si="255"/>
        <v>-200.34926616126674</v>
      </c>
      <c r="DD60" s="27">
        <f t="shared" si="255"/>
        <v>-200.34926616126674</v>
      </c>
      <c r="DE60" s="27">
        <f t="shared" si="255"/>
        <v>-200.34926616126674</v>
      </c>
      <c r="DF60" s="27">
        <f t="shared" si="255"/>
        <v>-200.34926616126674</v>
      </c>
      <c r="DG60" s="27">
        <f t="shared" si="255"/>
        <v>-200.34926616126674</v>
      </c>
      <c r="DH60" s="27">
        <f t="shared" si="255"/>
        <v>-200.34926616126674</v>
      </c>
      <c r="DI60" s="27">
        <f t="shared" si="255"/>
        <v>-200.34926616126674</v>
      </c>
      <c r="DJ60" s="27">
        <f t="shared" si="255"/>
        <v>-200.34926616126674</v>
      </c>
      <c r="DK60" s="27">
        <f t="shared" si="255"/>
        <v>-200.34926616126674</v>
      </c>
      <c r="DL60" s="27">
        <f t="shared" si="255"/>
        <v>-200.34926616126674</v>
      </c>
      <c r="DM60" s="27">
        <f t="shared" si="255"/>
        <v>-200.34926616126674</v>
      </c>
      <c r="DN60" s="27">
        <f t="shared" si="255"/>
        <v>-200.34926616126674</v>
      </c>
      <c r="DO60" s="27">
        <f t="shared" si="255"/>
        <v>-206.35974414610476</v>
      </c>
      <c r="DP60" s="27">
        <f t="shared" si="255"/>
        <v>-206.35974414610476</v>
      </c>
      <c r="DQ60" s="27">
        <f t="shared" si="255"/>
        <v>-206.35974414610476</v>
      </c>
      <c r="DR60" s="27">
        <f t="shared" si="255"/>
        <v>-206.35974414610476</v>
      </c>
      <c r="DS60" s="27">
        <f t="shared" ref="DS60:DY60" si="256">DS42-DS53-DS54-DS56</f>
        <v>-206.35974414610476</v>
      </c>
      <c r="DT60" s="27">
        <f t="shared" si="256"/>
        <v>-206.35974414610476</v>
      </c>
      <c r="DU60" s="27">
        <f t="shared" si="256"/>
        <v>-206.35974414610476</v>
      </c>
      <c r="DV60" s="27">
        <f t="shared" si="256"/>
        <v>-206.35974414610476</v>
      </c>
      <c r="DW60" s="27">
        <f t="shared" si="256"/>
        <v>-206.35974414610476</v>
      </c>
      <c r="DX60" s="27">
        <f t="shared" si="256"/>
        <v>-206.35974414610476</v>
      </c>
      <c r="DY60" s="27">
        <f t="shared" si="256"/>
        <v>-206.35974414610476</v>
      </c>
      <c r="DZ60" s="27">
        <f>DZ42-DZ53-DZ54-DZ56</f>
        <v>-206.35974414610476</v>
      </c>
      <c r="EA60" s="27">
        <f>EA42-EA53-EA54-EA56</f>
        <v>0</v>
      </c>
      <c r="EB60" s="27">
        <f>EB42-EB53-EB54-EB56</f>
        <v>28933.699548173394</v>
      </c>
    </row>
    <row r="61" spans="6:133" x14ac:dyDescent="0.25">
      <c r="F61" s="17">
        <f t="shared" si="175"/>
        <v>51</v>
      </c>
      <c r="G61" s="28"/>
      <c r="H61" s="28"/>
      <c r="I61" s="28"/>
      <c r="J61" s="28"/>
      <c r="K61" s="28"/>
      <c r="L61" s="28"/>
      <c r="M61" s="28"/>
      <c r="N61" s="28"/>
      <c r="O61" s="28"/>
      <c r="P61" s="28"/>
      <c r="Q61" s="28"/>
      <c r="R61" s="28"/>
      <c r="S61" s="28"/>
      <c r="T61" s="28"/>
      <c r="U61" s="28"/>
      <c r="V61" s="28"/>
      <c r="W61" s="28"/>
      <c r="X61" s="28"/>
      <c r="Y61" s="28"/>
      <c r="Z61" s="28"/>
      <c r="AA61" s="28"/>
      <c r="AB61" s="28"/>
      <c r="AC61" s="28"/>
      <c r="AD61" s="28"/>
      <c r="AE61" s="28"/>
      <c r="AF61" s="28"/>
      <c r="AG61" s="28"/>
      <c r="AH61" s="28"/>
      <c r="AI61" s="28"/>
      <c r="AJ61" s="28"/>
      <c r="AK61" s="28"/>
      <c r="AL61" s="28"/>
      <c r="AM61" s="28"/>
      <c r="AN61" s="28"/>
      <c r="AO61" s="28"/>
      <c r="AP61" s="28"/>
      <c r="AQ61" s="28"/>
      <c r="AR61" s="28"/>
      <c r="AS61" s="28"/>
      <c r="AT61" s="28"/>
      <c r="AU61" s="28"/>
      <c r="AV61" s="28"/>
      <c r="AW61" s="28"/>
      <c r="AX61" s="28"/>
      <c r="AY61" s="28"/>
      <c r="AZ61" s="28"/>
      <c r="BA61" s="28"/>
      <c r="BB61" s="28"/>
      <c r="BC61" s="28"/>
      <c r="BD61" s="28"/>
      <c r="BE61" s="28"/>
      <c r="BF61" s="28"/>
      <c r="BG61" s="28"/>
      <c r="BH61" s="28"/>
      <c r="BI61" s="28"/>
      <c r="BJ61" s="28"/>
      <c r="BK61" s="28"/>
      <c r="BL61" s="28"/>
      <c r="BM61" s="28"/>
      <c r="BN61" s="28"/>
      <c r="BO61" s="28"/>
      <c r="BP61" s="28"/>
      <c r="BQ61" s="28"/>
      <c r="BR61" s="28"/>
      <c r="BS61" s="28"/>
      <c r="BT61" s="28"/>
      <c r="BU61" s="28"/>
      <c r="BV61" s="28"/>
      <c r="BW61" s="28"/>
      <c r="BX61" s="28"/>
      <c r="BY61" s="28"/>
      <c r="BZ61" s="28"/>
      <c r="CA61" s="28"/>
      <c r="CB61" s="28"/>
      <c r="CC61" s="28"/>
      <c r="CD61" s="28"/>
      <c r="CE61" s="28"/>
      <c r="CF61" s="28"/>
      <c r="CG61" s="28"/>
      <c r="CH61" s="28"/>
      <c r="CI61" s="28"/>
      <c r="CJ61" s="28"/>
      <c r="CK61" s="28"/>
      <c r="CL61" s="28"/>
      <c r="CM61" s="28"/>
      <c r="CN61" s="28"/>
      <c r="CO61" s="28"/>
      <c r="CP61" s="28"/>
      <c r="CQ61" s="28"/>
      <c r="CR61" s="28"/>
      <c r="CS61" s="28"/>
      <c r="CT61" s="28"/>
      <c r="CU61" s="28"/>
      <c r="CV61" s="28"/>
      <c r="CW61" s="28"/>
      <c r="CX61" s="28"/>
      <c r="CY61" s="28"/>
      <c r="CZ61" s="28"/>
      <c r="DA61" s="28"/>
      <c r="DB61" s="28"/>
      <c r="DC61" s="28"/>
      <c r="DD61" s="28"/>
      <c r="DE61" s="28"/>
      <c r="DF61" s="28"/>
      <c r="DG61" s="28"/>
      <c r="DH61" s="28"/>
      <c r="DI61" s="28"/>
      <c r="DJ61" s="28"/>
      <c r="DK61" s="28"/>
      <c r="DL61" s="28"/>
      <c r="DM61" s="28"/>
      <c r="DN61" s="28"/>
      <c r="DO61" s="28"/>
      <c r="DP61" s="28"/>
      <c r="DQ61" s="28"/>
      <c r="DR61" s="28"/>
      <c r="DS61" s="28"/>
      <c r="DT61" s="28"/>
      <c r="DU61" s="28"/>
      <c r="DV61" s="28"/>
      <c r="DW61" s="28"/>
      <c r="DX61" s="28"/>
      <c r="DY61" s="28"/>
      <c r="DZ61" s="28"/>
      <c r="EA61" s="28"/>
      <c r="EB61" s="28"/>
    </row>
    <row r="62" spans="6:133" x14ac:dyDescent="0.25">
      <c r="F62" s="17">
        <f t="shared" si="175"/>
        <v>52</v>
      </c>
      <c r="G62" s="32" t="s">
        <v>127</v>
      </c>
    </row>
    <row r="63" spans="6:133" x14ac:dyDescent="0.25">
      <c r="F63" s="17">
        <f t="shared" si="175"/>
        <v>53</v>
      </c>
      <c r="G63" s="27"/>
      <c r="H63" s="27">
        <f t="shared" ref="H63:EA63" si="257">H59+H31+H32</f>
        <v>0</v>
      </c>
      <c r="I63" s="27">
        <f t="shared" si="257"/>
        <v>-10471.769729720105</v>
      </c>
      <c r="J63" s="27">
        <f t="shared" si="257"/>
        <v>-5732.4197297201054</v>
      </c>
      <c r="K63" s="27">
        <f t="shared" si="257"/>
        <v>-1327.7316615591794</v>
      </c>
      <c r="L63" s="27">
        <f t="shared" si="257"/>
        <v>-1327.7316615591794</v>
      </c>
      <c r="M63" s="27">
        <f t="shared" si="257"/>
        <v>-1327.7316615591794</v>
      </c>
      <c r="N63" s="27">
        <f t="shared" si="257"/>
        <v>-1327.7316615591794</v>
      </c>
      <c r="O63" s="27">
        <f t="shared" si="257"/>
        <v>-1327.7316615591794</v>
      </c>
      <c r="P63" s="27">
        <f t="shared" si="257"/>
        <v>-1327.7316615591794</v>
      </c>
      <c r="Q63" s="27">
        <f t="shared" si="257"/>
        <v>-1327.7316615591794</v>
      </c>
      <c r="R63" s="27">
        <f t="shared" si="257"/>
        <v>-1327.7316615591794</v>
      </c>
      <c r="S63" s="27">
        <f t="shared" si="257"/>
        <v>-1327.7316615591794</v>
      </c>
      <c r="T63" s="27">
        <f t="shared" si="257"/>
        <v>-1327.7316615591794</v>
      </c>
      <c r="U63" s="27">
        <f t="shared" si="257"/>
        <v>-6067.0816615591802</v>
      </c>
      <c r="V63" s="27">
        <f t="shared" si="257"/>
        <v>-1327.7316615591794</v>
      </c>
      <c r="W63" s="27">
        <f t="shared" si="257"/>
        <v>-1195.591019514351</v>
      </c>
      <c r="X63" s="27">
        <f t="shared" si="257"/>
        <v>-1195.591019514351</v>
      </c>
      <c r="Y63" s="27">
        <f t="shared" si="257"/>
        <v>-1195.591019514351</v>
      </c>
      <c r="Z63" s="27">
        <f t="shared" si="257"/>
        <v>-1195.591019514351</v>
      </c>
      <c r="AA63" s="27">
        <f t="shared" si="257"/>
        <v>-1195.591019514351</v>
      </c>
      <c r="AB63" s="27">
        <f t="shared" si="257"/>
        <v>-1195.591019514351</v>
      </c>
      <c r="AC63" s="27">
        <f t="shared" si="257"/>
        <v>-1195.591019514351</v>
      </c>
      <c r="AD63" s="27">
        <f t="shared" si="257"/>
        <v>-1195.591019514351</v>
      </c>
      <c r="AE63" s="27">
        <f t="shared" si="257"/>
        <v>-1195.591019514351</v>
      </c>
      <c r="AF63" s="27">
        <f t="shared" si="257"/>
        <v>-1195.591019514351</v>
      </c>
      <c r="AG63" s="27">
        <f t="shared" si="257"/>
        <v>-5374.0385195143517</v>
      </c>
      <c r="AH63" s="27">
        <f t="shared" si="257"/>
        <v>-1195.591019514351</v>
      </c>
      <c r="AI63" s="27">
        <f t="shared" si="257"/>
        <v>-1059.4861582081787</v>
      </c>
      <c r="AJ63" s="27">
        <f t="shared" si="257"/>
        <v>-1059.4861582081787</v>
      </c>
      <c r="AK63" s="27">
        <f t="shared" si="257"/>
        <v>-1059.4861582081787</v>
      </c>
      <c r="AL63" s="27">
        <f t="shared" si="257"/>
        <v>-1059.4861582081787</v>
      </c>
      <c r="AM63" s="27">
        <f t="shared" si="257"/>
        <v>-1059.4861582081787</v>
      </c>
      <c r="AN63" s="27">
        <f t="shared" si="257"/>
        <v>-1059.4861582081787</v>
      </c>
      <c r="AO63" s="27">
        <f t="shared" si="257"/>
        <v>-1059.4861582081787</v>
      </c>
      <c r="AP63" s="27">
        <f t="shared" si="257"/>
        <v>-1059.4861582081787</v>
      </c>
      <c r="AQ63" s="27">
        <f t="shared" si="257"/>
        <v>-1059.4861582081787</v>
      </c>
      <c r="AR63" s="27">
        <f t="shared" si="257"/>
        <v>-1059.4861582081787</v>
      </c>
      <c r="AS63" s="27">
        <f t="shared" si="257"/>
        <v>-4761.1665332081784</v>
      </c>
      <c r="AT63" s="27">
        <f t="shared" si="257"/>
        <v>-1059.4861582081787</v>
      </c>
      <c r="AU63" s="27">
        <f t="shared" si="257"/>
        <v>-919.29815106282069</v>
      </c>
      <c r="AV63" s="27">
        <f t="shared" si="257"/>
        <v>-919.29815106282069</v>
      </c>
      <c r="AW63" s="27">
        <f t="shared" si="257"/>
        <v>-919.29815106282069</v>
      </c>
      <c r="AX63" s="27">
        <f t="shared" si="257"/>
        <v>-919.29815106282069</v>
      </c>
      <c r="AY63" s="27">
        <f t="shared" si="257"/>
        <v>-919.29815106282069</v>
      </c>
      <c r="AZ63" s="27">
        <f t="shared" si="257"/>
        <v>-919.29815106282069</v>
      </c>
      <c r="BA63" s="27">
        <f t="shared" si="257"/>
        <v>-919.29815106282069</v>
      </c>
      <c r="BB63" s="27">
        <f t="shared" si="257"/>
        <v>-919.29815106282069</v>
      </c>
      <c r="BC63" s="27">
        <f t="shared" si="257"/>
        <v>-919.29815106282069</v>
      </c>
      <c r="BD63" s="27">
        <f t="shared" si="257"/>
        <v>-919.29815106282069</v>
      </c>
      <c r="BE63" s="27">
        <f t="shared" si="257"/>
        <v>-4215.7264698128201</v>
      </c>
      <c r="BF63" s="27">
        <f t="shared" si="257"/>
        <v>-919.29815106282069</v>
      </c>
      <c r="BG63" s="27">
        <f t="shared" si="257"/>
        <v>-774.90450370310214</v>
      </c>
      <c r="BH63" s="27">
        <f t="shared" si="257"/>
        <v>-774.90450370310214</v>
      </c>
      <c r="BI63" s="27">
        <f t="shared" si="257"/>
        <v>-774.90450370310214</v>
      </c>
      <c r="BJ63" s="27">
        <f t="shared" si="257"/>
        <v>-774.90450370310214</v>
      </c>
      <c r="BK63" s="27">
        <f t="shared" si="257"/>
        <v>-774.90450370310214</v>
      </c>
      <c r="BL63" s="27">
        <f t="shared" si="257"/>
        <v>-774.90450370310214</v>
      </c>
      <c r="BM63" s="27">
        <f t="shared" si="257"/>
        <v>-774.90450370310214</v>
      </c>
      <c r="BN63" s="27">
        <f t="shared" si="257"/>
        <v>-774.90450370310214</v>
      </c>
      <c r="BO63" s="27">
        <f t="shared" si="257"/>
        <v>-774.90450370310214</v>
      </c>
      <c r="BP63" s="27">
        <f t="shared" ref="BP63:BQ63" si="258">BP59+BP31+BP32</f>
        <v>-774.90450370310214</v>
      </c>
      <c r="BQ63" s="27">
        <f t="shared" si="258"/>
        <v>2005.5511550795036</v>
      </c>
      <c r="BR63" s="27">
        <f t="shared" si="257"/>
        <v>4957.5152260170034</v>
      </c>
      <c r="BS63" s="27">
        <f t="shared" ref="BS63:BT63" si="259">BS59+BS31+BS32</f>
        <v>5106.2406827975137</v>
      </c>
      <c r="BT63" s="27">
        <f t="shared" si="259"/>
        <v>5106.2406827975137</v>
      </c>
      <c r="BU63" s="27">
        <f t="shared" si="257"/>
        <v>5106.2406827975137</v>
      </c>
      <c r="BV63" s="27">
        <f t="shared" si="257"/>
        <v>5106.2406827975137</v>
      </c>
      <c r="BW63" s="27">
        <f t="shared" ref="BW63:CH63" si="260">BW59+BW31+BW32</f>
        <v>5106.2406827975137</v>
      </c>
      <c r="BX63" s="27">
        <f t="shared" si="260"/>
        <v>5106.2406827975137</v>
      </c>
      <c r="BY63" s="27">
        <f t="shared" si="260"/>
        <v>5106.2406827975137</v>
      </c>
      <c r="BZ63" s="27">
        <f t="shared" si="260"/>
        <v>5106.2406827975137</v>
      </c>
      <c r="CA63" s="27">
        <f t="shared" si="260"/>
        <v>5106.2406827975137</v>
      </c>
      <c r="CB63" s="27">
        <f t="shared" si="260"/>
        <v>5106.2406827975137</v>
      </c>
      <c r="CC63" s="27">
        <f t="shared" si="260"/>
        <v>2447.0712225006387</v>
      </c>
      <c r="CD63" s="27">
        <f t="shared" si="260"/>
        <v>5106.2406827975137</v>
      </c>
      <c r="CE63" s="27">
        <f t="shared" si="260"/>
        <v>5259.4279032814393</v>
      </c>
      <c r="CF63" s="27">
        <f t="shared" si="260"/>
        <v>5259.4279032814393</v>
      </c>
      <c r="CG63" s="27">
        <f t="shared" si="260"/>
        <v>5259.4279032814393</v>
      </c>
      <c r="CH63" s="27">
        <f t="shared" si="260"/>
        <v>5259.4279032814393</v>
      </c>
      <c r="CI63" s="27">
        <f t="shared" ref="CI63:CT63" si="261">CI59+CI31+CI32</f>
        <v>5259.4279032814393</v>
      </c>
      <c r="CJ63" s="27">
        <f t="shared" si="261"/>
        <v>5259.4279032814393</v>
      </c>
      <c r="CK63" s="27">
        <f t="shared" si="261"/>
        <v>5259.4279032814393</v>
      </c>
      <c r="CL63" s="27">
        <f t="shared" si="261"/>
        <v>5259.4279032814393</v>
      </c>
      <c r="CM63" s="27">
        <f t="shared" si="261"/>
        <v>5259.4279032814393</v>
      </c>
      <c r="CN63" s="27">
        <f t="shared" ref="CN63" si="262">CN59+CN31+CN32</f>
        <v>5259.4279032814393</v>
      </c>
      <c r="CO63" s="27">
        <f t="shared" si="261"/>
        <v>2849.1338620290953</v>
      </c>
      <c r="CP63" s="27">
        <f t="shared" si="261"/>
        <v>5259.4279032814393</v>
      </c>
      <c r="CQ63" s="27">
        <f t="shared" si="261"/>
        <v>5417.2107403798827</v>
      </c>
      <c r="CR63" s="27">
        <f t="shared" si="261"/>
        <v>5417.2107403798827</v>
      </c>
      <c r="CS63" s="27">
        <f t="shared" si="261"/>
        <v>5417.2107403798827</v>
      </c>
      <c r="CT63" s="27">
        <f t="shared" si="261"/>
        <v>5417.2107403798827</v>
      </c>
      <c r="CU63" s="27">
        <f t="shared" ref="CU63:DR63" si="263">CU59+CU31+CU32</f>
        <v>5417.2107403798827</v>
      </c>
      <c r="CV63" s="27">
        <f t="shared" si="263"/>
        <v>5417.2107403798827</v>
      </c>
      <c r="CW63" s="27">
        <f t="shared" si="263"/>
        <v>5417.2107403798827</v>
      </c>
      <c r="CX63" s="27">
        <f t="shared" si="263"/>
        <v>5417.2107403798827</v>
      </c>
      <c r="CY63" s="27">
        <f t="shared" si="263"/>
        <v>5417.2107403798827</v>
      </c>
      <c r="CZ63" s="27">
        <f t="shared" si="263"/>
        <v>5417.2107403798827</v>
      </c>
      <c r="DA63" s="27">
        <f t="shared" si="263"/>
        <v>3049.2255203651089</v>
      </c>
      <c r="DB63" s="27">
        <f t="shared" si="263"/>
        <v>5417.2107403798827</v>
      </c>
      <c r="DC63" s="27">
        <f t="shared" si="263"/>
        <v>5579.7270625912797</v>
      </c>
      <c r="DD63" s="27">
        <f t="shared" si="263"/>
        <v>5579.7270625912797</v>
      </c>
      <c r="DE63" s="27">
        <f t="shared" si="263"/>
        <v>5579.7270625912797</v>
      </c>
      <c r="DF63" s="27">
        <f t="shared" si="263"/>
        <v>5579.7270625912797</v>
      </c>
      <c r="DG63" s="27">
        <f t="shared" si="263"/>
        <v>5579.7270625912797</v>
      </c>
      <c r="DH63" s="27">
        <f t="shared" si="263"/>
        <v>5579.7270625912797</v>
      </c>
      <c r="DI63" s="27">
        <f t="shared" si="263"/>
        <v>5579.7270625912797</v>
      </c>
      <c r="DJ63" s="27">
        <f t="shared" si="263"/>
        <v>5579.7270625912797</v>
      </c>
      <c r="DK63" s="27">
        <f t="shared" si="263"/>
        <v>5579.7270625912797</v>
      </c>
      <c r="DL63" s="27">
        <f t="shared" si="263"/>
        <v>5579.7270625912797</v>
      </c>
      <c r="DM63" s="27">
        <f t="shared" si="263"/>
        <v>3252.781399176949</v>
      </c>
      <c r="DN63" s="27">
        <f t="shared" si="263"/>
        <v>5579.7270625912797</v>
      </c>
      <c r="DO63" s="27">
        <f t="shared" si="263"/>
        <v>5747.1188744690171</v>
      </c>
      <c r="DP63" s="27">
        <f t="shared" si="263"/>
        <v>5747.1188744690171</v>
      </c>
      <c r="DQ63" s="27">
        <f t="shared" si="263"/>
        <v>5747.1188744690171</v>
      </c>
      <c r="DR63" s="27">
        <f t="shared" si="263"/>
        <v>5747.1188744690171</v>
      </c>
      <c r="DS63" s="27">
        <f t="shared" ref="DS63:DY63" si="264">DS59+DS31+DS32</f>
        <v>5747.1188744690171</v>
      </c>
      <c r="DT63" s="27">
        <f t="shared" si="264"/>
        <v>5747.1188744690171</v>
      </c>
      <c r="DU63" s="27">
        <f t="shared" si="264"/>
        <v>5747.1188744690171</v>
      </c>
      <c r="DV63" s="27">
        <f t="shared" si="264"/>
        <v>5747.1188744690171</v>
      </c>
      <c r="DW63" s="27">
        <f t="shared" si="264"/>
        <v>5747.1188744690171</v>
      </c>
      <c r="DX63" s="27">
        <f t="shared" si="264"/>
        <v>5747.1188744690171</v>
      </c>
      <c r="DY63" s="27">
        <f t="shared" si="264"/>
        <v>3459.9815809571164</v>
      </c>
      <c r="DZ63" s="27">
        <f t="shared" si="257"/>
        <v>5747.1188744690171</v>
      </c>
      <c r="EA63" s="27">
        <f t="shared" si="257"/>
        <v>0</v>
      </c>
      <c r="EB63" s="27">
        <f>EB60</f>
        <v>28933.699548173394</v>
      </c>
      <c r="EC63" s="28">
        <f>SUM(H63:EB63)</f>
        <v>255267.51283865373</v>
      </c>
    </row>
    <row r="64" spans="6:133" x14ac:dyDescent="0.25">
      <c r="F64" s="17">
        <f t="shared" si="175"/>
        <v>54</v>
      </c>
    </row>
    <row r="65" spans="6:13" x14ac:dyDescent="0.25">
      <c r="F65" s="17">
        <f t="shared" si="175"/>
        <v>55</v>
      </c>
    </row>
    <row r="66" spans="6:13" x14ac:dyDescent="0.25">
      <c r="F66" s="17">
        <f t="shared" si="175"/>
        <v>56</v>
      </c>
      <c r="G66" s="16" t="s">
        <v>128</v>
      </c>
      <c r="H66" s="190">
        <v>4942.4237748663891</v>
      </c>
      <c r="I66">
        <f>3300/3150</f>
        <v>1.0476190476190477</v>
      </c>
      <c r="J66">
        <f>3200*I66</f>
        <v>3352.3809523809527</v>
      </c>
    </row>
    <row r="67" spans="6:13" x14ac:dyDescent="0.25">
      <c r="F67" s="17">
        <f t="shared" si="175"/>
        <v>57</v>
      </c>
    </row>
    <row r="68" spans="6:13" x14ac:dyDescent="0.25">
      <c r="F68" s="17">
        <f t="shared" si="175"/>
        <v>58</v>
      </c>
      <c r="G68" s="16" t="s">
        <v>129</v>
      </c>
      <c r="H68" s="46">
        <v>0.25</v>
      </c>
    </row>
    <row r="69" spans="6:13" x14ac:dyDescent="0.25">
      <c r="F69" s="17">
        <f t="shared" si="175"/>
        <v>59</v>
      </c>
      <c r="J69">
        <f>3540/3570</f>
        <v>0.99159663865546221</v>
      </c>
    </row>
    <row r="70" spans="6:13" x14ac:dyDescent="0.25">
      <c r="F70" s="17">
        <f t="shared" si="175"/>
        <v>60</v>
      </c>
      <c r="G70" s="16" t="s">
        <v>130</v>
      </c>
      <c r="H70" s="46">
        <f>(1+H68)^(1/12)-1</f>
        <v>1.8769265121506118E-2</v>
      </c>
      <c r="J70">
        <v>3530</v>
      </c>
    </row>
    <row r="71" spans="6:13" x14ac:dyDescent="0.25">
      <c r="F71" s="17">
        <f t="shared" si="175"/>
        <v>61</v>
      </c>
      <c r="J71">
        <f>3530/3570</f>
        <v>0.98879551820728295</v>
      </c>
    </row>
    <row r="72" spans="6:13" ht="28.5" x14ac:dyDescent="0.45">
      <c r="F72" s="17">
        <f t="shared" si="175"/>
        <v>62</v>
      </c>
      <c r="G72" s="16" t="s">
        <v>131</v>
      </c>
      <c r="H72" s="34">
        <f>NPV(H70,H63:EB63)</f>
        <v>156.55739779387287</v>
      </c>
      <c r="I72" s="227" t="s">
        <v>132</v>
      </c>
      <c r="J72" s="228"/>
      <c r="K72" s="228"/>
      <c r="L72" s="228"/>
      <c r="M72" s="228"/>
    </row>
    <row r="73" spans="6:13" x14ac:dyDescent="0.25">
      <c r="F73" s="17">
        <f t="shared" si="175"/>
        <v>63</v>
      </c>
      <c r="I73" s="226"/>
    </row>
    <row r="74" spans="6:13" x14ac:dyDescent="0.25">
      <c r="F74" s="17">
        <f t="shared" si="175"/>
        <v>64</v>
      </c>
      <c r="G74" s="16" t="s">
        <v>133</v>
      </c>
      <c r="H74" s="204">
        <f>IRR(H63:EB63,0.1)</f>
        <v>1.8805955790104578E-2</v>
      </c>
    </row>
    <row r="75" spans="6:13" x14ac:dyDescent="0.25">
      <c r="F75" s="17">
        <f t="shared" si="175"/>
        <v>65</v>
      </c>
    </row>
    <row r="76" spans="6:13" x14ac:dyDescent="0.25">
      <c r="F76" s="17">
        <f t="shared" si="175"/>
        <v>66</v>
      </c>
      <c r="G76" s="234" t="s">
        <v>134</v>
      </c>
      <c r="H76">
        <v>36</v>
      </c>
      <c r="I76">
        <v>48</v>
      </c>
    </row>
    <row r="77" spans="6:13" x14ac:dyDescent="0.25">
      <c r="F77" s="17">
        <f t="shared" ref="F77" si="265">F76+1</f>
        <v>67</v>
      </c>
      <c r="G77" s="43" t="s">
        <v>135</v>
      </c>
      <c r="H77">
        <v>3950</v>
      </c>
      <c r="I77">
        <v>3570</v>
      </c>
    </row>
    <row r="78" spans="6:13" x14ac:dyDescent="0.25">
      <c r="H78" s="176">
        <v>3570</v>
      </c>
      <c r="I78" s="176">
        <f>H77-H78</f>
        <v>380</v>
      </c>
      <c r="J78" s="176">
        <f>I78*43</f>
        <v>16340</v>
      </c>
    </row>
    <row r="79" spans="6:13" x14ac:dyDescent="0.25">
      <c r="H79" s="26">
        <f>(H78/H77)-1</f>
        <v>-9.6202531645569578E-2</v>
      </c>
      <c r="J79" s="176">
        <f>J78*12</f>
        <v>196080</v>
      </c>
    </row>
    <row r="80" spans="6:13" x14ac:dyDescent="0.25">
      <c r="G80" s="248" t="s">
        <v>136</v>
      </c>
      <c r="H80" s="248"/>
      <c r="J80" s="176">
        <f>J79*3</f>
        <v>588240</v>
      </c>
    </row>
    <row r="81" spans="7:8" x14ac:dyDescent="0.25">
      <c r="G81" t="s">
        <v>137</v>
      </c>
      <c r="H81" s="126">
        <f>SUM(H21:EB21)</f>
        <v>256999.9999999998</v>
      </c>
    </row>
    <row r="82" spans="7:8" x14ac:dyDescent="0.25">
      <c r="G82" s="246" t="s">
        <v>138</v>
      </c>
      <c r="H82" s="247"/>
    </row>
    <row r="83" spans="7:8" x14ac:dyDescent="0.25">
      <c r="G83" s="161" t="s">
        <v>139</v>
      </c>
      <c r="H83" s="162">
        <f>Dados!C32</f>
        <v>257000</v>
      </c>
    </row>
    <row r="84" spans="7:8" x14ac:dyDescent="0.25">
      <c r="G84" s="161" t="s">
        <v>140</v>
      </c>
      <c r="H84" s="162">
        <f>SUM(H21:EF21)</f>
        <v>256999.9999999998</v>
      </c>
    </row>
    <row r="85" spans="7:8" x14ac:dyDescent="0.25">
      <c r="G85" t="s">
        <v>141</v>
      </c>
      <c r="H85" s="126">
        <f ca="1">IF(H83-H84&lt;0,0,H83-H85)</f>
        <v>0</v>
      </c>
    </row>
    <row r="86" spans="7:8" x14ac:dyDescent="0.25">
      <c r="H86" s="126"/>
    </row>
    <row r="87" spans="7:8" x14ac:dyDescent="0.25">
      <c r="G87" s="161" t="s">
        <v>142</v>
      </c>
      <c r="H87" s="162">
        <f>Dados!C36</f>
        <v>43838.938709353628</v>
      </c>
    </row>
    <row r="88" spans="7:8" x14ac:dyDescent="0.25">
      <c r="H88" s="126"/>
    </row>
    <row r="89" spans="7:8" ht="29.1" customHeight="1" x14ac:dyDescent="0.25">
      <c r="G89" t="s">
        <v>143</v>
      </c>
      <c r="H89" s="126">
        <f>H87</f>
        <v>43838.938709353628</v>
      </c>
    </row>
    <row r="90" spans="7:8" ht="31.5" x14ac:dyDescent="0.25">
      <c r="G90" s="163" t="s">
        <v>144</v>
      </c>
      <c r="H90" s="164">
        <f>IF(H89&gt;0,H89,0)</f>
        <v>43838.938709353628</v>
      </c>
    </row>
    <row r="91" spans="7:8" x14ac:dyDescent="0.25">
      <c r="G91" s="244" t="s">
        <v>145</v>
      </c>
      <c r="H91" s="245"/>
    </row>
    <row r="92" spans="7:8" x14ac:dyDescent="0.25">
      <c r="G92" s="27" t="s">
        <v>121</v>
      </c>
      <c r="H92" s="202">
        <f>$H$90*15%</f>
        <v>6575.8408064030436</v>
      </c>
    </row>
    <row r="93" spans="7:8" x14ac:dyDescent="0.25">
      <c r="G93" s="27" t="s">
        <v>122</v>
      </c>
      <c r="H93" s="202">
        <f>H90*10%</f>
        <v>4383.8938709353633</v>
      </c>
    </row>
    <row r="94" spans="7:8" x14ac:dyDescent="0.25">
      <c r="G94" s="27" t="s">
        <v>123</v>
      </c>
      <c r="H94" s="202">
        <f>H90*9%</f>
        <v>3945.5044838418262</v>
      </c>
    </row>
    <row r="95" spans="7:8" x14ac:dyDescent="0.25">
      <c r="G95" s="203" t="s">
        <v>146</v>
      </c>
      <c r="H95" s="202">
        <f>SUM(H92:H94)</f>
        <v>14905.239161180234</v>
      </c>
    </row>
    <row r="96" spans="7:8" x14ac:dyDescent="0.25">
      <c r="G96" s="203" t="s">
        <v>147</v>
      </c>
      <c r="H96" s="202">
        <f>H87-H95</f>
        <v>28933.699548173394</v>
      </c>
    </row>
  </sheetData>
  <mergeCells count="15">
    <mergeCell ref="CP5:DA5"/>
    <mergeCell ref="DB5:DM5"/>
    <mergeCell ref="DN5:DY5"/>
    <mergeCell ref="CD5:CO5"/>
    <mergeCell ref="G91:H91"/>
    <mergeCell ref="G82:H82"/>
    <mergeCell ref="G80:H80"/>
    <mergeCell ref="AT5:BE5"/>
    <mergeCell ref="BF5:BQ5"/>
    <mergeCell ref="BR5:CC5"/>
    <mergeCell ref="G1:H1"/>
    <mergeCell ref="G5:H5"/>
    <mergeCell ref="J5:U5"/>
    <mergeCell ref="V5:AG5"/>
    <mergeCell ref="AH5:AS5"/>
  </mergeCells>
  <dataValidations disablePrompts="1" count="1">
    <dataValidation type="list" allowBlank="1" showInputMessage="1" showErrorMessage="1" sqref="H6" xr:uid="{00000000-0002-0000-0100-000000000000}">
      <formula1>#REF!</formula1>
    </dataValidation>
  </dataValidations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FF00"/>
  </sheetPr>
  <dimension ref="A1:BW88"/>
  <sheetViews>
    <sheetView showGridLines="0" topLeftCell="A27" workbookViewId="0">
      <selection activeCell="C41" sqref="C41"/>
    </sheetView>
  </sheetViews>
  <sheetFormatPr defaultColWidth="11" defaultRowHeight="15.75" x14ac:dyDescent="0.25"/>
  <cols>
    <col min="1" max="1" width="44.125" bestFit="1" customWidth="1"/>
    <col min="2" max="2" width="13.625" bestFit="1" customWidth="1"/>
    <col min="3" max="3" width="13.125" customWidth="1"/>
    <col min="4" max="4" width="14.625" customWidth="1"/>
    <col min="5" max="5" width="11" customWidth="1"/>
    <col min="6" max="6" width="10.875" customWidth="1"/>
    <col min="8" max="8" width="11.625" bestFit="1" customWidth="1"/>
    <col min="10" max="10" width="11" bestFit="1" customWidth="1"/>
    <col min="11" max="11" width="11.875" bestFit="1" customWidth="1"/>
    <col min="12" max="12" width="11.5" bestFit="1" customWidth="1"/>
    <col min="34" max="34" width="11.875" bestFit="1" customWidth="1"/>
  </cols>
  <sheetData>
    <row r="1" spans="1:34" ht="39" customHeight="1" x14ac:dyDescent="0.25">
      <c r="A1" s="261" t="s">
        <v>148</v>
      </c>
      <c r="B1" s="261"/>
      <c r="C1" s="261"/>
      <c r="D1" s="261"/>
      <c r="E1" s="261"/>
      <c r="F1" s="261"/>
    </row>
    <row r="2" spans="1:34" ht="20.100000000000001" customHeight="1" x14ac:dyDescent="0.25">
      <c r="A2" s="261"/>
      <c r="B2" s="261"/>
      <c r="C2" s="261"/>
      <c r="D2" s="261"/>
      <c r="E2" s="261"/>
      <c r="F2" s="261"/>
    </row>
    <row r="3" spans="1:34" hidden="1" x14ac:dyDescent="0.25">
      <c r="A3" s="262" t="s">
        <v>149</v>
      </c>
      <c r="B3" s="262"/>
      <c r="C3" s="263" t="s">
        <v>150</v>
      </c>
      <c r="D3" s="264">
        <v>12</v>
      </c>
    </row>
    <row r="4" spans="1:34" ht="30.95" hidden="1" customHeight="1" x14ac:dyDescent="0.25">
      <c r="A4" s="262"/>
      <c r="B4" s="262"/>
      <c r="C4" s="263"/>
      <c r="D4" s="264"/>
    </row>
    <row r="5" spans="1:34" ht="30" hidden="1" customHeight="1" x14ac:dyDescent="0.25">
      <c r="A5" s="262"/>
      <c r="B5" s="262"/>
      <c r="C5" s="123" t="s">
        <v>14</v>
      </c>
      <c r="D5" s="124">
        <v>3</v>
      </c>
    </row>
    <row r="6" spans="1:34" ht="44.1" hidden="1" customHeight="1" x14ac:dyDescent="0.25">
      <c r="A6" s="262"/>
      <c r="B6" s="262"/>
      <c r="C6" s="125" t="s">
        <v>151</v>
      </c>
      <c r="D6" s="124">
        <f>D3+D5</f>
        <v>15</v>
      </c>
    </row>
    <row r="7" spans="1:34" ht="30" hidden="1" customHeight="1" thickBot="1" x14ac:dyDescent="0.3"/>
    <row r="8" spans="1:34" hidden="1" x14ac:dyDescent="0.25">
      <c r="A8" s="265" t="s">
        <v>152</v>
      </c>
      <c r="B8" s="266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</row>
    <row r="9" spans="1:34" ht="16.5" hidden="1" thickBot="1" x14ac:dyDescent="0.3">
      <c r="A9" s="7" t="s">
        <v>153</v>
      </c>
      <c r="B9" s="8">
        <v>260000</v>
      </c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</row>
    <row r="10" spans="1:34" hidden="1" x14ac:dyDescent="0.25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</row>
    <row r="11" spans="1:34" hidden="1" x14ac:dyDescent="0.25">
      <c r="A11" s="5"/>
      <c r="B11" s="14">
        <f>Dados!C6</f>
        <v>42705</v>
      </c>
      <c r="C11" s="14">
        <f t="shared" ref="C11:O11" si="0">EDATE(B11,1)</f>
        <v>42736</v>
      </c>
      <c r="D11" s="14">
        <f t="shared" si="0"/>
        <v>42767</v>
      </c>
      <c r="E11" s="14">
        <f t="shared" si="0"/>
        <v>42795</v>
      </c>
      <c r="F11" s="14">
        <f t="shared" si="0"/>
        <v>42826</v>
      </c>
      <c r="G11" s="14">
        <f t="shared" si="0"/>
        <v>42856</v>
      </c>
      <c r="H11" s="14">
        <f t="shared" si="0"/>
        <v>42887</v>
      </c>
      <c r="I11" s="14">
        <f t="shared" si="0"/>
        <v>42917</v>
      </c>
      <c r="J11" s="14">
        <f t="shared" si="0"/>
        <v>42948</v>
      </c>
      <c r="K11" s="14">
        <f t="shared" si="0"/>
        <v>42979</v>
      </c>
      <c r="L11" s="14">
        <f t="shared" si="0"/>
        <v>43009</v>
      </c>
      <c r="M11" s="14">
        <f t="shared" si="0"/>
        <v>43040</v>
      </c>
      <c r="N11" s="14">
        <f t="shared" si="0"/>
        <v>43070</v>
      </c>
      <c r="O11" s="14">
        <f t="shared" si="0"/>
        <v>43101</v>
      </c>
      <c r="P11" s="14"/>
      <c r="Q11" s="14"/>
      <c r="R11" s="14"/>
      <c r="S11" s="14"/>
      <c r="T11" s="14"/>
      <c r="U11" s="14"/>
      <c r="V11" s="14"/>
      <c r="W11" s="14"/>
      <c r="X11" s="14">
        <f>EDATE(O11,1)</f>
        <v>43132</v>
      </c>
      <c r="Y11" s="72">
        <f>EDATE(X11,1)</f>
        <v>43160</v>
      </c>
      <c r="Z11" s="77"/>
      <c r="AA11" s="77"/>
      <c r="AB11" s="77"/>
      <c r="AC11" s="77"/>
      <c r="AD11" s="77"/>
      <c r="AE11" s="77"/>
      <c r="AF11" s="77"/>
      <c r="AG11" s="77"/>
      <c r="AH11" s="77"/>
    </row>
    <row r="12" spans="1:34" hidden="1" x14ac:dyDescent="0.25">
      <c r="A12" s="5"/>
      <c r="B12" s="15">
        <v>0</v>
      </c>
      <c r="C12" s="15">
        <v>1</v>
      </c>
      <c r="D12" s="15">
        <v>2</v>
      </c>
      <c r="E12" s="15">
        <v>3</v>
      </c>
      <c r="F12" s="15">
        <v>4</v>
      </c>
      <c r="G12" s="15">
        <v>5</v>
      </c>
      <c r="H12" s="15">
        <v>6</v>
      </c>
      <c r="I12" s="15">
        <v>7</v>
      </c>
      <c r="J12" s="15">
        <v>8</v>
      </c>
      <c r="K12" s="15">
        <v>9</v>
      </c>
      <c r="L12" s="15">
        <v>10</v>
      </c>
      <c r="M12" s="15">
        <v>11</v>
      </c>
      <c r="N12" s="15">
        <v>12</v>
      </c>
      <c r="O12" s="15">
        <v>13</v>
      </c>
      <c r="P12" s="15"/>
      <c r="Q12" s="15"/>
      <c r="R12" s="15"/>
      <c r="S12" s="15"/>
      <c r="T12" s="15"/>
      <c r="U12" s="15"/>
      <c r="V12" s="15"/>
      <c r="W12" s="15"/>
      <c r="X12" s="15">
        <v>14</v>
      </c>
      <c r="Y12" s="73">
        <v>15</v>
      </c>
      <c r="Z12" s="78"/>
      <c r="AA12" s="78"/>
      <c r="AB12" s="78"/>
      <c r="AC12" s="78"/>
      <c r="AD12" s="78"/>
      <c r="AE12" s="78"/>
      <c r="AF12" s="78"/>
      <c r="AG12" s="78"/>
      <c r="AH12" s="78"/>
    </row>
    <row r="13" spans="1:34" hidden="1" x14ac:dyDescent="0.25">
      <c r="A13" s="12" t="s">
        <v>154</v>
      </c>
      <c r="B13" s="13">
        <v>0</v>
      </c>
      <c r="C13" s="13">
        <v>0</v>
      </c>
      <c r="D13" s="13">
        <v>0</v>
      </c>
      <c r="E13" s="13">
        <v>4226.04</v>
      </c>
      <c r="F13" s="13">
        <v>0</v>
      </c>
      <c r="G13" s="13">
        <v>0</v>
      </c>
      <c r="H13" s="13">
        <v>3678.48</v>
      </c>
      <c r="I13" s="13">
        <v>6387.9</v>
      </c>
      <c r="J13" s="13">
        <v>6321.82</v>
      </c>
      <c r="K13" s="13">
        <v>6417.5</v>
      </c>
      <c r="L13" s="13">
        <v>6233.47</v>
      </c>
      <c r="M13" s="13">
        <v>6248.4</v>
      </c>
      <c r="N13" s="13">
        <v>6299.2</v>
      </c>
      <c r="O13" s="13">
        <v>6172.51</v>
      </c>
      <c r="P13" s="13"/>
      <c r="Q13" s="13"/>
      <c r="R13" s="13"/>
      <c r="S13" s="13"/>
      <c r="T13" s="13"/>
      <c r="U13" s="13"/>
      <c r="V13" s="13"/>
      <c r="W13" s="13"/>
      <c r="X13" s="13">
        <v>6210.86</v>
      </c>
      <c r="Y13" s="74">
        <v>219215.68</v>
      </c>
      <c r="Z13" s="4"/>
      <c r="AA13" s="4"/>
      <c r="AB13" s="4"/>
      <c r="AC13" s="4"/>
      <c r="AD13" s="4"/>
      <c r="AE13" s="4"/>
      <c r="AF13" s="4"/>
      <c r="AG13" s="4"/>
      <c r="AH13" s="4"/>
    </row>
    <row r="14" spans="1:34" hidden="1" x14ac:dyDescent="0.25"/>
    <row r="15" spans="1:34" hidden="1" x14ac:dyDescent="0.25">
      <c r="A15" s="267" t="s">
        <v>155</v>
      </c>
      <c r="B15" s="268"/>
      <c r="E15" s="4"/>
      <c r="I15" s="4"/>
      <c r="J15" s="4"/>
      <c r="K15" s="6"/>
      <c r="AH15" s="4"/>
    </row>
    <row r="16" spans="1:34" hidden="1" x14ac:dyDescent="0.25">
      <c r="A16" s="71" t="s">
        <v>156</v>
      </c>
      <c r="B16" s="70">
        <v>1</v>
      </c>
      <c r="E16" s="4"/>
      <c r="I16" s="4"/>
      <c r="J16" s="4"/>
      <c r="K16" s="6"/>
      <c r="AH16" s="4"/>
    </row>
    <row r="17" spans="1:34" ht="16.5" hidden="1" thickBot="1" x14ac:dyDescent="0.3">
      <c r="A17" s="9" t="s">
        <v>157</v>
      </c>
      <c r="B17" s="10">
        <f>B16*B9</f>
        <v>260000</v>
      </c>
      <c r="AH17" s="4"/>
    </row>
    <row r="18" spans="1:34" hidden="1" x14ac:dyDescent="0.25"/>
    <row r="19" spans="1:34" hidden="1" x14ac:dyDescent="0.25">
      <c r="B19" s="14">
        <f>Dados!C6</f>
        <v>42705</v>
      </c>
      <c r="C19" s="14">
        <f t="shared" ref="C19:O19" si="1">EDATE(B19,1)</f>
        <v>42736</v>
      </c>
      <c r="D19" s="14">
        <f t="shared" si="1"/>
        <v>42767</v>
      </c>
      <c r="E19" s="14">
        <f t="shared" si="1"/>
        <v>42795</v>
      </c>
      <c r="F19" s="14">
        <f t="shared" si="1"/>
        <v>42826</v>
      </c>
      <c r="G19" s="14">
        <f t="shared" si="1"/>
        <v>42856</v>
      </c>
      <c r="H19" s="14">
        <f t="shared" si="1"/>
        <v>42887</v>
      </c>
      <c r="I19" s="14">
        <f t="shared" si="1"/>
        <v>42917</v>
      </c>
      <c r="J19" s="14">
        <f t="shared" si="1"/>
        <v>42948</v>
      </c>
      <c r="K19" s="14">
        <f t="shared" si="1"/>
        <v>42979</v>
      </c>
      <c r="L19" s="14">
        <f t="shared" si="1"/>
        <v>43009</v>
      </c>
      <c r="M19" s="14">
        <f t="shared" si="1"/>
        <v>43040</v>
      </c>
      <c r="N19" s="14">
        <f t="shared" si="1"/>
        <v>43070</v>
      </c>
      <c r="O19" s="14">
        <f t="shared" si="1"/>
        <v>43101</v>
      </c>
      <c r="P19" s="14"/>
      <c r="Q19" s="14"/>
      <c r="R19" s="14"/>
      <c r="S19" s="14"/>
      <c r="T19" s="14"/>
      <c r="U19" s="14"/>
      <c r="V19" s="14"/>
      <c r="W19" s="14"/>
      <c r="X19" s="14">
        <f>EDATE(O19,1)</f>
        <v>43132</v>
      </c>
      <c r="Y19" s="72">
        <f>EDATE(X19,1)</f>
        <v>43160</v>
      </c>
      <c r="Z19" s="77"/>
      <c r="AA19" s="77"/>
      <c r="AB19" s="77"/>
      <c r="AC19" s="77"/>
      <c r="AD19" s="77"/>
      <c r="AE19" s="77"/>
      <c r="AF19" s="77"/>
      <c r="AG19" s="77"/>
      <c r="AH19" s="77"/>
    </row>
    <row r="20" spans="1:34" hidden="1" x14ac:dyDescent="0.25">
      <c r="B20" s="15">
        <v>0</v>
      </c>
      <c r="C20" s="15">
        <f t="shared" ref="C20:O20" si="2">B20+1</f>
        <v>1</v>
      </c>
      <c r="D20" s="15">
        <f t="shared" si="2"/>
        <v>2</v>
      </c>
      <c r="E20" s="15">
        <f t="shared" si="2"/>
        <v>3</v>
      </c>
      <c r="F20" s="15">
        <f t="shared" si="2"/>
        <v>4</v>
      </c>
      <c r="G20" s="15">
        <f t="shared" si="2"/>
        <v>5</v>
      </c>
      <c r="H20" s="15">
        <f t="shared" si="2"/>
        <v>6</v>
      </c>
      <c r="I20" s="15">
        <f t="shared" si="2"/>
        <v>7</v>
      </c>
      <c r="J20" s="15">
        <f t="shared" si="2"/>
        <v>8</v>
      </c>
      <c r="K20" s="15">
        <f t="shared" si="2"/>
        <v>9</v>
      </c>
      <c r="L20" s="15">
        <f t="shared" si="2"/>
        <v>10</v>
      </c>
      <c r="M20" s="15">
        <f t="shared" si="2"/>
        <v>11</v>
      </c>
      <c r="N20" s="15">
        <f t="shared" si="2"/>
        <v>12</v>
      </c>
      <c r="O20" s="15">
        <f t="shared" si="2"/>
        <v>13</v>
      </c>
      <c r="P20" s="15"/>
      <c r="Q20" s="15"/>
      <c r="R20" s="15"/>
      <c r="S20" s="15"/>
      <c r="T20" s="15"/>
      <c r="U20" s="15"/>
      <c r="V20" s="15"/>
      <c r="W20" s="15"/>
      <c r="X20" s="15">
        <f>O20+1</f>
        <v>14</v>
      </c>
      <c r="Y20" s="73">
        <f>X20+1</f>
        <v>15</v>
      </c>
      <c r="Z20" s="78"/>
      <c r="AA20" s="78"/>
      <c r="AB20" s="78"/>
      <c r="AC20" s="78"/>
      <c r="AD20" s="78"/>
      <c r="AE20" s="78"/>
      <c r="AF20" s="78"/>
      <c r="AG20" s="78"/>
      <c r="AH20" s="78"/>
    </row>
    <row r="21" spans="1:34" hidden="1" x14ac:dyDescent="0.25">
      <c r="A21" s="12" t="s">
        <v>154</v>
      </c>
      <c r="B21" s="13" t="e">
        <f>B13*#REF!</f>
        <v>#REF!</v>
      </c>
      <c r="C21" s="13" t="e">
        <f>C13*#REF!</f>
        <v>#REF!</v>
      </c>
      <c r="D21" s="13" t="e">
        <f>D13*#REF!</f>
        <v>#REF!</v>
      </c>
      <c r="E21" s="13" t="e">
        <f>E13*#REF!</f>
        <v>#REF!</v>
      </c>
      <c r="F21" s="13" t="e">
        <f>F13*#REF!</f>
        <v>#REF!</v>
      </c>
      <c r="G21" s="13" t="e">
        <f>G13*#REF!</f>
        <v>#REF!</v>
      </c>
      <c r="H21" s="13" t="e">
        <f>H13*#REF!</f>
        <v>#REF!</v>
      </c>
      <c r="I21" s="13" t="e">
        <f>I13*#REF!</f>
        <v>#REF!</v>
      </c>
      <c r="J21" s="13" t="e">
        <f>J13*#REF!</f>
        <v>#REF!</v>
      </c>
      <c r="K21" s="13" t="e">
        <f>K13*#REF!</f>
        <v>#REF!</v>
      </c>
      <c r="L21" s="13" t="e">
        <f>L13*#REF!</f>
        <v>#REF!</v>
      </c>
      <c r="M21" s="13" t="e">
        <f>M13*#REF!</f>
        <v>#REF!</v>
      </c>
      <c r="N21" s="13" t="e">
        <f>N13*#REF!</f>
        <v>#REF!</v>
      </c>
      <c r="O21" s="13" t="e">
        <f>O13*#REF!</f>
        <v>#REF!</v>
      </c>
      <c r="P21" s="13"/>
      <c r="Q21" s="13"/>
      <c r="R21" s="13"/>
      <c r="S21" s="13"/>
      <c r="T21" s="13"/>
      <c r="U21" s="13"/>
      <c r="V21" s="13"/>
      <c r="W21" s="13"/>
      <c r="X21" s="13" t="e">
        <f>X13*#REF!</f>
        <v>#REF!</v>
      </c>
      <c r="Y21" s="74" t="e">
        <f>Y13*#REF!</f>
        <v>#REF!</v>
      </c>
      <c r="Z21" s="4"/>
      <c r="AA21" s="4"/>
      <c r="AB21" s="4"/>
      <c r="AC21" s="4"/>
      <c r="AD21" s="4"/>
      <c r="AE21" s="4"/>
      <c r="AF21" s="4"/>
      <c r="AG21" s="4"/>
      <c r="AH21" s="4"/>
    </row>
    <row r="22" spans="1:34" ht="36" customHeight="1" x14ac:dyDescent="0.25">
      <c r="A22" s="198" t="s">
        <v>158</v>
      </c>
      <c r="B22" s="131" t="s">
        <v>159</v>
      </c>
      <c r="C22" s="131" t="s">
        <v>160</v>
      </c>
      <c r="D22" s="131" t="s">
        <v>161</v>
      </c>
      <c r="E22" s="132" t="s">
        <v>162</v>
      </c>
      <c r="F22" s="132" t="s">
        <v>163</v>
      </c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</row>
    <row r="23" spans="1:34" x14ac:dyDescent="0.25">
      <c r="A23" s="199" t="s">
        <v>164</v>
      </c>
      <c r="B23" s="136">
        <v>1</v>
      </c>
      <c r="C23" s="136">
        <v>9.9000000000000008E-3</v>
      </c>
      <c r="D23" s="200">
        <v>0.13500000000000001</v>
      </c>
      <c r="E23" s="137">
        <v>60</v>
      </c>
      <c r="F23" s="137">
        <v>180</v>
      </c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</row>
    <row r="24" spans="1:34" x14ac:dyDescent="0.25">
      <c r="A24" s="199" t="s">
        <v>165</v>
      </c>
      <c r="B24" s="136">
        <v>0</v>
      </c>
      <c r="C24" s="136">
        <v>1.41E-2</v>
      </c>
      <c r="D24" s="136">
        <v>6.4799999999999996E-2</v>
      </c>
      <c r="E24" s="137">
        <v>60</v>
      </c>
      <c r="F24" s="137">
        <v>180</v>
      </c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</row>
    <row r="25" spans="1:34" x14ac:dyDescent="0.25">
      <c r="A25" s="178"/>
      <c r="B25" s="135" t="s">
        <v>166</v>
      </c>
      <c r="C25" s="136">
        <v>1.24E-2</v>
      </c>
      <c r="D25" s="136">
        <f>SUM(D23:D24)</f>
        <v>0.19980000000000001</v>
      </c>
      <c r="E25" s="137">
        <v>60</v>
      </c>
      <c r="F25" s="137">
        <v>180</v>
      </c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</row>
    <row r="26" spans="1:34" x14ac:dyDescent="0.25">
      <c r="A26" s="127" t="s">
        <v>167</v>
      </c>
      <c r="B26" s="128">
        <v>0</v>
      </c>
      <c r="C26" s="129">
        <v>0</v>
      </c>
      <c r="D26" s="129">
        <v>0</v>
      </c>
      <c r="E26" s="130">
        <v>0</v>
      </c>
      <c r="F26" s="130">
        <v>0</v>
      </c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</row>
    <row r="27" spans="1:34" x14ac:dyDescent="0.25">
      <c r="A27" s="139" t="s">
        <v>168</v>
      </c>
      <c r="B27" s="140">
        <v>0</v>
      </c>
      <c r="C27" s="141" t="s">
        <v>169</v>
      </c>
      <c r="D27" s="141" t="s">
        <v>169</v>
      </c>
      <c r="E27" s="142" t="s">
        <v>169</v>
      </c>
      <c r="F27" s="142" t="s">
        <v>169</v>
      </c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</row>
    <row r="28" spans="1:34" x14ac:dyDescent="0.25">
      <c r="A28" s="55" t="s">
        <v>170</v>
      </c>
      <c r="B28" s="138">
        <f>Dados!C29</f>
        <v>257000</v>
      </c>
      <c r="C28" s="138"/>
      <c r="D28" s="138"/>
      <c r="E28" s="138"/>
      <c r="F28" s="138"/>
    </row>
    <row r="29" spans="1:34" x14ac:dyDescent="0.25">
      <c r="A29" s="55" t="s">
        <v>171</v>
      </c>
      <c r="B29" s="138">
        <f>Dados!C30</f>
        <v>0</v>
      </c>
      <c r="C29" s="138"/>
      <c r="D29" s="138"/>
      <c r="E29" s="138"/>
      <c r="F29" s="138"/>
    </row>
    <row r="30" spans="1:34" ht="15" customHeight="1" x14ac:dyDescent="0.25">
      <c r="A30" s="262" t="str">
        <f>Dados!A29</f>
        <v>express</v>
      </c>
      <c r="B30" s="262"/>
      <c r="C30" s="270" t="s">
        <v>150</v>
      </c>
      <c r="D30" s="269">
        <f>Dados!C13</f>
        <v>60</v>
      </c>
    </row>
    <row r="31" spans="1:34" ht="32.1" customHeight="1" x14ac:dyDescent="0.25">
      <c r="A31" s="262"/>
      <c r="B31" s="262"/>
      <c r="C31" s="270"/>
      <c r="D31" s="269"/>
    </row>
    <row r="32" spans="1:34" ht="51.95" customHeight="1" x14ac:dyDescent="0.25">
      <c r="A32" s="262"/>
      <c r="B32" s="262"/>
      <c r="C32" s="110" t="s">
        <v>14</v>
      </c>
      <c r="D32" s="109">
        <f>Dados!C9</f>
        <v>2</v>
      </c>
    </row>
    <row r="33" spans="1:65" ht="78.75" x14ac:dyDescent="0.25">
      <c r="A33" s="262"/>
      <c r="B33" s="262"/>
      <c r="C33" s="110" t="str">
        <f>Dados!B11</f>
        <v>Meses para vender os caminhões após o fim do contrato</v>
      </c>
      <c r="D33" s="109">
        <f>Dados!C11</f>
        <v>2</v>
      </c>
    </row>
    <row r="34" spans="1:65" ht="24" customHeight="1" x14ac:dyDescent="0.25">
      <c r="A34" s="262"/>
      <c r="B34" s="262"/>
      <c r="C34" s="108" t="s">
        <v>151</v>
      </c>
      <c r="D34" s="109">
        <f>Dados!C13+Dados!C9+Dados!C11</f>
        <v>64</v>
      </c>
    </row>
    <row r="35" spans="1:65" ht="24" customHeight="1" thickBot="1" x14ac:dyDescent="0.3"/>
    <row r="36" spans="1:65" x14ac:dyDescent="0.25">
      <c r="A36" s="265" t="s">
        <v>172</v>
      </c>
      <c r="B36" s="266"/>
      <c r="C36" s="5"/>
      <c r="D36" s="5">
        <f>B37/4</f>
        <v>64250</v>
      </c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</row>
    <row r="37" spans="1:65" ht="16.5" thickBot="1" x14ac:dyDescent="0.3">
      <c r="A37" s="7" t="s">
        <v>153</v>
      </c>
      <c r="B37" s="8">
        <f>((B28+B29)*B23)-B58-B78</f>
        <v>257000</v>
      </c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</row>
    <row r="38" spans="1:65" x14ac:dyDescent="0.25">
      <c r="A38" s="5" t="s">
        <v>173</v>
      </c>
      <c r="B38" s="35">
        <v>1.01E-2</v>
      </c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</row>
    <row r="39" spans="1:65" x14ac:dyDescent="0.25">
      <c r="A39" s="5"/>
      <c r="B39" s="14">
        <f>Cashflow!H7</f>
        <v>43282</v>
      </c>
      <c r="C39" s="14">
        <f>EDATE(B39,1)</f>
        <v>43313</v>
      </c>
      <c r="D39" s="14">
        <f t="shared" ref="D39:AP39" si="3">EDATE(C39,1)</f>
        <v>43344</v>
      </c>
      <c r="E39" s="14">
        <f t="shared" si="3"/>
        <v>43374</v>
      </c>
      <c r="F39" s="14">
        <f t="shared" si="3"/>
        <v>43405</v>
      </c>
      <c r="G39" s="14">
        <f t="shared" si="3"/>
        <v>43435</v>
      </c>
      <c r="H39" s="14">
        <f t="shared" si="3"/>
        <v>43466</v>
      </c>
      <c r="I39" s="14">
        <f t="shared" si="3"/>
        <v>43497</v>
      </c>
      <c r="J39" s="14">
        <f t="shared" si="3"/>
        <v>43525</v>
      </c>
      <c r="K39" s="14">
        <f t="shared" si="3"/>
        <v>43556</v>
      </c>
      <c r="L39" s="14">
        <f t="shared" si="3"/>
        <v>43586</v>
      </c>
      <c r="M39" s="14">
        <f t="shared" si="3"/>
        <v>43617</v>
      </c>
      <c r="N39" s="14">
        <f t="shared" si="3"/>
        <v>43647</v>
      </c>
      <c r="O39" s="14">
        <f t="shared" si="3"/>
        <v>43678</v>
      </c>
      <c r="P39" s="14">
        <f t="shared" si="3"/>
        <v>43709</v>
      </c>
      <c r="Q39" s="14">
        <f t="shared" si="3"/>
        <v>43739</v>
      </c>
      <c r="R39" s="14">
        <f t="shared" si="3"/>
        <v>43770</v>
      </c>
      <c r="S39" s="14">
        <f t="shared" si="3"/>
        <v>43800</v>
      </c>
      <c r="T39" s="14">
        <f t="shared" si="3"/>
        <v>43831</v>
      </c>
      <c r="U39" s="14">
        <f t="shared" si="3"/>
        <v>43862</v>
      </c>
      <c r="V39" s="14">
        <f t="shared" si="3"/>
        <v>43891</v>
      </c>
      <c r="W39" s="14">
        <f t="shared" si="3"/>
        <v>43922</v>
      </c>
      <c r="X39" s="14">
        <f t="shared" si="3"/>
        <v>43952</v>
      </c>
      <c r="Y39" s="14">
        <f t="shared" si="3"/>
        <v>43983</v>
      </c>
      <c r="Z39" s="14">
        <f t="shared" si="3"/>
        <v>44013</v>
      </c>
      <c r="AA39" s="14">
        <f t="shared" si="3"/>
        <v>44044</v>
      </c>
      <c r="AB39" s="14">
        <f t="shared" si="3"/>
        <v>44075</v>
      </c>
      <c r="AC39" s="14">
        <f t="shared" si="3"/>
        <v>44105</v>
      </c>
      <c r="AD39" s="14">
        <f t="shared" si="3"/>
        <v>44136</v>
      </c>
      <c r="AE39" s="14">
        <f t="shared" si="3"/>
        <v>44166</v>
      </c>
      <c r="AF39" s="14">
        <f t="shared" si="3"/>
        <v>44197</v>
      </c>
      <c r="AG39" s="14">
        <f t="shared" si="3"/>
        <v>44228</v>
      </c>
      <c r="AH39" s="14">
        <f>EDATE(AG39,1)</f>
        <v>44256</v>
      </c>
      <c r="AI39" s="14">
        <f t="shared" si="3"/>
        <v>44287</v>
      </c>
      <c r="AJ39" s="14">
        <f t="shared" si="3"/>
        <v>44317</v>
      </c>
      <c r="AK39" s="14">
        <f t="shared" si="3"/>
        <v>44348</v>
      </c>
      <c r="AL39" s="14">
        <f t="shared" si="3"/>
        <v>44378</v>
      </c>
      <c r="AM39" s="14">
        <f t="shared" si="3"/>
        <v>44409</v>
      </c>
      <c r="AN39" s="14">
        <f t="shared" si="3"/>
        <v>44440</v>
      </c>
      <c r="AO39" s="14">
        <f t="shared" si="3"/>
        <v>44470</v>
      </c>
      <c r="AP39" s="14">
        <f t="shared" si="3"/>
        <v>44501</v>
      </c>
      <c r="AQ39" s="14">
        <f t="shared" ref="AQ39" si="4">EDATE(AP39,1)</f>
        <v>44531</v>
      </c>
      <c r="AR39" s="14">
        <f t="shared" ref="AR39" si="5">EDATE(AQ39,1)</f>
        <v>44562</v>
      </c>
      <c r="AS39" s="14">
        <f t="shared" ref="AS39" si="6">EDATE(AR39,1)</f>
        <v>44593</v>
      </c>
      <c r="AT39" s="14">
        <f t="shared" ref="AT39" si="7">EDATE(AS39,1)</f>
        <v>44621</v>
      </c>
      <c r="AU39" s="14">
        <f t="shared" ref="AU39" si="8">EDATE(AT39,1)</f>
        <v>44652</v>
      </c>
      <c r="AV39" s="14">
        <f t="shared" ref="AV39" si="9">EDATE(AU39,1)</f>
        <v>44682</v>
      </c>
      <c r="AW39" s="14">
        <f t="shared" ref="AW39" si="10">EDATE(AV39,1)</f>
        <v>44713</v>
      </c>
      <c r="AX39" s="14">
        <f t="shared" ref="AX39" si="11">EDATE(AW39,1)</f>
        <v>44743</v>
      </c>
      <c r="AY39" s="14">
        <f t="shared" ref="AY39" si="12">EDATE(AX39,1)</f>
        <v>44774</v>
      </c>
      <c r="AZ39" s="14">
        <f t="shared" ref="AZ39" si="13">EDATE(AY39,1)</f>
        <v>44805</v>
      </c>
      <c r="BA39" s="14">
        <f t="shared" ref="BA39" si="14">EDATE(AZ39,1)</f>
        <v>44835</v>
      </c>
      <c r="BB39" s="212">
        <f t="shared" ref="BB39" si="15">EDATE(BA39,1)</f>
        <v>44866</v>
      </c>
      <c r="BC39" s="14">
        <f t="shared" ref="BC39" si="16">EDATE(BB39,1)</f>
        <v>44896</v>
      </c>
      <c r="BD39" s="14">
        <f t="shared" ref="BD39" si="17">EDATE(BC39,1)</f>
        <v>44927</v>
      </c>
      <c r="BE39" s="14">
        <f t="shared" ref="BE39" si="18">EDATE(BD39,1)</f>
        <v>44958</v>
      </c>
      <c r="BF39" s="14">
        <f t="shared" ref="BF39" si="19">EDATE(BE39,1)</f>
        <v>44986</v>
      </c>
      <c r="BG39" s="14">
        <f t="shared" ref="BG39" si="20">EDATE(BF39,1)</f>
        <v>45017</v>
      </c>
      <c r="BH39" s="14">
        <f t="shared" ref="BH39" si="21">EDATE(BG39,1)</f>
        <v>45047</v>
      </c>
      <c r="BI39" s="14">
        <f t="shared" ref="BI39" si="22">EDATE(BH39,1)</f>
        <v>45078</v>
      </c>
      <c r="BJ39" s="14">
        <f t="shared" ref="BJ39" si="23">EDATE(BI39,1)</f>
        <v>45108</v>
      </c>
      <c r="BK39" s="14">
        <f t="shared" ref="BK39" si="24">EDATE(BJ39,1)</f>
        <v>45139</v>
      </c>
    </row>
    <row r="40" spans="1:65" x14ac:dyDescent="0.25">
      <c r="A40" s="5"/>
      <c r="B40" s="15">
        <f>Cashflow!H8</f>
        <v>0</v>
      </c>
      <c r="C40" s="15">
        <f>B40+1</f>
        <v>1</v>
      </c>
      <c r="D40" s="15">
        <f>C40+1</f>
        <v>2</v>
      </c>
      <c r="E40" s="15">
        <f t="shared" ref="E40:AP40" si="25">D40+1</f>
        <v>3</v>
      </c>
      <c r="F40" s="15">
        <f t="shared" si="25"/>
        <v>4</v>
      </c>
      <c r="G40" s="15">
        <f t="shared" si="25"/>
        <v>5</v>
      </c>
      <c r="H40" s="15">
        <f t="shared" si="25"/>
        <v>6</v>
      </c>
      <c r="I40" s="15">
        <f t="shared" si="25"/>
        <v>7</v>
      </c>
      <c r="J40" s="15">
        <f t="shared" si="25"/>
        <v>8</v>
      </c>
      <c r="K40" s="15">
        <f t="shared" si="25"/>
        <v>9</v>
      </c>
      <c r="L40" s="15">
        <f t="shared" si="25"/>
        <v>10</v>
      </c>
      <c r="M40" s="15">
        <f t="shared" si="25"/>
        <v>11</v>
      </c>
      <c r="N40" s="15">
        <f t="shared" si="25"/>
        <v>12</v>
      </c>
      <c r="O40" s="15">
        <f t="shared" si="25"/>
        <v>13</v>
      </c>
      <c r="P40" s="15">
        <f t="shared" si="25"/>
        <v>14</v>
      </c>
      <c r="Q40" s="15">
        <f t="shared" si="25"/>
        <v>15</v>
      </c>
      <c r="R40" s="15">
        <f t="shared" si="25"/>
        <v>16</v>
      </c>
      <c r="S40" s="15">
        <f t="shared" si="25"/>
        <v>17</v>
      </c>
      <c r="T40" s="15">
        <f t="shared" si="25"/>
        <v>18</v>
      </c>
      <c r="U40" s="15">
        <f t="shared" si="25"/>
        <v>19</v>
      </c>
      <c r="V40" s="15">
        <f t="shared" si="25"/>
        <v>20</v>
      </c>
      <c r="W40" s="15">
        <f t="shared" si="25"/>
        <v>21</v>
      </c>
      <c r="X40" s="15">
        <f t="shared" si="25"/>
        <v>22</v>
      </c>
      <c r="Y40" s="15">
        <f t="shared" si="25"/>
        <v>23</v>
      </c>
      <c r="Z40" s="15">
        <f t="shared" si="25"/>
        <v>24</v>
      </c>
      <c r="AA40" s="15">
        <f t="shared" si="25"/>
        <v>25</v>
      </c>
      <c r="AB40" s="15">
        <f t="shared" si="25"/>
        <v>26</v>
      </c>
      <c r="AC40" s="15">
        <f t="shared" si="25"/>
        <v>27</v>
      </c>
      <c r="AD40" s="15">
        <f t="shared" si="25"/>
        <v>28</v>
      </c>
      <c r="AE40" s="15">
        <f t="shared" si="25"/>
        <v>29</v>
      </c>
      <c r="AF40" s="15">
        <f t="shared" si="25"/>
        <v>30</v>
      </c>
      <c r="AG40" s="15">
        <f t="shared" si="25"/>
        <v>31</v>
      </c>
      <c r="AH40" s="15">
        <f t="shared" si="25"/>
        <v>32</v>
      </c>
      <c r="AI40" s="15">
        <f t="shared" si="25"/>
        <v>33</v>
      </c>
      <c r="AJ40" s="15">
        <f t="shared" si="25"/>
        <v>34</v>
      </c>
      <c r="AK40" s="15">
        <f t="shared" si="25"/>
        <v>35</v>
      </c>
      <c r="AL40" s="15">
        <f t="shared" si="25"/>
        <v>36</v>
      </c>
      <c r="AM40" s="15">
        <f t="shared" si="25"/>
        <v>37</v>
      </c>
      <c r="AN40" s="15">
        <f t="shared" si="25"/>
        <v>38</v>
      </c>
      <c r="AO40" s="15">
        <f t="shared" si="25"/>
        <v>39</v>
      </c>
      <c r="AP40" s="15">
        <f t="shared" si="25"/>
        <v>40</v>
      </c>
      <c r="AQ40" s="15">
        <f t="shared" ref="AQ40" si="26">AP40+1</f>
        <v>41</v>
      </c>
      <c r="AR40" s="15">
        <f t="shared" ref="AR40" si="27">AQ40+1</f>
        <v>42</v>
      </c>
      <c r="AS40" s="15">
        <f t="shared" ref="AS40" si="28">AR40+1</f>
        <v>43</v>
      </c>
      <c r="AT40" s="15">
        <f t="shared" ref="AT40" si="29">AS40+1</f>
        <v>44</v>
      </c>
      <c r="AU40" s="15">
        <f t="shared" ref="AU40" si="30">AT40+1</f>
        <v>45</v>
      </c>
      <c r="AV40" s="15">
        <f t="shared" ref="AV40" si="31">AU40+1</f>
        <v>46</v>
      </c>
      <c r="AW40" s="15">
        <f t="shared" ref="AW40" si="32">AV40+1</f>
        <v>47</v>
      </c>
      <c r="AX40" s="15">
        <f t="shared" ref="AX40" si="33">AW40+1</f>
        <v>48</v>
      </c>
      <c r="AY40" s="15">
        <f t="shared" ref="AY40" si="34">AX40+1</f>
        <v>49</v>
      </c>
      <c r="AZ40" s="15">
        <f t="shared" ref="AZ40" si="35">AY40+1</f>
        <v>50</v>
      </c>
      <c r="BA40" s="15">
        <f t="shared" ref="BA40" si="36">AZ40+1</f>
        <v>51</v>
      </c>
      <c r="BB40" s="213">
        <f t="shared" ref="BB40" si="37">BA40+1</f>
        <v>52</v>
      </c>
      <c r="BC40" s="15">
        <f t="shared" ref="BC40" si="38">BB40+1</f>
        <v>53</v>
      </c>
      <c r="BD40" s="15">
        <f t="shared" ref="BD40" si="39">BC40+1</f>
        <v>54</v>
      </c>
      <c r="BE40" s="15">
        <f t="shared" ref="BE40" si="40">BD40+1</f>
        <v>55</v>
      </c>
      <c r="BF40" s="15">
        <f t="shared" ref="BF40" si="41">BE40+1</f>
        <v>56</v>
      </c>
      <c r="BG40" s="15">
        <f t="shared" ref="BG40" si="42">BF40+1</f>
        <v>57</v>
      </c>
      <c r="BH40" s="15">
        <f t="shared" ref="BH40" si="43">BG40+1</f>
        <v>58</v>
      </c>
      <c r="BI40" s="15">
        <f t="shared" ref="BI40" si="44">BH40+1</f>
        <v>59</v>
      </c>
      <c r="BJ40" s="15">
        <f t="shared" ref="BJ40" si="45">BI40+1</f>
        <v>60</v>
      </c>
      <c r="BK40" s="15">
        <f t="shared" ref="BK40" si="46">BJ40+1</f>
        <v>61</v>
      </c>
    </row>
    <row r="41" spans="1:65" x14ac:dyDescent="0.25">
      <c r="A41" s="12" t="s">
        <v>154</v>
      </c>
      <c r="B41" s="218"/>
      <c r="C41" s="229">
        <f>-PMT($B$38,60,$B$37,,)</f>
        <v>5732.4197297201054</v>
      </c>
      <c r="D41" s="229">
        <f t="shared" ref="D41:BJ41" si="47">-PMT($B$38,60,$B$37,,)</f>
        <v>5732.4197297201054</v>
      </c>
      <c r="E41" s="229">
        <f t="shared" si="47"/>
        <v>5732.4197297201054</v>
      </c>
      <c r="F41" s="229">
        <f t="shared" si="47"/>
        <v>5732.4197297201054</v>
      </c>
      <c r="G41" s="229">
        <f t="shared" si="47"/>
        <v>5732.4197297201054</v>
      </c>
      <c r="H41" s="229">
        <f t="shared" si="47"/>
        <v>5732.4197297201054</v>
      </c>
      <c r="I41" s="229">
        <f t="shared" si="47"/>
        <v>5732.4197297201054</v>
      </c>
      <c r="J41" s="229">
        <f t="shared" si="47"/>
        <v>5732.4197297201054</v>
      </c>
      <c r="K41" s="229">
        <f t="shared" si="47"/>
        <v>5732.4197297201054</v>
      </c>
      <c r="L41" s="229">
        <f t="shared" si="47"/>
        <v>5732.4197297201054</v>
      </c>
      <c r="M41" s="229">
        <f t="shared" si="47"/>
        <v>5732.4197297201054</v>
      </c>
      <c r="N41" s="229">
        <f t="shared" si="47"/>
        <v>5732.4197297201054</v>
      </c>
      <c r="O41" s="229">
        <f t="shared" si="47"/>
        <v>5732.4197297201054</v>
      </c>
      <c r="P41" s="229">
        <f t="shared" si="47"/>
        <v>5732.4197297201054</v>
      </c>
      <c r="Q41" s="229">
        <f t="shared" si="47"/>
        <v>5732.4197297201054</v>
      </c>
      <c r="R41" s="229">
        <f t="shared" si="47"/>
        <v>5732.4197297201054</v>
      </c>
      <c r="S41" s="229">
        <f t="shared" si="47"/>
        <v>5732.4197297201054</v>
      </c>
      <c r="T41" s="229">
        <f t="shared" si="47"/>
        <v>5732.4197297201054</v>
      </c>
      <c r="U41" s="229">
        <f t="shared" si="47"/>
        <v>5732.4197297201054</v>
      </c>
      <c r="V41" s="229">
        <f t="shared" si="47"/>
        <v>5732.4197297201054</v>
      </c>
      <c r="W41" s="229">
        <f t="shared" si="47"/>
        <v>5732.4197297201054</v>
      </c>
      <c r="X41" s="229">
        <f t="shared" si="47"/>
        <v>5732.4197297201054</v>
      </c>
      <c r="Y41" s="229">
        <f t="shared" si="47"/>
        <v>5732.4197297201054</v>
      </c>
      <c r="Z41" s="229">
        <f t="shared" si="47"/>
        <v>5732.4197297201054</v>
      </c>
      <c r="AA41" s="229">
        <f t="shared" si="47"/>
        <v>5732.4197297201054</v>
      </c>
      <c r="AB41" s="229">
        <f t="shared" si="47"/>
        <v>5732.4197297201054</v>
      </c>
      <c r="AC41" s="229">
        <f t="shared" si="47"/>
        <v>5732.4197297201054</v>
      </c>
      <c r="AD41" s="229">
        <f t="shared" si="47"/>
        <v>5732.4197297201054</v>
      </c>
      <c r="AE41" s="229">
        <f t="shared" si="47"/>
        <v>5732.4197297201054</v>
      </c>
      <c r="AF41" s="229">
        <f t="shared" si="47"/>
        <v>5732.4197297201054</v>
      </c>
      <c r="AG41" s="229">
        <f t="shared" si="47"/>
        <v>5732.4197297201054</v>
      </c>
      <c r="AH41" s="229">
        <f t="shared" si="47"/>
        <v>5732.4197297201054</v>
      </c>
      <c r="AI41" s="229">
        <f t="shared" si="47"/>
        <v>5732.4197297201054</v>
      </c>
      <c r="AJ41" s="229">
        <f t="shared" si="47"/>
        <v>5732.4197297201054</v>
      </c>
      <c r="AK41" s="229">
        <f t="shared" si="47"/>
        <v>5732.4197297201054</v>
      </c>
      <c r="AL41" s="229">
        <f t="shared" si="47"/>
        <v>5732.4197297201054</v>
      </c>
      <c r="AM41" s="229">
        <f t="shared" si="47"/>
        <v>5732.4197297201054</v>
      </c>
      <c r="AN41" s="229">
        <f t="shared" si="47"/>
        <v>5732.4197297201054</v>
      </c>
      <c r="AO41" s="229">
        <f t="shared" si="47"/>
        <v>5732.4197297201054</v>
      </c>
      <c r="AP41" s="229">
        <f t="shared" si="47"/>
        <v>5732.4197297201054</v>
      </c>
      <c r="AQ41" s="229">
        <f t="shared" si="47"/>
        <v>5732.4197297201054</v>
      </c>
      <c r="AR41" s="229">
        <f t="shared" si="47"/>
        <v>5732.4197297201054</v>
      </c>
      <c r="AS41" s="229">
        <f t="shared" si="47"/>
        <v>5732.4197297201054</v>
      </c>
      <c r="AT41" s="229">
        <f t="shared" si="47"/>
        <v>5732.4197297201054</v>
      </c>
      <c r="AU41" s="229">
        <f t="shared" si="47"/>
        <v>5732.4197297201054</v>
      </c>
      <c r="AV41" s="229">
        <f t="shared" si="47"/>
        <v>5732.4197297201054</v>
      </c>
      <c r="AW41" s="229">
        <f t="shared" si="47"/>
        <v>5732.4197297201054</v>
      </c>
      <c r="AX41" s="229">
        <f t="shared" si="47"/>
        <v>5732.4197297201054</v>
      </c>
      <c r="AY41" s="229">
        <f t="shared" si="47"/>
        <v>5732.4197297201054</v>
      </c>
      <c r="AZ41" s="229">
        <f t="shared" si="47"/>
        <v>5732.4197297201054</v>
      </c>
      <c r="BA41" s="229">
        <f t="shared" si="47"/>
        <v>5732.4197297201054</v>
      </c>
      <c r="BB41" s="229">
        <f t="shared" si="47"/>
        <v>5732.4197297201054</v>
      </c>
      <c r="BC41" s="229">
        <f t="shared" si="47"/>
        <v>5732.4197297201054</v>
      </c>
      <c r="BD41" s="229">
        <f t="shared" si="47"/>
        <v>5732.4197297201054</v>
      </c>
      <c r="BE41" s="229">
        <f t="shared" si="47"/>
        <v>5732.4197297201054</v>
      </c>
      <c r="BF41" s="229">
        <f t="shared" si="47"/>
        <v>5732.4197297201054</v>
      </c>
      <c r="BG41" s="229">
        <f t="shared" si="47"/>
        <v>5732.4197297201054</v>
      </c>
      <c r="BH41" s="229">
        <f t="shared" si="47"/>
        <v>5732.4197297201054</v>
      </c>
      <c r="BI41" s="229">
        <f t="shared" si="47"/>
        <v>5732.4197297201054</v>
      </c>
      <c r="BJ41" s="229">
        <f t="shared" si="47"/>
        <v>5732.4197297201054</v>
      </c>
      <c r="BK41" s="218"/>
    </row>
    <row r="42" spans="1:65" ht="16.5" thickBot="1" x14ac:dyDescent="0.3">
      <c r="A42" s="5"/>
      <c r="B42" s="4"/>
      <c r="C42" s="4"/>
      <c r="D42" s="4"/>
      <c r="E42" s="4"/>
      <c r="F42" s="218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</row>
    <row r="43" spans="1:65" s="134" customFormat="1" x14ac:dyDescent="0.25">
      <c r="A43" s="265" t="s">
        <v>158</v>
      </c>
      <c r="B43" s="266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/>
      <c r="AJ43"/>
      <c r="AK43"/>
      <c r="AL43"/>
      <c r="AM43"/>
      <c r="AN43"/>
      <c r="AO43"/>
      <c r="AP43"/>
    </row>
    <row r="44" spans="1:65" ht="16.5" thickBot="1" x14ac:dyDescent="0.3">
      <c r="A44" s="7" t="s">
        <v>153</v>
      </c>
      <c r="B44" s="8">
        <f>(B28+B29)*B24</f>
        <v>0</v>
      </c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</row>
    <row r="45" spans="1:65" x14ac:dyDescent="0.2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</row>
    <row r="46" spans="1:65" x14ac:dyDescent="0.25">
      <c r="A46" s="5"/>
      <c r="B46" s="14">
        <f>Cashflow!H7</f>
        <v>43282</v>
      </c>
      <c r="C46" s="14">
        <f>EDATE(B46,1)</f>
        <v>43313</v>
      </c>
      <c r="D46" s="14">
        <f t="shared" ref="D46" si="48">EDATE(C46,1)</f>
        <v>43344</v>
      </c>
      <c r="E46" s="14">
        <f t="shared" ref="E46" si="49">EDATE(D46,1)</f>
        <v>43374</v>
      </c>
      <c r="F46" s="14">
        <f t="shared" ref="F46" si="50">EDATE(E46,1)</f>
        <v>43405</v>
      </c>
      <c r="G46" s="14">
        <f t="shared" ref="G46" si="51">EDATE(F46,1)</f>
        <v>43435</v>
      </c>
      <c r="H46" s="14">
        <f t="shared" ref="H46" si="52">EDATE(G46,1)</f>
        <v>43466</v>
      </c>
      <c r="I46" s="14">
        <f t="shared" ref="I46" si="53">EDATE(H46,1)</f>
        <v>43497</v>
      </c>
      <c r="J46" s="14">
        <f t="shared" ref="J46" si="54">EDATE(I46,1)</f>
        <v>43525</v>
      </c>
      <c r="K46" s="14">
        <f t="shared" ref="K46" si="55">EDATE(J46,1)</f>
        <v>43556</v>
      </c>
      <c r="L46" s="14">
        <f t="shared" ref="L46" si="56">EDATE(K46,1)</f>
        <v>43586</v>
      </c>
      <c r="M46" s="14">
        <f t="shared" ref="M46" si="57">EDATE(L46,1)</f>
        <v>43617</v>
      </c>
      <c r="N46" s="14">
        <f t="shared" ref="N46" si="58">EDATE(M46,1)</f>
        <v>43647</v>
      </c>
      <c r="O46" s="14">
        <f t="shared" ref="O46" si="59">EDATE(N46,1)</f>
        <v>43678</v>
      </c>
      <c r="P46" s="14">
        <f t="shared" ref="P46" si="60">EDATE(O46,1)</f>
        <v>43709</v>
      </c>
      <c r="Q46" s="14">
        <f t="shared" ref="Q46" si="61">EDATE(P46,1)</f>
        <v>43739</v>
      </c>
      <c r="R46" s="14">
        <f t="shared" ref="R46" si="62">EDATE(Q46,1)</f>
        <v>43770</v>
      </c>
      <c r="S46" s="14">
        <f t="shared" ref="S46" si="63">EDATE(R46,1)</f>
        <v>43800</v>
      </c>
      <c r="T46" s="14">
        <f t="shared" ref="T46" si="64">EDATE(S46,1)</f>
        <v>43831</v>
      </c>
      <c r="U46" s="14">
        <f t="shared" ref="U46" si="65">EDATE(T46,1)</f>
        <v>43862</v>
      </c>
      <c r="V46" s="14">
        <f t="shared" ref="V46" si="66">EDATE(U46,1)</f>
        <v>43891</v>
      </c>
      <c r="W46" s="14">
        <f t="shared" ref="W46" si="67">EDATE(V46,1)</f>
        <v>43922</v>
      </c>
      <c r="X46" s="14">
        <f t="shared" ref="X46" si="68">EDATE(W46,1)</f>
        <v>43952</v>
      </c>
      <c r="Y46" s="14">
        <f t="shared" ref="Y46" si="69">EDATE(X46,1)</f>
        <v>43983</v>
      </c>
      <c r="Z46" s="14">
        <f t="shared" ref="Z46" si="70">EDATE(Y46,1)</f>
        <v>44013</v>
      </c>
      <c r="AA46" s="14">
        <f t="shared" ref="AA46" si="71">EDATE(Z46,1)</f>
        <v>44044</v>
      </c>
      <c r="AB46" s="14">
        <f t="shared" ref="AB46" si="72">EDATE(AA46,1)</f>
        <v>44075</v>
      </c>
      <c r="AC46" s="14">
        <f t="shared" ref="AC46" si="73">EDATE(AB46,1)</f>
        <v>44105</v>
      </c>
      <c r="AD46" s="14">
        <f t="shared" ref="AD46" si="74">EDATE(AC46,1)</f>
        <v>44136</v>
      </c>
      <c r="AE46" s="14">
        <f t="shared" ref="AE46" si="75">EDATE(AD46,1)</f>
        <v>44166</v>
      </c>
      <c r="AF46" s="14">
        <f t="shared" ref="AF46" si="76">EDATE(AE46,1)</f>
        <v>44197</v>
      </c>
      <c r="AG46" s="14">
        <f t="shared" ref="AG46" si="77">EDATE(AF46,1)</f>
        <v>44228</v>
      </c>
      <c r="AH46" s="14">
        <f>EDATE(AG46,1)</f>
        <v>44256</v>
      </c>
      <c r="AI46" s="14">
        <f t="shared" ref="AI46" si="78">EDATE(AH46,1)</f>
        <v>44287</v>
      </c>
      <c r="AJ46" s="14">
        <f t="shared" ref="AJ46" si="79">EDATE(AI46,1)</f>
        <v>44317</v>
      </c>
      <c r="AK46" s="14">
        <f t="shared" ref="AK46" si="80">EDATE(AJ46,1)</f>
        <v>44348</v>
      </c>
      <c r="AL46" s="14">
        <f t="shared" ref="AL46" si="81">EDATE(AK46,1)</f>
        <v>44378</v>
      </c>
      <c r="AM46" s="14">
        <f t="shared" ref="AM46" si="82">EDATE(AL46,1)</f>
        <v>44409</v>
      </c>
      <c r="AN46" s="14">
        <f t="shared" ref="AN46" si="83">EDATE(AM46,1)</f>
        <v>44440</v>
      </c>
      <c r="AO46" s="14">
        <f t="shared" ref="AO46" si="84">EDATE(AN46,1)</f>
        <v>44470</v>
      </c>
      <c r="AP46" s="14">
        <f t="shared" ref="AP46" si="85">EDATE(AO46,1)</f>
        <v>44501</v>
      </c>
      <c r="AQ46" s="14">
        <f t="shared" ref="AQ46" si="86">EDATE(AP46,1)</f>
        <v>44531</v>
      </c>
      <c r="AR46" s="14">
        <f t="shared" ref="AR46" si="87">EDATE(AQ46,1)</f>
        <v>44562</v>
      </c>
      <c r="AS46" s="14">
        <f t="shared" ref="AS46" si="88">EDATE(AR46,1)</f>
        <v>44593</v>
      </c>
      <c r="AT46" s="14">
        <f t="shared" ref="AT46" si="89">EDATE(AS46,1)</f>
        <v>44621</v>
      </c>
      <c r="AU46" s="14">
        <f t="shared" ref="AU46" si="90">EDATE(AT46,1)</f>
        <v>44652</v>
      </c>
      <c r="AV46" s="14">
        <f t="shared" ref="AV46" si="91">EDATE(AU46,1)</f>
        <v>44682</v>
      </c>
      <c r="AW46" s="14">
        <f t="shared" ref="AW46" si="92">EDATE(AV46,1)</f>
        <v>44713</v>
      </c>
      <c r="AX46" s="14">
        <f t="shared" ref="AX46" si="93">EDATE(AW46,1)</f>
        <v>44743</v>
      </c>
      <c r="AY46" s="14">
        <f t="shared" ref="AY46" si="94">EDATE(AX46,1)</f>
        <v>44774</v>
      </c>
      <c r="AZ46" s="14">
        <f t="shared" ref="AZ46" si="95">EDATE(AY46,1)</f>
        <v>44805</v>
      </c>
      <c r="BA46" s="14">
        <f t="shared" ref="BA46" si="96">EDATE(AZ46,1)</f>
        <v>44835</v>
      </c>
      <c r="BB46" s="14">
        <f t="shared" ref="BB46" si="97">EDATE(BA46,1)</f>
        <v>44866</v>
      </c>
      <c r="BC46" s="14">
        <f t="shared" ref="BC46" si="98">EDATE(BB46,1)</f>
        <v>44896</v>
      </c>
      <c r="BD46" s="14">
        <f t="shared" ref="BD46" si="99">EDATE(BC46,1)</f>
        <v>44927</v>
      </c>
      <c r="BE46" s="14">
        <f t="shared" ref="BE46" si="100">EDATE(BD46,1)</f>
        <v>44958</v>
      </c>
      <c r="BF46" s="14">
        <f t="shared" ref="BF46" si="101">EDATE(BE46,1)</f>
        <v>44986</v>
      </c>
      <c r="BG46" s="14">
        <f t="shared" ref="BG46" si="102">EDATE(BF46,1)</f>
        <v>45017</v>
      </c>
      <c r="BH46" s="14">
        <f t="shared" ref="BH46" si="103">EDATE(BG46,1)</f>
        <v>45047</v>
      </c>
      <c r="BI46" s="14">
        <f t="shared" ref="BI46" si="104">EDATE(BH46,1)</f>
        <v>45078</v>
      </c>
      <c r="BJ46" s="14">
        <f t="shared" ref="BJ46" si="105">EDATE(BI46,1)</f>
        <v>45108</v>
      </c>
      <c r="BK46" s="14">
        <f t="shared" ref="BK46" si="106">EDATE(BJ46,1)</f>
        <v>45139</v>
      </c>
      <c r="BL46" s="14">
        <f t="shared" ref="BL46" si="107">EDATE(BK46,1)</f>
        <v>45170</v>
      </c>
      <c r="BM46" s="14">
        <f t="shared" ref="BM46" si="108">EDATE(BL46,1)</f>
        <v>45200</v>
      </c>
    </row>
    <row r="47" spans="1:65" x14ac:dyDescent="0.25">
      <c r="A47" s="5"/>
      <c r="B47" s="15">
        <f>Cashflow!H8</f>
        <v>0</v>
      </c>
      <c r="C47" s="15">
        <f>B47+1</f>
        <v>1</v>
      </c>
      <c r="D47" s="15">
        <f>C47+1</f>
        <v>2</v>
      </c>
      <c r="E47" s="15">
        <f t="shared" ref="E47" si="109">D47+1</f>
        <v>3</v>
      </c>
      <c r="F47" s="15">
        <f t="shared" ref="F47" si="110">E47+1</f>
        <v>4</v>
      </c>
      <c r="G47" s="15">
        <f t="shared" ref="G47" si="111">F47+1</f>
        <v>5</v>
      </c>
      <c r="H47" s="15">
        <f t="shared" ref="H47" si="112">G47+1</f>
        <v>6</v>
      </c>
      <c r="I47" s="15">
        <f t="shared" ref="I47" si="113">H47+1</f>
        <v>7</v>
      </c>
      <c r="J47" s="15">
        <f t="shared" ref="J47" si="114">I47+1</f>
        <v>8</v>
      </c>
      <c r="K47" s="15">
        <f t="shared" ref="K47" si="115">J47+1</f>
        <v>9</v>
      </c>
      <c r="L47" s="15">
        <f t="shared" ref="L47" si="116">K47+1</f>
        <v>10</v>
      </c>
      <c r="M47" s="15">
        <f t="shared" ref="M47" si="117">L47+1</f>
        <v>11</v>
      </c>
      <c r="N47" s="15">
        <f t="shared" ref="N47" si="118">M47+1</f>
        <v>12</v>
      </c>
      <c r="O47" s="15">
        <f t="shared" ref="O47" si="119">N47+1</f>
        <v>13</v>
      </c>
      <c r="P47" s="15">
        <f t="shared" ref="P47" si="120">O47+1</f>
        <v>14</v>
      </c>
      <c r="Q47" s="15">
        <f t="shared" ref="Q47" si="121">P47+1</f>
        <v>15</v>
      </c>
      <c r="R47" s="15">
        <f t="shared" ref="R47" si="122">Q47+1</f>
        <v>16</v>
      </c>
      <c r="S47" s="15">
        <f t="shared" ref="S47" si="123">R47+1</f>
        <v>17</v>
      </c>
      <c r="T47" s="15">
        <f t="shared" ref="T47" si="124">S47+1</f>
        <v>18</v>
      </c>
      <c r="U47" s="15">
        <f t="shared" ref="U47" si="125">T47+1</f>
        <v>19</v>
      </c>
      <c r="V47" s="15">
        <f t="shared" ref="V47" si="126">U47+1</f>
        <v>20</v>
      </c>
      <c r="W47" s="15">
        <f t="shared" ref="W47" si="127">V47+1</f>
        <v>21</v>
      </c>
      <c r="X47" s="15">
        <f t="shared" ref="X47" si="128">W47+1</f>
        <v>22</v>
      </c>
      <c r="Y47" s="15">
        <f t="shared" ref="Y47" si="129">X47+1</f>
        <v>23</v>
      </c>
      <c r="Z47" s="15">
        <f t="shared" ref="Z47" si="130">Y47+1</f>
        <v>24</v>
      </c>
      <c r="AA47" s="15">
        <f t="shared" ref="AA47" si="131">Z47+1</f>
        <v>25</v>
      </c>
      <c r="AB47" s="15">
        <f t="shared" ref="AB47" si="132">AA47+1</f>
        <v>26</v>
      </c>
      <c r="AC47" s="15">
        <f t="shared" ref="AC47" si="133">AB47+1</f>
        <v>27</v>
      </c>
      <c r="AD47" s="15">
        <f t="shared" ref="AD47" si="134">AC47+1</f>
        <v>28</v>
      </c>
      <c r="AE47" s="15">
        <f t="shared" ref="AE47" si="135">AD47+1</f>
        <v>29</v>
      </c>
      <c r="AF47" s="15">
        <f t="shared" ref="AF47" si="136">AE47+1</f>
        <v>30</v>
      </c>
      <c r="AG47" s="15">
        <f t="shared" ref="AG47" si="137">AF47+1</f>
        <v>31</v>
      </c>
      <c r="AH47" s="15">
        <f t="shared" ref="AH47" si="138">AG47+1</f>
        <v>32</v>
      </c>
      <c r="AI47" s="15">
        <f t="shared" ref="AI47" si="139">AH47+1</f>
        <v>33</v>
      </c>
      <c r="AJ47" s="15">
        <f t="shared" ref="AJ47" si="140">AI47+1</f>
        <v>34</v>
      </c>
      <c r="AK47" s="15">
        <f t="shared" ref="AK47" si="141">AJ47+1</f>
        <v>35</v>
      </c>
      <c r="AL47" s="15">
        <f t="shared" ref="AL47" si="142">AK47+1</f>
        <v>36</v>
      </c>
      <c r="AM47" s="15">
        <f t="shared" ref="AM47" si="143">AL47+1</f>
        <v>37</v>
      </c>
      <c r="AN47" s="15">
        <f t="shared" ref="AN47" si="144">AM47+1</f>
        <v>38</v>
      </c>
      <c r="AO47" s="15">
        <f t="shared" ref="AO47" si="145">AN47+1</f>
        <v>39</v>
      </c>
      <c r="AP47" s="15">
        <f t="shared" ref="AP47" si="146">AO47+1</f>
        <v>40</v>
      </c>
      <c r="AQ47" s="15">
        <f t="shared" ref="AQ47" si="147">AP47+1</f>
        <v>41</v>
      </c>
      <c r="AR47" s="15">
        <f t="shared" ref="AR47" si="148">AQ47+1</f>
        <v>42</v>
      </c>
      <c r="AS47" s="15">
        <f t="shared" ref="AS47" si="149">AR47+1</f>
        <v>43</v>
      </c>
      <c r="AT47" s="15">
        <f t="shared" ref="AT47" si="150">AS47+1</f>
        <v>44</v>
      </c>
      <c r="AU47" s="15">
        <f t="shared" ref="AU47" si="151">AT47+1</f>
        <v>45</v>
      </c>
      <c r="AV47" s="15">
        <f t="shared" ref="AV47" si="152">AU47+1</f>
        <v>46</v>
      </c>
      <c r="AW47" s="15">
        <f t="shared" ref="AW47" si="153">AV47+1</f>
        <v>47</v>
      </c>
      <c r="AX47" s="15">
        <f t="shared" ref="AX47" si="154">AW47+1</f>
        <v>48</v>
      </c>
      <c r="AY47" s="15">
        <f t="shared" ref="AY47" si="155">AX47+1</f>
        <v>49</v>
      </c>
      <c r="AZ47" s="15">
        <f t="shared" ref="AZ47" si="156">AY47+1</f>
        <v>50</v>
      </c>
      <c r="BA47" s="15">
        <f t="shared" ref="BA47" si="157">AZ47+1</f>
        <v>51</v>
      </c>
      <c r="BB47" s="15">
        <f t="shared" ref="BB47" si="158">BA47+1</f>
        <v>52</v>
      </c>
      <c r="BC47" s="15">
        <f t="shared" ref="BC47" si="159">BB47+1</f>
        <v>53</v>
      </c>
      <c r="BD47" s="15">
        <f t="shared" ref="BD47" si="160">BC47+1</f>
        <v>54</v>
      </c>
      <c r="BE47" s="15">
        <f t="shared" ref="BE47" si="161">BD47+1</f>
        <v>55</v>
      </c>
      <c r="BF47" s="15">
        <f t="shared" ref="BF47" si="162">BE47+1</f>
        <v>56</v>
      </c>
      <c r="BG47" s="15">
        <f t="shared" ref="BG47" si="163">BF47+1</f>
        <v>57</v>
      </c>
      <c r="BH47" s="15">
        <f t="shared" ref="BH47" si="164">BG47+1</f>
        <v>58</v>
      </c>
      <c r="BI47" s="15">
        <f t="shared" ref="BI47" si="165">BH47+1</f>
        <v>59</v>
      </c>
      <c r="BJ47" s="15">
        <f t="shared" ref="BJ47" si="166">BI47+1</f>
        <v>60</v>
      </c>
      <c r="BK47" s="15">
        <f t="shared" ref="BK47" si="167">BJ47+1</f>
        <v>61</v>
      </c>
      <c r="BL47" s="15">
        <f t="shared" ref="BL47" si="168">BK47+1</f>
        <v>62</v>
      </c>
      <c r="BM47" s="15">
        <f t="shared" ref="BM47" si="169">BL47+1</f>
        <v>63</v>
      </c>
    </row>
    <row r="48" spans="1:65" x14ac:dyDescent="0.25">
      <c r="A48" s="12" t="s">
        <v>154</v>
      </c>
      <c r="B48" s="13"/>
      <c r="C48" s="13"/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13"/>
      <c r="AB48" s="13"/>
      <c r="AC48" s="74"/>
      <c r="AD48" s="74"/>
      <c r="AE48" s="74"/>
      <c r="AF48" s="74"/>
      <c r="AG48" s="74"/>
      <c r="AH48" s="74"/>
      <c r="AI48" s="74"/>
      <c r="AJ48" s="74"/>
      <c r="AK48" s="74"/>
      <c r="AL48" s="74"/>
      <c r="AM48" s="74"/>
      <c r="AN48" s="74"/>
      <c r="AO48" s="74"/>
      <c r="AP48" s="74"/>
      <c r="AQ48" s="74"/>
      <c r="AR48" s="74"/>
      <c r="AS48" s="74"/>
      <c r="AT48" s="74"/>
      <c r="AU48" s="74"/>
      <c r="AV48" s="74"/>
      <c r="AW48" s="74"/>
      <c r="AX48" s="74"/>
      <c r="AY48" s="74"/>
      <c r="AZ48" s="74"/>
      <c r="BA48" s="74"/>
      <c r="BB48" s="74"/>
      <c r="BC48" s="74"/>
      <c r="BD48" s="74"/>
      <c r="BE48" s="74"/>
      <c r="BF48" s="74"/>
      <c r="BG48" s="74"/>
      <c r="BH48" s="74"/>
      <c r="BI48" s="74"/>
      <c r="BJ48" s="74"/>
      <c r="BK48" s="74"/>
      <c r="BL48" s="74"/>
      <c r="BM48" s="74"/>
    </row>
    <row r="49" spans="1:75" ht="16.5" thickBot="1" x14ac:dyDescent="0.3">
      <c r="A49" s="134"/>
      <c r="B49" s="133"/>
      <c r="C49" s="133"/>
      <c r="D49" s="133"/>
      <c r="E49" s="133"/>
      <c r="F49" s="133"/>
      <c r="G49" s="133"/>
      <c r="H49" s="133"/>
      <c r="I49" s="133"/>
      <c r="J49" s="133"/>
      <c r="K49" s="133"/>
      <c r="L49" s="133"/>
      <c r="M49" s="133"/>
      <c r="N49" s="133"/>
      <c r="O49" s="133"/>
      <c r="P49" s="133"/>
      <c r="Q49" s="133"/>
      <c r="R49" s="133"/>
      <c r="S49" s="133"/>
      <c r="T49" s="133"/>
      <c r="U49" s="133"/>
      <c r="V49" s="133"/>
      <c r="W49" s="133"/>
      <c r="X49" s="133"/>
      <c r="Y49" s="133"/>
      <c r="Z49" s="133"/>
      <c r="AA49" s="133"/>
      <c r="AB49" s="133"/>
      <c r="AC49" s="133"/>
      <c r="AD49" s="133"/>
      <c r="AE49" s="133"/>
      <c r="AF49" s="133"/>
      <c r="AG49" s="133"/>
      <c r="AH49" s="133"/>
      <c r="AI49" s="134"/>
      <c r="AJ49" s="134"/>
      <c r="AK49" s="134"/>
      <c r="AL49" s="134"/>
      <c r="AM49" s="134"/>
      <c r="AN49" s="134"/>
      <c r="AO49" s="134"/>
      <c r="AP49" s="134"/>
      <c r="AQ49" s="134"/>
      <c r="AR49" s="134"/>
      <c r="AS49" s="134"/>
      <c r="AT49" s="134"/>
      <c r="AU49" s="134"/>
      <c r="AV49" s="134"/>
      <c r="AW49" s="134"/>
      <c r="AX49" s="134"/>
      <c r="AY49" s="134"/>
      <c r="AZ49" s="134"/>
      <c r="BA49" s="134"/>
      <c r="BB49" s="134"/>
      <c r="BC49" s="134"/>
      <c r="BD49" s="134"/>
      <c r="BE49" s="134"/>
      <c r="BF49" s="134"/>
      <c r="BG49" s="134"/>
      <c r="BH49" s="134"/>
      <c r="BI49" s="134"/>
      <c r="BJ49" s="134"/>
      <c r="BK49" s="134"/>
      <c r="BL49" s="134"/>
      <c r="BM49" s="134"/>
      <c r="BN49" s="4"/>
      <c r="BO49" s="4"/>
      <c r="BP49" s="4"/>
      <c r="BQ49" s="4"/>
      <c r="BR49" s="4"/>
      <c r="BS49" s="4"/>
      <c r="BT49" s="4"/>
    </row>
    <row r="50" spans="1:75" ht="78.75" x14ac:dyDescent="0.25">
      <c r="A50" s="265" t="s">
        <v>167</v>
      </c>
      <c r="B50" s="266"/>
      <c r="C50" s="144" t="s">
        <v>174</v>
      </c>
      <c r="D50" s="145" t="s">
        <v>175</v>
      </c>
      <c r="E50" s="82" t="s">
        <v>176</v>
      </c>
      <c r="F50" s="146" t="s">
        <v>177</v>
      </c>
      <c r="G50" s="147" t="s">
        <v>178</v>
      </c>
      <c r="H50" s="147" t="s">
        <v>179</v>
      </c>
      <c r="I50" s="147" t="s">
        <v>180</v>
      </c>
      <c r="J50" s="147" t="s">
        <v>181</v>
      </c>
      <c r="K50" s="147" t="s">
        <v>182</v>
      </c>
      <c r="L50" s="148" t="s">
        <v>183</v>
      </c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</row>
    <row r="51" spans="1:75" ht="16.5" thickBot="1" x14ac:dyDescent="0.3">
      <c r="A51" s="7" t="s">
        <v>153</v>
      </c>
      <c r="B51" s="8">
        <f>B28*B26</f>
        <v>0</v>
      </c>
      <c r="C51" s="149">
        <f>Dados!C6</f>
        <v>42705</v>
      </c>
      <c r="D51" s="150">
        <v>0</v>
      </c>
      <c r="E51" s="150">
        <v>0</v>
      </c>
      <c r="F51" s="150">
        <v>0</v>
      </c>
      <c r="G51" s="150">
        <f>E51-F51</f>
        <v>0</v>
      </c>
      <c r="H51" s="175">
        <v>0</v>
      </c>
      <c r="I51" s="151">
        <f>H51*G51</f>
        <v>0</v>
      </c>
      <c r="J51" s="152">
        <v>0</v>
      </c>
      <c r="K51" s="152">
        <v>0</v>
      </c>
      <c r="L51" s="153">
        <f>NPV(J51,AR55:BL55)</f>
        <v>0</v>
      </c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</row>
    <row r="52" spans="1:75" x14ac:dyDescent="0.25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</row>
    <row r="53" spans="1:75" x14ac:dyDescent="0.25">
      <c r="A53" s="5"/>
      <c r="B53" s="14">
        <f>Cashflow!H7</f>
        <v>43282</v>
      </c>
      <c r="C53" s="14">
        <f>EDATE(B53,1)</f>
        <v>43313</v>
      </c>
      <c r="D53" s="14">
        <f t="shared" ref="D53:AP53" si="170">EDATE(C53,1)</f>
        <v>43344</v>
      </c>
      <c r="E53" s="14">
        <f t="shared" si="170"/>
        <v>43374</v>
      </c>
      <c r="F53" s="14">
        <f t="shared" si="170"/>
        <v>43405</v>
      </c>
      <c r="G53" s="14">
        <f t="shared" si="170"/>
        <v>43435</v>
      </c>
      <c r="H53" s="14">
        <f t="shared" si="170"/>
        <v>43466</v>
      </c>
      <c r="I53" s="14">
        <f t="shared" si="170"/>
        <v>43497</v>
      </c>
      <c r="J53" s="14">
        <f t="shared" si="170"/>
        <v>43525</v>
      </c>
      <c r="K53" s="14">
        <f t="shared" si="170"/>
        <v>43556</v>
      </c>
      <c r="L53" s="14">
        <f t="shared" si="170"/>
        <v>43586</v>
      </c>
      <c r="M53" s="14">
        <f t="shared" si="170"/>
        <v>43617</v>
      </c>
      <c r="N53" s="14">
        <f t="shared" si="170"/>
        <v>43647</v>
      </c>
      <c r="O53" s="14">
        <f t="shared" si="170"/>
        <v>43678</v>
      </c>
      <c r="P53" s="14">
        <f t="shared" si="170"/>
        <v>43709</v>
      </c>
      <c r="Q53" s="14">
        <f t="shared" si="170"/>
        <v>43739</v>
      </c>
      <c r="R53" s="14">
        <f t="shared" si="170"/>
        <v>43770</v>
      </c>
      <c r="S53" s="14">
        <f t="shared" si="170"/>
        <v>43800</v>
      </c>
      <c r="T53" s="14">
        <f t="shared" si="170"/>
        <v>43831</v>
      </c>
      <c r="U53" s="14">
        <f t="shared" si="170"/>
        <v>43862</v>
      </c>
      <c r="V53" s="14">
        <f t="shared" si="170"/>
        <v>43891</v>
      </c>
      <c r="W53" s="14">
        <f t="shared" si="170"/>
        <v>43922</v>
      </c>
      <c r="X53" s="14">
        <f t="shared" si="170"/>
        <v>43952</v>
      </c>
      <c r="Y53" s="14">
        <f t="shared" si="170"/>
        <v>43983</v>
      </c>
      <c r="Z53" s="14">
        <f t="shared" si="170"/>
        <v>44013</v>
      </c>
      <c r="AA53" s="14">
        <f t="shared" si="170"/>
        <v>44044</v>
      </c>
      <c r="AB53" s="14">
        <f t="shared" si="170"/>
        <v>44075</v>
      </c>
      <c r="AC53" s="14">
        <f t="shared" si="170"/>
        <v>44105</v>
      </c>
      <c r="AD53" s="14">
        <f t="shared" si="170"/>
        <v>44136</v>
      </c>
      <c r="AE53" s="14">
        <f t="shared" si="170"/>
        <v>44166</v>
      </c>
      <c r="AF53" s="14">
        <f t="shared" si="170"/>
        <v>44197</v>
      </c>
      <c r="AG53" s="14">
        <f t="shared" si="170"/>
        <v>44228</v>
      </c>
      <c r="AH53" s="14">
        <f>EDATE(AG53,1)</f>
        <v>44256</v>
      </c>
      <c r="AI53" s="14">
        <f t="shared" si="170"/>
        <v>44287</v>
      </c>
      <c r="AJ53" s="14">
        <f t="shared" si="170"/>
        <v>44317</v>
      </c>
      <c r="AK53" s="14">
        <f t="shared" si="170"/>
        <v>44348</v>
      </c>
      <c r="AL53" s="14">
        <f t="shared" si="170"/>
        <v>44378</v>
      </c>
      <c r="AM53" s="14">
        <f t="shared" si="170"/>
        <v>44409</v>
      </c>
      <c r="AN53" s="14">
        <f t="shared" si="170"/>
        <v>44440</v>
      </c>
      <c r="AO53" s="14">
        <f t="shared" si="170"/>
        <v>44470</v>
      </c>
      <c r="AP53" s="14">
        <f t="shared" si="170"/>
        <v>44501</v>
      </c>
      <c r="AQ53" s="14">
        <f t="shared" ref="AQ53" si="171">EDATE(AP53,1)</f>
        <v>44531</v>
      </c>
      <c r="AR53" s="14">
        <f t="shared" ref="AR53" si="172">EDATE(AQ53,1)</f>
        <v>44562</v>
      </c>
      <c r="AS53" s="14">
        <f t="shared" ref="AS53" si="173">EDATE(AR53,1)</f>
        <v>44593</v>
      </c>
      <c r="AT53" s="14">
        <f t="shared" ref="AT53" si="174">EDATE(AS53,1)</f>
        <v>44621</v>
      </c>
      <c r="AU53" s="14">
        <f t="shared" ref="AU53" si="175">EDATE(AT53,1)</f>
        <v>44652</v>
      </c>
      <c r="AV53" s="14">
        <f t="shared" ref="AV53" si="176">EDATE(AU53,1)</f>
        <v>44682</v>
      </c>
      <c r="AW53" s="14">
        <f t="shared" ref="AW53" si="177">EDATE(AV53,1)</f>
        <v>44713</v>
      </c>
      <c r="AX53" s="14">
        <f t="shared" ref="AX53" si="178">EDATE(AW53,1)</f>
        <v>44743</v>
      </c>
      <c r="AY53" s="14">
        <f t="shared" ref="AY53" si="179">EDATE(AX53,1)</f>
        <v>44774</v>
      </c>
      <c r="AZ53" s="14">
        <f t="shared" ref="AZ53" si="180">EDATE(AY53,1)</f>
        <v>44805</v>
      </c>
      <c r="BA53" s="14">
        <f t="shared" ref="BA53" si="181">EDATE(AZ53,1)</f>
        <v>44835</v>
      </c>
      <c r="BB53" s="14">
        <f t="shared" ref="BB53" si="182">EDATE(BA53,1)</f>
        <v>44866</v>
      </c>
      <c r="BC53" s="14">
        <f t="shared" ref="BC53" si="183">EDATE(BB53,1)</f>
        <v>44896</v>
      </c>
      <c r="BD53" s="14">
        <f t="shared" ref="BD53" si="184">EDATE(BC53,1)</f>
        <v>44927</v>
      </c>
      <c r="BE53" s="14">
        <f t="shared" ref="BE53" si="185">EDATE(BD53,1)</f>
        <v>44958</v>
      </c>
      <c r="BF53" s="14">
        <f t="shared" ref="BF53" si="186">EDATE(BE53,1)</f>
        <v>44986</v>
      </c>
      <c r="BG53" s="14">
        <f t="shared" ref="BG53" si="187">EDATE(BF53,1)</f>
        <v>45017</v>
      </c>
      <c r="BH53" s="14">
        <f t="shared" ref="BH53" si="188">EDATE(BG53,1)</f>
        <v>45047</v>
      </c>
      <c r="BI53" s="14">
        <f t="shared" ref="BI53" si="189">EDATE(BH53,1)</f>
        <v>45078</v>
      </c>
      <c r="BJ53" s="14">
        <f t="shared" ref="BJ53" si="190">EDATE(BI53,1)</f>
        <v>45108</v>
      </c>
      <c r="BK53" s="14">
        <f t="shared" ref="BK53" si="191">EDATE(BJ53,1)</f>
        <v>45139</v>
      </c>
      <c r="BL53" s="14">
        <f t="shared" ref="BL53" si="192">EDATE(BK53,1)</f>
        <v>45170</v>
      </c>
      <c r="BM53" s="14">
        <f t="shared" ref="BM53" si="193">EDATE(BL53,1)</f>
        <v>45200</v>
      </c>
    </row>
    <row r="54" spans="1:75" x14ac:dyDescent="0.25">
      <c r="A54" s="5"/>
      <c r="B54" s="15">
        <f>Cashflow!H8</f>
        <v>0</v>
      </c>
      <c r="C54" s="15">
        <f>B54+1</f>
        <v>1</v>
      </c>
      <c r="D54" s="15">
        <f>C54+1</f>
        <v>2</v>
      </c>
      <c r="E54" s="15">
        <f t="shared" ref="E54:AP54" si="194">D54+1</f>
        <v>3</v>
      </c>
      <c r="F54" s="15">
        <f t="shared" si="194"/>
        <v>4</v>
      </c>
      <c r="G54" s="15">
        <f t="shared" si="194"/>
        <v>5</v>
      </c>
      <c r="H54" s="15">
        <f t="shared" si="194"/>
        <v>6</v>
      </c>
      <c r="I54" s="15">
        <f t="shared" si="194"/>
        <v>7</v>
      </c>
      <c r="J54" s="15">
        <f t="shared" si="194"/>
        <v>8</v>
      </c>
      <c r="K54" s="15">
        <f t="shared" si="194"/>
        <v>9</v>
      </c>
      <c r="L54" s="15">
        <f t="shared" si="194"/>
        <v>10</v>
      </c>
      <c r="M54" s="15">
        <f t="shared" si="194"/>
        <v>11</v>
      </c>
      <c r="N54" s="15">
        <f t="shared" si="194"/>
        <v>12</v>
      </c>
      <c r="O54" s="15">
        <f t="shared" si="194"/>
        <v>13</v>
      </c>
      <c r="P54" s="15">
        <f t="shared" si="194"/>
        <v>14</v>
      </c>
      <c r="Q54" s="15">
        <f t="shared" si="194"/>
        <v>15</v>
      </c>
      <c r="R54" s="15">
        <f t="shared" si="194"/>
        <v>16</v>
      </c>
      <c r="S54" s="15">
        <f t="shared" si="194"/>
        <v>17</v>
      </c>
      <c r="T54" s="15">
        <f t="shared" si="194"/>
        <v>18</v>
      </c>
      <c r="U54" s="15">
        <f t="shared" si="194"/>
        <v>19</v>
      </c>
      <c r="V54" s="15">
        <f t="shared" si="194"/>
        <v>20</v>
      </c>
      <c r="W54" s="15">
        <f t="shared" si="194"/>
        <v>21</v>
      </c>
      <c r="X54" s="15">
        <f t="shared" si="194"/>
        <v>22</v>
      </c>
      <c r="Y54" s="15">
        <f t="shared" si="194"/>
        <v>23</v>
      </c>
      <c r="Z54" s="15">
        <f t="shared" si="194"/>
        <v>24</v>
      </c>
      <c r="AA54" s="15">
        <f t="shared" si="194"/>
        <v>25</v>
      </c>
      <c r="AB54" s="15">
        <f t="shared" si="194"/>
        <v>26</v>
      </c>
      <c r="AC54" s="15">
        <f t="shared" si="194"/>
        <v>27</v>
      </c>
      <c r="AD54" s="15">
        <f t="shared" si="194"/>
        <v>28</v>
      </c>
      <c r="AE54" s="15">
        <f t="shared" si="194"/>
        <v>29</v>
      </c>
      <c r="AF54" s="15">
        <f t="shared" si="194"/>
        <v>30</v>
      </c>
      <c r="AG54" s="15">
        <f t="shared" si="194"/>
        <v>31</v>
      </c>
      <c r="AH54" s="15">
        <f t="shared" si="194"/>
        <v>32</v>
      </c>
      <c r="AI54" s="15">
        <f t="shared" si="194"/>
        <v>33</v>
      </c>
      <c r="AJ54" s="15">
        <f t="shared" si="194"/>
        <v>34</v>
      </c>
      <c r="AK54" s="15">
        <f t="shared" si="194"/>
        <v>35</v>
      </c>
      <c r="AL54" s="15">
        <f t="shared" si="194"/>
        <v>36</v>
      </c>
      <c r="AM54" s="15">
        <f t="shared" si="194"/>
        <v>37</v>
      </c>
      <c r="AN54" s="15">
        <f t="shared" si="194"/>
        <v>38</v>
      </c>
      <c r="AO54" s="15">
        <f t="shared" si="194"/>
        <v>39</v>
      </c>
      <c r="AP54" s="15">
        <f t="shared" si="194"/>
        <v>40</v>
      </c>
      <c r="AQ54" s="15">
        <f t="shared" ref="AQ54" si="195">AP54+1</f>
        <v>41</v>
      </c>
      <c r="AR54" s="15">
        <f t="shared" ref="AR54" si="196">AQ54+1</f>
        <v>42</v>
      </c>
      <c r="AS54" s="15">
        <f t="shared" ref="AS54" si="197">AR54+1</f>
        <v>43</v>
      </c>
      <c r="AT54" s="15">
        <f t="shared" ref="AT54" si="198">AS54+1</f>
        <v>44</v>
      </c>
      <c r="AU54" s="15">
        <f t="shared" ref="AU54" si="199">AT54+1</f>
        <v>45</v>
      </c>
      <c r="AV54" s="15">
        <f t="shared" ref="AV54" si="200">AU54+1</f>
        <v>46</v>
      </c>
      <c r="AW54" s="15">
        <f t="shared" ref="AW54" si="201">AV54+1</f>
        <v>47</v>
      </c>
      <c r="AX54" s="15">
        <f t="shared" ref="AX54" si="202">AW54+1</f>
        <v>48</v>
      </c>
      <c r="AY54" s="15">
        <f t="shared" ref="AY54" si="203">AX54+1</f>
        <v>49</v>
      </c>
      <c r="AZ54" s="15">
        <f t="shared" ref="AZ54" si="204">AY54+1</f>
        <v>50</v>
      </c>
      <c r="BA54" s="15">
        <f t="shared" ref="BA54" si="205">AZ54+1</f>
        <v>51</v>
      </c>
      <c r="BB54" s="15">
        <f t="shared" ref="BB54" si="206">BA54+1</f>
        <v>52</v>
      </c>
      <c r="BC54" s="15">
        <f t="shared" ref="BC54" si="207">BB54+1</f>
        <v>53</v>
      </c>
      <c r="BD54" s="15">
        <f t="shared" ref="BD54" si="208">BC54+1</f>
        <v>54</v>
      </c>
      <c r="BE54" s="15">
        <f t="shared" ref="BE54" si="209">BD54+1</f>
        <v>55</v>
      </c>
      <c r="BF54" s="15">
        <f t="shared" ref="BF54" si="210">BE54+1</f>
        <v>56</v>
      </c>
      <c r="BG54" s="15">
        <f t="shared" ref="BG54" si="211">BF54+1</f>
        <v>57</v>
      </c>
      <c r="BH54" s="15">
        <f t="shared" ref="BH54" si="212">BG54+1</f>
        <v>58</v>
      </c>
      <c r="BI54" s="15">
        <f t="shared" ref="BI54" si="213">BH54+1</f>
        <v>59</v>
      </c>
      <c r="BJ54" s="15">
        <f t="shared" ref="BJ54" si="214">BI54+1</f>
        <v>60</v>
      </c>
      <c r="BK54" s="15">
        <f t="shared" ref="BK54" si="215">BJ54+1</f>
        <v>61</v>
      </c>
      <c r="BL54" s="15">
        <f t="shared" ref="BL54" si="216">BK54+1</f>
        <v>62</v>
      </c>
      <c r="BM54" s="15">
        <f t="shared" ref="BM54" si="217">BL54+1</f>
        <v>63</v>
      </c>
    </row>
    <row r="55" spans="1:75" x14ac:dyDescent="0.25">
      <c r="A55" s="12" t="s">
        <v>154</v>
      </c>
      <c r="B55" s="13">
        <v>0</v>
      </c>
      <c r="C55" s="13">
        <v>0</v>
      </c>
      <c r="D55" s="13">
        <v>0</v>
      </c>
      <c r="E55" s="13">
        <v>0</v>
      </c>
      <c r="F55" s="13">
        <v>0</v>
      </c>
      <c r="G55" s="13">
        <v>0</v>
      </c>
      <c r="H55" s="13">
        <f>$H$51</f>
        <v>0</v>
      </c>
      <c r="I55" s="13">
        <f t="shared" ref="I55:AO55" si="218">$H$51</f>
        <v>0</v>
      </c>
      <c r="J55" s="13">
        <f t="shared" si="218"/>
        <v>0</v>
      </c>
      <c r="K55" s="13">
        <f t="shared" si="218"/>
        <v>0</v>
      </c>
      <c r="L55" s="13">
        <f t="shared" si="218"/>
        <v>0</v>
      </c>
      <c r="M55" s="13">
        <f t="shared" si="218"/>
        <v>0</v>
      </c>
      <c r="N55" s="13">
        <f t="shared" si="218"/>
        <v>0</v>
      </c>
      <c r="O55" s="13">
        <f t="shared" si="218"/>
        <v>0</v>
      </c>
      <c r="P55" s="13">
        <f t="shared" si="218"/>
        <v>0</v>
      </c>
      <c r="Q55" s="13">
        <f t="shared" si="218"/>
        <v>0</v>
      </c>
      <c r="R55" s="13">
        <f t="shared" si="218"/>
        <v>0</v>
      </c>
      <c r="S55" s="13">
        <f t="shared" si="218"/>
        <v>0</v>
      </c>
      <c r="T55" s="13">
        <f t="shared" si="218"/>
        <v>0</v>
      </c>
      <c r="U55" s="13">
        <f t="shared" si="218"/>
        <v>0</v>
      </c>
      <c r="V55" s="13">
        <f t="shared" si="218"/>
        <v>0</v>
      </c>
      <c r="W55" s="13">
        <f t="shared" si="218"/>
        <v>0</v>
      </c>
      <c r="X55" s="13">
        <f t="shared" si="218"/>
        <v>0</v>
      </c>
      <c r="Y55" s="13">
        <f t="shared" si="218"/>
        <v>0</v>
      </c>
      <c r="Z55" s="13">
        <f t="shared" si="218"/>
        <v>0</v>
      </c>
      <c r="AA55" s="13">
        <f t="shared" si="218"/>
        <v>0</v>
      </c>
      <c r="AB55" s="13">
        <f t="shared" si="218"/>
        <v>0</v>
      </c>
      <c r="AC55" s="13">
        <f t="shared" si="218"/>
        <v>0</v>
      </c>
      <c r="AD55" s="13">
        <f t="shared" si="218"/>
        <v>0</v>
      </c>
      <c r="AE55" s="13">
        <f t="shared" si="218"/>
        <v>0</v>
      </c>
      <c r="AF55" s="13">
        <f t="shared" si="218"/>
        <v>0</v>
      </c>
      <c r="AG55" s="13">
        <f t="shared" si="218"/>
        <v>0</v>
      </c>
      <c r="AH55" s="13">
        <f t="shared" si="218"/>
        <v>0</v>
      </c>
      <c r="AI55" s="13">
        <f t="shared" si="218"/>
        <v>0</v>
      </c>
      <c r="AJ55" s="13">
        <f t="shared" si="218"/>
        <v>0</v>
      </c>
      <c r="AK55" s="13">
        <f t="shared" si="218"/>
        <v>0</v>
      </c>
      <c r="AL55" s="13">
        <f t="shared" si="218"/>
        <v>0</v>
      </c>
      <c r="AM55" s="13">
        <f t="shared" si="218"/>
        <v>0</v>
      </c>
      <c r="AN55" s="13">
        <f t="shared" si="218"/>
        <v>0</v>
      </c>
      <c r="AO55" s="13">
        <f t="shared" si="218"/>
        <v>0</v>
      </c>
      <c r="AP55" s="74">
        <f>L51</f>
        <v>0</v>
      </c>
      <c r="AQ55" s="74">
        <f t="shared" ref="AQ55:BM55" si="219">M51</f>
        <v>0</v>
      </c>
      <c r="AR55" s="74">
        <f t="shared" si="219"/>
        <v>0</v>
      </c>
      <c r="AS55" s="74">
        <f t="shared" si="219"/>
        <v>0</v>
      </c>
      <c r="AT55" s="74">
        <f t="shared" si="219"/>
        <v>0</v>
      </c>
      <c r="AU55" s="74">
        <f t="shared" si="219"/>
        <v>0</v>
      </c>
      <c r="AV55" s="74">
        <f t="shared" si="219"/>
        <v>0</v>
      </c>
      <c r="AW55" s="74">
        <f t="shared" si="219"/>
        <v>0</v>
      </c>
      <c r="AX55" s="74">
        <f t="shared" si="219"/>
        <v>0</v>
      </c>
      <c r="AY55" s="74">
        <f t="shared" si="219"/>
        <v>0</v>
      </c>
      <c r="AZ55" s="74">
        <f t="shared" si="219"/>
        <v>0</v>
      </c>
      <c r="BA55" s="74">
        <f t="shared" si="219"/>
        <v>0</v>
      </c>
      <c r="BB55" s="74">
        <f t="shared" si="219"/>
        <v>0</v>
      </c>
      <c r="BC55" s="74">
        <f t="shared" si="219"/>
        <v>0</v>
      </c>
      <c r="BD55" s="74">
        <f t="shared" si="219"/>
        <v>0</v>
      </c>
      <c r="BE55" s="74">
        <f t="shared" si="219"/>
        <v>0</v>
      </c>
      <c r="BF55" s="74">
        <f t="shared" si="219"/>
        <v>0</v>
      </c>
      <c r="BG55" s="74">
        <f t="shared" si="219"/>
        <v>0</v>
      </c>
      <c r="BH55" s="74">
        <f t="shared" si="219"/>
        <v>0</v>
      </c>
      <c r="BI55" s="74">
        <f t="shared" si="219"/>
        <v>0</v>
      </c>
      <c r="BJ55" s="74">
        <f t="shared" si="219"/>
        <v>0</v>
      </c>
      <c r="BK55" s="74">
        <f t="shared" si="219"/>
        <v>0</v>
      </c>
      <c r="BL55" s="74">
        <f t="shared" si="219"/>
        <v>0</v>
      </c>
      <c r="BM55" s="74">
        <f t="shared" si="219"/>
        <v>0</v>
      </c>
      <c r="BN55" s="4"/>
      <c r="BO55" s="4"/>
      <c r="BP55" s="4"/>
      <c r="BQ55" s="4"/>
      <c r="BR55" s="4"/>
      <c r="BS55" s="4"/>
      <c r="BT55" s="4"/>
      <c r="BU55" s="4"/>
      <c r="BV55" s="4"/>
      <c r="BW55" s="4"/>
    </row>
    <row r="56" spans="1:75" ht="16.5" thickBot="1" x14ac:dyDescent="0.3">
      <c r="A56" s="5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</row>
    <row r="57" spans="1:75" x14ac:dyDescent="0.25">
      <c r="A57" s="265" t="s">
        <v>184</v>
      </c>
      <c r="B57" s="266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4"/>
      <c r="AF57" s="4"/>
      <c r="AG57" s="4"/>
      <c r="AH57" s="4"/>
    </row>
    <row r="58" spans="1:75" ht="16.5" thickBot="1" x14ac:dyDescent="0.3">
      <c r="A58" s="7" t="s">
        <v>185</v>
      </c>
      <c r="B58" s="8">
        <f>SUM(B28:B29)*B27</f>
        <v>0</v>
      </c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H58" s="4"/>
    </row>
    <row r="59" spans="1:75" ht="15" hidden="1" customHeight="1" x14ac:dyDescent="0.25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H59" s="4"/>
    </row>
    <row r="60" spans="1:75" ht="15" hidden="1" customHeight="1" x14ac:dyDescent="0.25">
      <c r="A60" s="5"/>
      <c r="B60" s="14">
        <v>42095</v>
      </c>
      <c r="C60" s="14">
        <f>EDATE(B60,1)</f>
        <v>42125</v>
      </c>
      <c r="D60" s="14">
        <f t="shared" ref="D60:AP60" si="220">EDATE(C60,1)</f>
        <v>42156</v>
      </c>
      <c r="E60" s="14">
        <f t="shared" si="220"/>
        <v>42186</v>
      </c>
      <c r="F60" s="14">
        <f t="shared" si="220"/>
        <v>42217</v>
      </c>
      <c r="G60" s="14">
        <f t="shared" si="220"/>
        <v>42248</v>
      </c>
      <c r="H60" s="14">
        <f t="shared" si="220"/>
        <v>42278</v>
      </c>
      <c r="I60" s="14">
        <f t="shared" si="220"/>
        <v>42309</v>
      </c>
      <c r="J60" s="14">
        <f t="shared" si="220"/>
        <v>42339</v>
      </c>
      <c r="K60" s="14">
        <f t="shared" si="220"/>
        <v>42370</v>
      </c>
      <c r="L60" s="14">
        <f t="shared" si="220"/>
        <v>42401</v>
      </c>
      <c r="M60" s="14">
        <f t="shared" si="220"/>
        <v>42430</v>
      </c>
      <c r="N60" s="14">
        <f t="shared" si="220"/>
        <v>42461</v>
      </c>
      <c r="O60" s="14">
        <f t="shared" si="220"/>
        <v>42491</v>
      </c>
      <c r="P60" s="14">
        <f t="shared" si="220"/>
        <v>42522</v>
      </c>
      <c r="Q60" s="14">
        <f t="shared" si="220"/>
        <v>42552</v>
      </c>
      <c r="R60" s="14">
        <f t="shared" si="220"/>
        <v>42583</v>
      </c>
      <c r="S60" s="14">
        <f t="shared" si="220"/>
        <v>42614</v>
      </c>
      <c r="T60" s="14">
        <f t="shared" si="220"/>
        <v>42644</v>
      </c>
      <c r="U60" s="14">
        <f t="shared" si="220"/>
        <v>42675</v>
      </c>
      <c r="V60" s="14">
        <f t="shared" si="220"/>
        <v>42705</v>
      </c>
      <c r="W60" s="14">
        <f t="shared" si="220"/>
        <v>42736</v>
      </c>
      <c r="X60" s="14">
        <f t="shared" si="220"/>
        <v>42767</v>
      </c>
      <c r="Y60" s="14">
        <f t="shared" si="220"/>
        <v>42795</v>
      </c>
      <c r="Z60" s="14">
        <f t="shared" si="220"/>
        <v>42826</v>
      </c>
      <c r="AA60" s="14">
        <f t="shared" si="220"/>
        <v>42856</v>
      </c>
      <c r="AB60" s="14">
        <f t="shared" si="220"/>
        <v>42887</v>
      </c>
      <c r="AC60" s="14">
        <f t="shared" si="220"/>
        <v>42917</v>
      </c>
      <c r="AD60" s="14">
        <f t="shared" si="220"/>
        <v>42948</v>
      </c>
      <c r="AE60" s="14">
        <f t="shared" si="220"/>
        <v>42979</v>
      </c>
      <c r="AF60" s="14">
        <f t="shared" si="220"/>
        <v>43009</v>
      </c>
      <c r="AG60" s="14">
        <f t="shared" si="220"/>
        <v>43040</v>
      </c>
      <c r="AH60" s="14">
        <f>EDATE(AG60,1)</f>
        <v>43070</v>
      </c>
      <c r="AI60" s="14">
        <f t="shared" si="220"/>
        <v>43101</v>
      </c>
      <c r="AJ60" s="14">
        <f t="shared" si="220"/>
        <v>43132</v>
      </c>
      <c r="AK60" s="14">
        <f t="shared" si="220"/>
        <v>43160</v>
      </c>
      <c r="AL60" s="14">
        <f t="shared" si="220"/>
        <v>43191</v>
      </c>
      <c r="AM60" s="14">
        <f t="shared" si="220"/>
        <v>43221</v>
      </c>
      <c r="AN60" s="14">
        <f t="shared" si="220"/>
        <v>43252</v>
      </c>
      <c r="AO60" s="14">
        <f t="shared" si="220"/>
        <v>43282</v>
      </c>
      <c r="AP60" s="14">
        <f t="shared" si="220"/>
        <v>43313</v>
      </c>
      <c r="AQ60" s="14">
        <f t="shared" ref="AQ60" si="221">EDATE(AP60,1)</f>
        <v>43344</v>
      </c>
      <c r="AR60" s="14">
        <f t="shared" ref="AR60" si="222">EDATE(AQ60,1)</f>
        <v>43374</v>
      </c>
      <c r="AS60" s="14">
        <f t="shared" ref="AS60" si="223">EDATE(AR60,1)</f>
        <v>43405</v>
      </c>
      <c r="AT60" s="14">
        <f t="shared" ref="AT60" si="224">EDATE(AS60,1)</f>
        <v>43435</v>
      </c>
      <c r="AU60" s="14">
        <f t="shared" ref="AU60" si="225">EDATE(AT60,1)</f>
        <v>43466</v>
      </c>
      <c r="AV60" s="14">
        <f t="shared" ref="AV60" si="226">EDATE(AU60,1)</f>
        <v>43497</v>
      </c>
      <c r="AW60" s="14">
        <f t="shared" ref="AW60" si="227">EDATE(AV60,1)</f>
        <v>43525</v>
      </c>
      <c r="AX60" s="14">
        <f t="shared" ref="AX60" si="228">EDATE(AW60,1)</f>
        <v>43556</v>
      </c>
      <c r="AY60" s="14">
        <f t="shared" ref="AY60" si="229">EDATE(AX60,1)</f>
        <v>43586</v>
      </c>
      <c r="AZ60" s="14">
        <f t="shared" ref="AZ60" si="230">EDATE(AY60,1)</f>
        <v>43617</v>
      </c>
      <c r="BA60" s="14">
        <f t="shared" ref="BA60" si="231">EDATE(AZ60,1)</f>
        <v>43647</v>
      </c>
      <c r="BB60" s="14">
        <f t="shared" ref="BB60" si="232">EDATE(BA60,1)</f>
        <v>43678</v>
      </c>
      <c r="BC60" s="14">
        <f t="shared" ref="BC60" si="233">EDATE(BB60,1)</f>
        <v>43709</v>
      </c>
      <c r="BD60" s="14">
        <f t="shared" ref="BD60" si="234">EDATE(BC60,1)</f>
        <v>43739</v>
      </c>
      <c r="BE60" s="14">
        <f t="shared" ref="BE60" si="235">EDATE(BD60,1)</f>
        <v>43770</v>
      </c>
      <c r="BF60" s="14">
        <f t="shared" ref="BF60" si="236">EDATE(BE60,1)</f>
        <v>43800</v>
      </c>
      <c r="BG60" s="14">
        <f t="shared" ref="BG60" si="237">EDATE(BF60,1)</f>
        <v>43831</v>
      </c>
      <c r="BH60" s="14">
        <f t="shared" ref="BH60" si="238">EDATE(BG60,1)</f>
        <v>43862</v>
      </c>
      <c r="BI60" s="14">
        <f t="shared" ref="BI60" si="239">EDATE(BH60,1)</f>
        <v>43891</v>
      </c>
      <c r="BJ60" s="14">
        <f t="shared" ref="BJ60" si="240">EDATE(BI60,1)</f>
        <v>43922</v>
      </c>
      <c r="BK60" s="14">
        <f t="shared" ref="BK60" si="241">EDATE(BJ60,1)</f>
        <v>43952</v>
      </c>
      <c r="BL60" s="14">
        <f t="shared" ref="BL60" si="242">EDATE(BK60,1)</f>
        <v>43983</v>
      </c>
      <c r="BM60" s="14">
        <f t="shared" ref="BM60" si="243">EDATE(BL60,1)</f>
        <v>44013</v>
      </c>
    </row>
    <row r="61" spans="1:75" hidden="1" x14ac:dyDescent="0.25">
      <c r="A61" s="5"/>
      <c r="B61" s="15">
        <v>0</v>
      </c>
      <c r="C61" s="15">
        <f>B61+1</f>
        <v>1</v>
      </c>
      <c r="D61" s="15">
        <f>C61+1</f>
        <v>2</v>
      </c>
      <c r="E61" s="15">
        <f t="shared" ref="E61:AP61" si="244">D61+1</f>
        <v>3</v>
      </c>
      <c r="F61" s="15">
        <f t="shared" si="244"/>
        <v>4</v>
      </c>
      <c r="G61" s="15">
        <f t="shared" si="244"/>
        <v>5</v>
      </c>
      <c r="H61" s="15">
        <f t="shared" si="244"/>
        <v>6</v>
      </c>
      <c r="I61" s="15">
        <f t="shared" si="244"/>
        <v>7</v>
      </c>
      <c r="J61" s="15">
        <f t="shared" si="244"/>
        <v>8</v>
      </c>
      <c r="K61" s="15">
        <f t="shared" si="244"/>
        <v>9</v>
      </c>
      <c r="L61" s="15">
        <f t="shared" si="244"/>
        <v>10</v>
      </c>
      <c r="M61" s="15">
        <f t="shared" si="244"/>
        <v>11</v>
      </c>
      <c r="N61" s="15">
        <f t="shared" si="244"/>
        <v>12</v>
      </c>
      <c r="O61" s="15">
        <f t="shared" si="244"/>
        <v>13</v>
      </c>
      <c r="P61" s="15">
        <f t="shared" si="244"/>
        <v>14</v>
      </c>
      <c r="Q61" s="15">
        <f t="shared" si="244"/>
        <v>15</v>
      </c>
      <c r="R61" s="15">
        <f t="shared" si="244"/>
        <v>16</v>
      </c>
      <c r="S61" s="15">
        <f t="shared" si="244"/>
        <v>17</v>
      </c>
      <c r="T61" s="15">
        <f t="shared" si="244"/>
        <v>18</v>
      </c>
      <c r="U61" s="15">
        <f t="shared" si="244"/>
        <v>19</v>
      </c>
      <c r="V61" s="15">
        <f t="shared" si="244"/>
        <v>20</v>
      </c>
      <c r="W61" s="15">
        <f t="shared" si="244"/>
        <v>21</v>
      </c>
      <c r="X61" s="15">
        <f t="shared" si="244"/>
        <v>22</v>
      </c>
      <c r="Y61" s="15">
        <f t="shared" si="244"/>
        <v>23</v>
      </c>
      <c r="Z61" s="15">
        <f t="shared" si="244"/>
        <v>24</v>
      </c>
      <c r="AA61" s="15">
        <f t="shared" si="244"/>
        <v>25</v>
      </c>
      <c r="AB61" s="15">
        <f t="shared" si="244"/>
        <v>26</v>
      </c>
      <c r="AC61" s="15">
        <f t="shared" si="244"/>
        <v>27</v>
      </c>
      <c r="AD61" s="15">
        <f t="shared" si="244"/>
        <v>28</v>
      </c>
      <c r="AE61" s="15">
        <f t="shared" si="244"/>
        <v>29</v>
      </c>
      <c r="AF61" s="15">
        <f t="shared" si="244"/>
        <v>30</v>
      </c>
      <c r="AG61" s="15">
        <f t="shared" si="244"/>
        <v>31</v>
      </c>
      <c r="AH61" s="15">
        <f t="shared" si="244"/>
        <v>32</v>
      </c>
      <c r="AI61" s="15">
        <f t="shared" si="244"/>
        <v>33</v>
      </c>
      <c r="AJ61" s="15">
        <f t="shared" si="244"/>
        <v>34</v>
      </c>
      <c r="AK61" s="15">
        <f t="shared" si="244"/>
        <v>35</v>
      </c>
      <c r="AL61" s="15">
        <f t="shared" si="244"/>
        <v>36</v>
      </c>
      <c r="AM61" s="15">
        <f t="shared" si="244"/>
        <v>37</v>
      </c>
      <c r="AN61" s="15">
        <f t="shared" si="244"/>
        <v>38</v>
      </c>
      <c r="AO61" s="15">
        <f t="shared" si="244"/>
        <v>39</v>
      </c>
      <c r="AP61" s="15">
        <f t="shared" si="244"/>
        <v>40</v>
      </c>
      <c r="AQ61" s="15">
        <f t="shared" ref="AQ61" si="245">AP61+1</f>
        <v>41</v>
      </c>
      <c r="AR61" s="15">
        <f t="shared" ref="AR61" si="246">AQ61+1</f>
        <v>42</v>
      </c>
      <c r="AS61" s="15">
        <f t="shared" ref="AS61" si="247">AR61+1</f>
        <v>43</v>
      </c>
      <c r="AT61" s="15">
        <f t="shared" ref="AT61" si="248">AS61+1</f>
        <v>44</v>
      </c>
      <c r="AU61" s="15">
        <f t="shared" ref="AU61" si="249">AT61+1</f>
        <v>45</v>
      </c>
      <c r="AV61" s="15">
        <f t="shared" ref="AV61" si="250">AU61+1</f>
        <v>46</v>
      </c>
      <c r="AW61" s="15">
        <f t="shared" ref="AW61" si="251">AV61+1</f>
        <v>47</v>
      </c>
      <c r="AX61" s="15">
        <f t="shared" ref="AX61" si="252">AW61+1</f>
        <v>48</v>
      </c>
      <c r="AY61" s="15">
        <f t="shared" ref="AY61" si="253">AX61+1</f>
        <v>49</v>
      </c>
      <c r="AZ61" s="15">
        <f t="shared" ref="AZ61" si="254">AY61+1</f>
        <v>50</v>
      </c>
      <c r="BA61" s="15">
        <f t="shared" ref="BA61" si="255">AZ61+1</f>
        <v>51</v>
      </c>
      <c r="BB61" s="15">
        <f t="shared" ref="BB61" si="256">BA61+1</f>
        <v>52</v>
      </c>
      <c r="BC61" s="15">
        <f t="shared" ref="BC61" si="257">BB61+1</f>
        <v>53</v>
      </c>
      <c r="BD61" s="15">
        <f t="shared" ref="BD61" si="258">BC61+1</f>
        <v>54</v>
      </c>
      <c r="BE61" s="15">
        <f t="shared" ref="BE61" si="259">BD61+1</f>
        <v>55</v>
      </c>
      <c r="BF61" s="15">
        <f t="shared" ref="BF61" si="260">BE61+1</f>
        <v>56</v>
      </c>
      <c r="BG61" s="15">
        <f t="shared" ref="BG61" si="261">BF61+1</f>
        <v>57</v>
      </c>
      <c r="BH61" s="15">
        <f t="shared" ref="BH61" si="262">BG61+1</f>
        <v>58</v>
      </c>
      <c r="BI61" s="15">
        <f t="shared" ref="BI61" si="263">BH61+1</f>
        <v>59</v>
      </c>
      <c r="BJ61" s="15">
        <f t="shared" ref="BJ61" si="264">BI61+1</f>
        <v>60</v>
      </c>
      <c r="BK61" s="15">
        <f t="shared" ref="BK61" si="265">BJ61+1</f>
        <v>61</v>
      </c>
      <c r="BL61" s="15">
        <f t="shared" ref="BL61" si="266">BK61+1</f>
        <v>62</v>
      </c>
      <c r="BM61" s="15">
        <f t="shared" ref="BM61" si="267">BL61+1</f>
        <v>63</v>
      </c>
    </row>
    <row r="62" spans="1:75" hidden="1" x14ac:dyDescent="0.25">
      <c r="A62" s="12" t="s">
        <v>154</v>
      </c>
      <c r="B62" s="13"/>
      <c r="C62" s="13">
        <f>B58</f>
        <v>0</v>
      </c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13"/>
      <c r="AB62" s="13"/>
      <c r="AC62" s="74"/>
      <c r="AD62" s="74"/>
      <c r="AE62" s="74"/>
      <c r="AF62" s="74"/>
      <c r="AG62" s="74"/>
      <c r="AH62" s="74"/>
      <c r="AI62" s="74"/>
      <c r="AJ62" s="74"/>
      <c r="AK62" s="74"/>
      <c r="AL62" s="74"/>
      <c r="AM62" s="74"/>
      <c r="AN62" s="74"/>
      <c r="AO62" s="74"/>
      <c r="AP62" s="74"/>
      <c r="AQ62" s="74"/>
      <c r="AR62" s="74"/>
      <c r="AS62" s="74"/>
      <c r="AT62" s="74"/>
      <c r="AU62" s="74"/>
      <c r="AV62" s="74"/>
      <c r="AW62" s="74"/>
      <c r="AX62" s="74"/>
      <c r="AY62" s="74"/>
      <c r="AZ62" s="74"/>
      <c r="BA62" s="74"/>
      <c r="BB62" s="74"/>
      <c r="BC62" s="74"/>
      <c r="BD62" s="74"/>
      <c r="BE62" s="74"/>
      <c r="BF62" s="74"/>
      <c r="BG62" s="74"/>
      <c r="BH62" s="74"/>
      <c r="BI62" s="74"/>
      <c r="BJ62" s="74"/>
      <c r="BK62" s="74"/>
      <c r="BL62" s="74"/>
      <c r="BM62" s="74"/>
    </row>
    <row r="63" spans="1:75" hidden="1" x14ac:dyDescent="0.25">
      <c r="A63" s="5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78"/>
      <c r="AF63" s="78"/>
      <c r="AG63" s="78"/>
      <c r="AH63" s="78"/>
    </row>
    <row r="64" spans="1:75" hidden="1" x14ac:dyDescent="0.25">
      <c r="A64" s="267" t="s">
        <v>186</v>
      </c>
      <c r="B64" s="268"/>
      <c r="E64" s="4"/>
      <c r="I64" s="4"/>
      <c r="J64" s="4"/>
      <c r="K64" s="6"/>
      <c r="AE64" s="4"/>
      <c r="AF64" s="4"/>
      <c r="AG64" s="4"/>
      <c r="AH64" s="4"/>
    </row>
    <row r="65" spans="1:65" ht="16.5" hidden="1" thickBot="1" x14ac:dyDescent="0.3">
      <c r="A65" s="9" t="s">
        <v>157</v>
      </c>
      <c r="B65" s="10">
        <f>B51+B37</f>
        <v>257000</v>
      </c>
    </row>
    <row r="66" spans="1:65" hidden="1" x14ac:dyDescent="0.25"/>
    <row r="67" spans="1:65" hidden="1" x14ac:dyDescent="0.25">
      <c r="B67" s="14">
        <f>B39</f>
        <v>43282</v>
      </c>
      <c r="C67" s="14">
        <f>EDATE(B67,1)</f>
        <v>43313</v>
      </c>
      <c r="D67" s="14">
        <f t="shared" ref="D67:AC67" si="268">EDATE(C67,1)</f>
        <v>43344</v>
      </c>
      <c r="E67" s="14">
        <f t="shared" si="268"/>
        <v>43374</v>
      </c>
      <c r="F67" s="14">
        <f t="shared" si="268"/>
        <v>43405</v>
      </c>
      <c r="G67" s="14">
        <f t="shared" si="268"/>
        <v>43435</v>
      </c>
      <c r="H67" s="14">
        <f t="shared" si="268"/>
        <v>43466</v>
      </c>
      <c r="I67" s="14">
        <f t="shared" si="268"/>
        <v>43497</v>
      </c>
      <c r="J67" s="14">
        <f t="shared" si="268"/>
        <v>43525</v>
      </c>
      <c r="K67" s="14">
        <f t="shared" si="268"/>
        <v>43556</v>
      </c>
      <c r="L67" s="14">
        <f t="shared" si="268"/>
        <v>43586</v>
      </c>
      <c r="M67" s="14">
        <f t="shared" si="268"/>
        <v>43617</v>
      </c>
      <c r="N67" s="14">
        <f t="shared" si="268"/>
        <v>43647</v>
      </c>
      <c r="O67" s="14">
        <f t="shared" si="268"/>
        <v>43678</v>
      </c>
      <c r="P67" s="14"/>
      <c r="Q67" s="14"/>
      <c r="R67" s="14"/>
      <c r="S67" s="14"/>
      <c r="T67" s="14"/>
      <c r="U67" s="14"/>
      <c r="V67" s="14"/>
      <c r="W67" s="14"/>
      <c r="X67" s="14">
        <f>EDATE(O67,1)</f>
        <v>43709</v>
      </c>
      <c r="Y67" s="14">
        <f t="shared" si="268"/>
        <v>43739</v>
      </c>
      <c r="Z67" s="14">
        <f t="shared" si="268"/>
        <v>43770</v>
      </c>
      <c r="AA67" s="14">
        <f t="shared" si="268"/>
        <v>43800</v>
      </c>
      <c r="AB67" s="14">
        <f t="shared" si="268"/>
        <v>43831</v>
      </c>
      <c r="AC67" s="72">
        <f t="shared" si="268"/>
        <v>43862</v>
      </c>
      <c r="AD67" s="72">
        <f>EDATE(AC67,1)</f>
        <v>43891</v>
      </c>
    </row>
    <row r="68" spans="1:65" hidden="1" x14ac:dyDescent="0.25">
      <c r="B68" s="15">
        <v>0</v>
      </c>
      <c r="C68" s="15">
        <f>B68+1</f>
        <v>1</v>
      </c>
      <c r="D68" s="15">
        <f t="shared" ref="D68:AC68" si="269">C68+1</f>
        <v>2</v>
      </c>
      <c r="E68" s="15">
        <f t="shared" si="269"/>
        <v>3</v>
      </c>
      <c r="F68" s="15">
        <f t="shared" si="269"/>
        <v>4</v>
      </c>
      <c r="G68" s="15">
        <f t="shared" si="269"/>
        <v>5</v>
      </c>
      <c r="H68" s="15">
        <f t="shared" si="269"/>
        <v>6</v>
      </c>
      <c r="I68" s="15">
        <f t="shared" si="269"/>
        <v>7</v>
      </c>
      <c r="J68" s="15">
        <f t="shared" si="269"/>
        <v>8</v>
      </c>
      <c r="K68" s="15">
        <f t="shared" si="269"/>
        <v>9</v>
      </c>
      <c r="L68" s="15">
        <f t="shared" si="269"/>
        <v>10</v>
      </c>
      <c r="M68" s="15">
        <f t="shared" si="269"/>
        <v>11</v>
      </c>
      <c r="N68" s="15">
        <f t="shared" si="269"/>
        <v>12</v>
      </c>
      <c r="O68" s="15">
        <f t="shared" si="269"/>
        <v>13</v>
      </c>
      <c r="P68" s="15"/>
      <c r="Q68" s="15"/>
      <c r="R68" s="15"/>
      <c r="S68" s="15"/>
      <c r="T68" s="15"/>
      <c r="U68" s="15"/>
      <c r="V68" s="15"/>
      <c r="W68" s="15"/>
      <c r="X68" s="15">
        <f>O68+1</f>
        <v>14</v>
      </c>
      <c r="Y68" s="15">
        <f t="shared" si="269"/>
        <v>15</v>
      </c>
      <c r="Z68" s="15">
        <f t="shared" si="269"/>
        <v>16</v>
      </c>
      <c r="AA68" s="15">
        <f t="shared" si="269"/>
        <v>17</v>
      </c>
      <c r="AB68" s="15">
        <f t="shared" si="269"/>
        <v>18</v>
      </c>
      <c r="AC68" s="73">
        <f t="shared" si="269"/>
        <v>19</v>
      </c>
      <c r="AD68" s="73">
        <f>AC68+1</f>
        <v>20</v>
      </c>
    </row>
    <row r="69" spans="1:65" hidden="1" x14ac:dyDescent="0.25">
      <c r="A69" s="12" t="s">
        <v>154</v>
      </c>
      <c r="B69" s="13">
        <f>SUM(B55,B41)</f>
        <v>0</v>
      </c>
      <c r="C69" s="13" t="e">
        <f>C41*#REF!</f>
        <v>#REF!</v>
      </c>
      <c r="D69" s="13" t="e">
        <f>D41*#REF!</f>
        <v>#REF!</v>
      </c>
      <c r="E69" s="13" t="e">
        <f>#REF!*#REF!</f>
        <v>#REF!</v>
      </c>
      <c r="F69" s="13" t="e">
        <f>I41*#REF!</f>
        <v>#REF!</v>
      </c>
      <c r="G69" s="13" t="e">
        <f>J41*#REF!</f>
        <v>#REF!</v>
      </c>
      <c r="H69" s="13" t="e">
        <f>#REF!*#REF!</f>
        <v>#REF!</v>
      </c>
      <c r="I69" s="13" t="e">
        <f>#REF!*#REF!</f>
        <v>#REF!</v>
      </c>
      <c r="J69" s="13" t="e">
        <f>K41*#REF!</f>
        <v>#REF!</v>
      </c>
      <c r="K69" s="13" t="e">
        <f>L41*#REF!</f>
        <v>#REF!</v>
      </c>
      <c r="L69" s="13" t="e">
        <f>M41*#REF!</f>
        <v>#REF!</v>
      </c>
      <c r="M69" s="13" t="e">
        <f>N41*#REF!</f>
        <v>#REF!</v>
      </c>
      <c r="N69" s="13" t="e">
        <f>O41*#REF!</f>
        <v>#REF!</v>
      </c>
      <c r="O69" s="13" t="e">
        <f>P41*#REF!</f>
        <v>#REF!</v>
      </c>
      <c r="P69" s="13"/>
      <c r="Q69" s="13"/>
      <c r="R69" s="13"/>
      <c r="S69" s="13"/>
      <c r="T69" s="13"/>
      <c r="U69" s="13"/>
      <c r="V69" s="13"/>
      <c r="W69" s="13"/>
      <c r="X69" s="13" t="e">
        <f>W41*#REF!</f>
        <v>#REF!</v>
      </c>
      <c r="Y69" s="13" t="e">
        <f>X41*#REF!</f>
        <v>#REF!</v>
      </c>
      <c r="Z69" s="13" t="e">
        <f>Y41*#REF!</f>
        <v>#REF!</v>
      </c>
      <c r="AA69" s="13" t="e">
        <f>Z41*#REF!</f>
        <v>#REF!</v>
      </c>
      <c r="AB69" s="13" t="e">
        <f>AA41*#REF!</f>
        <v>#REF!</v>
      </c>
      <c r="AC69" s="13" t="e">
        <f>AB41*#REF!</f>
        <v>#REF!</v>
      </c>
      <c r="AD69" s="13" t="e">
        <f>AC41*#REF!</f>
        <v>#REF!</v>
      </c>
    </row>
    <row r="70" spans="1:65" hidden="1" x14ac:dyDescent="0.25">
      <c r="AE70" s="5"/>
      <c r="AF70" s="5"/>
      <c r="AG70" s="5"/>
      <c r="AH70" s="5"/>
    </row>
    <row r="71" spans="1:65" hidden="1" x14ac:dyDescent="0.25">
      <c r="A71" s="262" t="s">
        <v>149</v>
      </c>
      <c r="B71" s="262"/>
      <c r="C71" s="271" t="s">
        <v>150</v>
      </c>
      <c r="D71" s="272">
        <v>24</v>
      </c>
      <c r="AE71" s="5"/>
      <c r="AF71" s="5"/>
      <c r="AG71" s="5"/>
      <c r="AH71" s="5"/>
    </row>
    <row r="72" spans="1:65" hidden="1" x14ac:dyDescent="0.25">
      <c r="A72" s="262"/>
      <c r="B72" s="262"/>
      <c r="C72" s="271"/>
      <c r="D72" s="272"/>
      <c r="AE72" s="5"/>
      <c r="AF72" s="5"/>
      <c r="AG72" s="5"/>
      <c r="AH72" s="5"/>
    </row>
    <row r="73" spans="1:65" ht="47.25" hidden="1" x14ac:dyDescent="0.25">
      <c r="A73" s="262"/>
      <c r="B73" s="262"/>
      <c r="C73" s="110" t="s">
        <v>14</v>
      </c>
      <c r="D73" s="109">
        <v>3</v>
      </c>
      <c r="AE73" s="80" t="e">
        <f>EDATE(#REF!,1)</f>
        <v>#REF!</v>
      </c>
      <c r="AF73" s="80" t="e">
        <f>EDATE(AE73,1)</f>
        <v>#REF!</v>
      </c>
      <c r="AG73" s="80" t="e">
        <f>EDATE(AF73,1)</f>
        <v>#REF!</v>
      </c>
      <c r="AH73" s="80" t="e">
        <f>EDATE(AG73,1)</f>
        <v>#REF!</v>
      </c>
      <c r="AI73" s="80" t="e">
        <f>EDATE(AH73,1)</f>
        <v>#REF!</v>
      </c>
      <c r="AJ73" s="80" t="e">
        <f>EDATE(AI73,1)</f>
        <v>#REF!</v>
      </c>
    </row>
    <row r="74" spans="1:65" ht="30" hidden="1" x14ac:dyDescent="0.25">
      <c r="A74" s="262"/>
      <c r="B74" s="262"/>
      <c r="C74" s="108" t="s">
        <v>151</v>
      </c>
      <c r="D74" s="109">
        <f>D71+D73</f>
        <v>27</v>
      </c>
      <c r="AE74" s="81">
        <v>22</v>
      </c>
      <c r="AF74" s="81">
        <v>23</v>
      </c>
      <c r="AG74" s="81">
        <v>24</v>
      </c>
      <c r="AH74" s="81">
        <v>25</v>
      </c>
      <c r="AI74" s="81">
        <v>26</v>
      </c>
      <c r="AJ74" s="81">
        <v>27</v>
      </c>
    </row>
    <row r="75" spans="1:65" hidden="1" x14ac:dyDescent="0.25">
      <c r="AE75" s="13">
        <v>6008.53</v>
      </c>
      <c r="AF75" s="13">
        <v>6011.96</v>
      </c>
      <c r="AG75" s="13">
        <v>5902.31</v>
      </c>
      <c r="AH75" s="13">
        <v>5905.74</v>
      </c>
      <c r="AI75" s="13">
        <v>5933.63</v>
      </c>
      <c r="AJ75" s="13">
        <v>158039.20000000001</v>
      </c>
    </row>
    <row r="76" spans="1:65" hidden="1" x14ac:dyDescent="0.25">
      <c r="A76" s="265" t="s">
        <v>152</v>
      </c>
      <c r="B76" s="266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</row>
    <row r="77" spans="1:65" ht="16.5" hidden="1" thickBot="1" x14ac:dyDescent="0.3">
      <c r="A77" s="7" t="s">
        <v>153</v>
      </c>
      <c r="B77" s="8">
        <v>260000</v>
      </c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H77" s="4"/>
      <c r="AI77" s="4"/>
      <c r="AJ77" s="4"/>
    </row>
    <row r="78" spans="1:65" ht="16.5" thickBot="1" x14ac:dyDescent="0.3">
      <c r="A78" s="180" t="s">
        <v>187</v>
      </c>
      <c r="B78" s="8">
        <f>Dados!C31</f>
        <v>0</v>
      </c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H78" s="4"/>
      <c r="AI78" s="4"/>
      <c r="AJ78" s="4"/>
    </row>
    <row r="79" spans="1:65" x14ac:dyDescent="0.25">
      <c r="A79" s="5"/>
      <c r="B79" s="80">
        <f>Cashflow!H7</f>
        <v>43282</v>
      </c>
      <c r="C79" s="80">
        <f t="shared" ref="C79:AP79" si="270">EDATE(B79,1)</f>
        <v>43313</v>
      </c>
      <c r="D79" s="80">
        <f t="shared" si="270"/>
        <v>43344</v>
      </c>
      <c r="E79" s="80">
        <f t="shared" si="270"/>
        <v>43374</v>
      </c>
      <c r="F79" s="80">
        <f t="shared" si="270"/>
        <v>43405</v>
      </c>
      <c r="G79" s="80">
        <f t="shared" si="270"/>
        <v>43435</v>
      </c>
      <c r="H79" s="80">
        <f t="shared" si="270"/>
        <v>43466</v>
      </c>
      <c r="I79" s="80">
        <f t="shared" si="270"/>
        <v>43497</v>
      </c>
      <c r="J79" s="80">
        <f t="shared" si="270"/>
        <v>43525</v>
      </c>
      <c r="K79" s="80">
        <f t="shared" si="270"/>
        <v>43556</v>
      </c>
      <c r="L79" s="80">
        <f t="shared" si="270"/>
        <v>43586</v>
      </c>
      <c r="M79" s="80">
        <f t="shared" si="270"/>
        <v>43617</v>
      </c>
      <c r="N79" s="80">
        <f t="shared" si="270"/>
        <v>43647</v>
      </c>
      <c r="O79" s="80">
        <f t="shared" si="270"/>
        <v>43678</v>
      </c>
      <c r="P79" s="80">
        <f t="shared" si="270"/>
        <v>43709</v>
      </c>
      <c r="Q79" s="80">
        <f t="shared" si="270"/>
        <v>43739</v>
      </c>
      <c r="R79" s="80">
        <f t="shared" si="270"/>
        <v>43770</v>
      </c>
      <c r="S79" s="80">
        <f t="shared" si="270"/>
        <v>43800</v>
      </c>
      <c r="T79" s="80">
        <f t="shared" si="270"/>
        <v>43831</v>
      </c>
      <c r="U79" s="80">
        <f t="shared" si="270"/>
        <v>43862</v>
      </c>
      <c r="V79" s="80">
        <f t="shared" si="270"/>
        <v>43891</v>
      </c>
      <c r="W79" s="80">
        <f t="shared" si="270"/>
        <v>43922</v>
      </c>
      <c r="X79" s="80">
        <f t="shared" si="270"/>
        <v>43952</v>
      </c>
      <c r="Y79" s="80">
        <f t="shared" si="270"/>
        <v>43983</v>
      </c>
      <c r="Z79" s="80">
        <f t="shared" si="270"/>
        <v>44013</v>
      </c>
      <c r="AA79" s="80">
        <f t="shared" si="270"/>
        <v>44044</v>
      </c>
      <c r="AB79" s="80">
        <f t="shared" si="270"/>
        <v>44075</v>
      </c>
      <c r="AC79" s="80">
        <f t="shared" si="270"/>
        <v>44105</v>
      </c>
      <c r="AD79" s="80">
        <f t="shared" si="270"/>
        <v>44136</v>
      </c>
      <c r="AE79" s="80">
        <f t="shared" si="270"/>
        <v>44166</v>
      </c>
      <c r="AF79" s="80">
        <f t="shared" si="270"/>
        <v>44197</v>
      </c>
      <c r="AG79" s="80">
        <f t="shared" si="270"/>
        <v>44228</v>
      </c>
      <c r="AH79" s="80">
        <f t="shared" si="270"/>
        <v>44256</v>
      </c>
      <c r="AI79" s="80">
        <f t="shared" si="270"/>
        <v>44287</v>
      </c>
      <c r="AJ79" s="80">
        <f t="shared" si="270"/>
        <v>44317</v>
      </c>
      <c r="AK79" s="80">
        <f t="shared" si="270"/>
        <v>44348</v>
      </c>
      <c r="AL79" s="80">
        <f t="shared" si="270"/>
        <v>44378</v>
      </c>
      <c r="AM79" s="80">
        <f t="shared" si="270"/>
        <v>44409</v>
      </c>
      <c r="AN79" s="80">
        <f t="shared" si="270"/>
        <v>44440</v>
      </c>
      <c r="AO79" s="80">
        <f t="shared" si="270"/>
        <v>44470</v>
      </c>
      <c r="AP79" s="80">
        <f t="shared" si="270"/>
        <v>44501</v>
      </c>
      <c r="AQ79" s="80">
        <f t="shared" ref="AQ79" si="271">EDATE(AP79,1)</f>
        <v>44531</v>
      </c>
      <c r="AR79" s="80">
        <f t="shared" ref="AR79" si="272">EDATE(AQ79,1)</f>
        <v>44562</v>
      </c>
      <c r="AS79" s="80">
        <f t="shared" ref="AS79" si="273">EDATE(AR79,1)</f>
        <v>44593</v>
      </c>
      <c r="AT79" s="80">
        <f t="shared" ref="AT79" si="274">EDATE(AS79,1)</f>
        <v>44621</v>
      </c>
      <c r="AU79" s="80">
        <f t="shared" ref="AU79" si="275">EDATE(AT79,1)</f>
        <v>44652</v>
      </c>
      <c r="AV79" s="80">
        <f t="shared" ref="AV79" si="276">EDATE(AU79,1)</f>
        <v>44682</v>
      </c>
      <c r="AW79" s="80">
        <f t="shared" ref="AW79" si="277">EDATE(AV79,1)</f>
        <v>44713</v>
      </c>
      <c r="AX79" s="80">
        <f t="shared" ref="AX79" si="278">EDATE(AW79,1)</f>
        <v>44743</v>
      </c>
      <c r="AY79" s="80">
        <f t="shared" ref="AY79" si="279">EDATE(AX79,1)</f>
        <v>44774</v>
      </c>
      <c r="AZ79" s="80">
        <f t="shared" ref="AZ79" si="280">EDATE(AY79,1)</f>
        <v>44805</v>
      </c>
      <c r="BA79" s="80">
        <f t="shared" ref="BA79" si="281">EDATE(AZ79,1)</f>
        <v>44835</v>
      </c>
      <c r="BB79" s="80">
        <f t="shared" ref="BB79" si="282">EDATE(BA79,1)</f>
        <v>44866</v>
      </c>
      <c r="BC79" s="80">
        <f t="shared" ref="BC79" si="283">EDATE(BB79,1)</f>
        <v>44896</v>
      </c>
      <c r="BD79" s="80">
        <f t="shared" ref="BD79" si="284">EDATE(BC79,1)</f>
        <v>44927</v>
      </c>
      <c r="BE79" s="80">
        <f t="shared" ref="BE79" si="285">EDATE(BD79,1)</f>
        <v>44958</v>
      </c>
      <c r="BF79" s="80">
        <f t="shared" ref="BF79" si="286">EDATE(BE79,1)</f>
        <v>44986</v>
      </c>
      <c r="BG79" s="80">
        <f t="shared" ref="BG79" si="287">EDATE(BF79,1)</f>
        <v>45017</v>
      </c>
      <c r="BH79" s="80">
        <f t="shared" ref="BH79" si="288">EDATE(BG79,1)</f>
        <v>45047</v>
      </c>
      <c r="BI79" s="80">
        <f t="shared" ref="BI79" si="289">EDATE(BH79,1)</f>
        <v>45078</v>
      </c>
      <c r="BJ79" s="80">
        <f t="shared" ref="BJ79" si="290">EDATE(BI79,1)</f>
        <v>45108</v>
      </c>
      <c r="BK79" s="80">
        <f t="shared" ref="BK79" si="291">EDATE(BJ79,1)</f>
        <v>45139</v>
      </c>
      <c r="BL79" s="80">
        <f t="shared" ref="BL79" si="292">EDATE(BK79,1)</f>
        <v>45170</v>
      </c>
      <c r="BM79" s="80">
        <f t="shared" ref="BM79" si="293">EDATE(BL79,1)</f>
        <v>45200</v>
      </c>
    </row>
    <row r="80" spans="1:65" x14ac:dyDescent="0.25">
      <c r="A80" s="5"/>
      <c r="B80" s="81">
        <f>Cashflow!H8</f>
        <v>0</v>
      </c>
      <c r="C80" s="81">
        <f>B80+1</f>
        <v>1</v>
      </c>
      <c r="D80" s="81">
        <f t="shared" ref="D80:AP80" si="294">C80+1</f>
        <v>2</v>
      </c>
      <c r="E80" s="81">
        <f t="shared" si="294"/>
        <v>3</v>
      </c>
      <c r="F80" s="81">
        <f t="shared" si="294"/>
        <v>4</v>
      </c>
      <c r="G80" s="81">
        <f t="shared" si="294"/>
        <v>5</v>
      </c>
      <c r="H80" s="81">
        <f t="shared" si="294"/>
        <v>6</v>
      </c>
      <c r="I80" s="81">
        <f t="shared" si="294"/>
        <v>7</v>
      </c>
      <c r="J80" s="81">
        <f t="shared" si="294"/>
        <v>8</v>
      </c>
      <c r="K80" s="81">
        <f t="shared" si="294"/>
        <v>9</v>
      </c>
      <c r="L80" s="81">
        <f t="shared" si="294"/>
        <v>10</v>
      </c>
      <c r="M80" s="81">
        <f t="shared" si="294"/>
        <v>11</v>
      </c>
      <c r="N80" s="81">
        <f t="shared" si="294"/>
        <v>12</v>
      </c>
      <c r="O80" s="81">
        <f t="shared" si="294"/>
        <v>13</v>
      </c>
      <c r="P80" s="81">
        <f t="shared" si="294"/>
        <v>14</v>
      </c>
      <c r="Q80" s="81">
        <f t="shared" si="294"/>
        <v>15</v>
      </c>
      <c r="R80" s="81">
        <f t="shared" si="294"/>
        <v>16</v>
      </c>
      <c r="S80" s="81">
        <f t="shared" si="294"/>
        <v>17</v>
      </c>
      <c r="T80" s="81">
        <f t="shared" si="294"/>
        <v>18</v>
      </c>
      <c r="U80" s="81">
        <f t="shared" si="294"/>
        <v>19</v>
      </c>
      <c r="V80" s="81">
        <f t="shared" si="294"/>
        <v>20</v>
      </c>
      <c r="W80" s="81">
        <f t="shared" si="294"/>
        <v>21</v>
      </c>
      <c r="X80" s="81">
        <f t="shared" si="294"/>
        <v>22</v>
      </c>
      <c r="Y80" s="81">
        <f t="shared" si="294"/>
        <v>23</v>
      </c>
      <c r="Z80" s="81">
        <f t="shared" si="294"/>
        <v>24</v>
      </c>
      <c r="AA80" s="81">
        <f t="shared" si="294"/>
        <v>25</v>
      </c>
      <c r="AB80" s="81">
        <f t="shared" si="294"/>
        <v>26</v>
      </c>
      <c r="AC80" s="81">
        <f t="shared" si="294"/>
        <v>27</v>
      </c>
      <c r="AD80" s="81">
        <f t="shared" si="294"/>
        <v>28</v>
      </c>
      <c r="AE80" s="81">
        <f t="shared" si="294"/>
        <v>29</v>
      </c>
      <c r="AF80" s="81">
        <f t="shared" si="294"/>
        <v>30</v>
      </c>
      <c r="AG80" s="81">
        <f t="shared" si="294"/>
        <v>31</v>
      </c>
      <c r="AH80" s="81">
        <f t="shared" si="294"/>
        <v>32</v>
      </c>
      <c r="AI80" s="81">
        <f t="shared" si="294"/>
        <v>33</v>
      </c>
      <c r="AJ80" s="81">
        <f t="shared" si="294"/>
        <v>34</v>
      </c>
      <c r="AK80" s="81">
        <f t="shared" si="294"/>
        <v>35</v>
      </c>
      <c r="AL80" s="81">
        <f t="shared" si="294"/>
        <v>36</v>
      </c>
      <c r="AM80" s="81">
        <f t="shared" si="294"/>
        <v>37</v>
      </c>
      <c r="AN80" s="81">
        <f t="shared" si="294"/>
        <v>38</v>
      </c>
      <c r="AO80" s="81">
        <f t="shared" si="294"/>
        <v>39</v>
      </c>
      <c r="AP80" s="81">
        <f t="shared" si="294"/>
        <v>40</v>
      </c>
      <c r="AQ80" s="81">
        <f t="shared" ref="AQ80" si="295">AP80+1</f>
        <v>41</v>
      </c>
      <c r="AR80" s="81">
        <f t="shared" ref="AR80" si="296">AQ80+1</f>
        <v>42</v>
      </c>
      <c r="AS80" s="81">
        <f t="shared" ref="AS80" si="297">AR80+1</f>
        <v>43</v>
      </c>
      <c r="AT80" s="81">
        <f t="shared" ref="AT80" si="298">AS80+1</f>
        <v>44</v>
      </c>
      <c r="AU80" s="81">
        <f t="shared" ref="AU80" si="299">AT80+1</f>
        <v>45</v>
      </c>
      <c r="AV80" s="81">
        <f t="shared" ref="AV80" si="300">AU80+1</f>
        <v>46</v>
      </c>
      <c r="AW80" s="81">
        <f t="shared" ref="AW80" si="301">AV80+1</f>
        <v>47</v>
      </c>
      <c r="AX80" s="81">
        <f t="shared" ref="AX80" si="302">AW80+1</f>
        <v>48</v>
      </c>
      <c r="AY80" s="81">
        <f t="shared" ref="AY80" si="303">AX80+1</f>
        <v>49</v>
      </c>
      <c r="AZ80" s="81">
        <f t="shared" ref="AZ80" si="304">AY80+1</f>
        <v>50</v>
      </c>
      <c r="BA80" s="81">
        <f t="shared" ref="BA80" si="305">AZ80+1</f>
        <v>51</v>
      </c>
      <c r="BB80" s="81">
        <f t="shared" ref="BB80" si="306">BA80+1</f>
        <v>52</v>
      </c>
      <c r="BC80" s="81">
        <f t="shared" ref="BC80" si="307">BB80+1</f>
        <v>53</v>
      </c>
      <c r="BD80" s="81">
        <f t="shared" ref="BD80" si="308">BC80+1</f>
        <v>54</v>
      </c>
      <c r="BE80" s="81">
        <f t="shared" ref="BE80" si="309">BD80+1</f>
        <v>55</v>
      </c>
      <c r="BF80" s="81">
        <f t="shared" ref="BF80" si="310">BE80+1</f>
        <v>56</v>
      </c>
      <c r="BG80" s="81">
        <f t="shared" ref="BG80" si="311">BF80+1</f>
        <v>57</v>
      </c>
      <c r="BH80" s="81">
        <f t="shared" ref="BH80" si="312">BG80+1</f>
        <v>58</v>
      </c>
      <c r="BI80" s="81">
        <f t="shared" ref="BI80" si="313">BH80+1</f>
        <v>59</v>
      </c>
      <c r="BJ80" s="81">
        <f t="shared" ref="BJ80" si="314">BI80+1</f>
        <v>60</v>
      </c>
      <c r="BK80" s="81">
        <f t="shared" ref="BK80" si="315">BJ80+1</f>
        <v>61</v>
      </c>
      <c r="BL80" s="81">
        <f t="shared" ref="BL80" si="316">BK80+1</f>
        <v>62</v>
      </c>
      <c r="BM80" s="81">
        <f t="shared" ref="BM80" si="317">BL80+1</f>
        <v>63</v>
      </c>
    </row>
    <row r="81" spans="1:65" x14ac:dyDescent="0.25">
      <c r="A81" s="12" t="s">
        <v>154</v>
      </c>
      <c r="B81" s="13">
        <f>B58+B78</f>
        <v>0</v>
      </c>
      <c r="C81" s="13"/>
      <c r="D81" s="13">
        <v>0</v>
      </c>
      <c r="E81" s="13">
        <v>0</v>
      </c>
      <c r="F81" s="13">
        <v>0</v>
      </c>
      <c r="G81" s="13">
        <v>0</v>
      </c>
      <c r="H81" s="13">
        <v>0</v>
      </c>
      <c r="I81" s="13">
        <v>0</v>
      </c>
      <c r="J81" s="13">
        <v>0</v>
      </c>
      <c r="K81" s="13">
        <v>0</v>
      </c>
      <c r="L81" s="13">
        <v>0</v>
      </c>
      <c r="M81" s="13">
        <v>0</v>
      </c>
      <c r="N81" s="13">
        <v>0</v>
      </c>
      <c r="O81" s="13">
        <v>0</v>
      </c>
      <c r="P81" s="13">
        <v>0</v>
      </c>
      <c r="Q81" s="13">
        <v>0</v>
      </c>
      <c r="R81" s="13">
        <v>0</v>
      </c>
      <c r="S81" s="13">
        <v>0</v>
      </c>
      <c r="T81" s="13">
        <v>0</v>
      </c>
      <c r="U81" s="13">
        <v>0</v>
      </c>
      <c r="V81" s="13">
        <v>0</v>
      </c>
      <c r="W81" s="13">
        <v>0</v>
      </c>
      <c r="X81" s="13">
        <v>0</v>
      </c>
      <c r="Y81" s="13">
        <v>0</v>
      </c>
      <c r="Z81" s="13">
        <v>0</v>
      </c>
      <c r="AA81" s="13">
        <v>0</v>
      </c>
      <c r="AB81" s="13">
        <v>0</v>
      </c>
      <c r="AC81" s="13">
        <v>0</v>
      </c>
      <c r="AD81" s="13">
        <v>0</v>
      </c>
      <c r="AE81" s="13">
        <v>0</v>
      </c>
      <c r="AF81" s="13">
        <v>0</v>
      </c>
      <c r="AG81" s="13">
        <v>0</v>
      </c>
      <c r="AH81" s="13">
        <v>0</v>
      </c>
      <c r="AI81" s="13">
        <v>0</v>
      </c>
      <c r="AJ81" s="13">
        <v>0</v>
      </c>
      <c r="AK81" s="13">
        <v>0</v>
      </c>
      <c r="AL81" s="13">
        <v>0</v>
      </c>
      <c r="AM81" s="13">
        <v>0</v>
      </c>
      <c r="AN81" s="13">
        <v>0</v>
      </c>
      <c r="AO81" s="13">
        <v>0</v>
      </c>
      <c r="AP81" s="13">
        <v>0</v>
      </c>
      <c r="AQ81" s="13"/>
      <c r="AR81" s="13"/>
      <c r="AS81" s="13"/>
      <c r="AT81" s="13"/>
      <c r="AU81" s="13"/>
      <c r="AV81" s="13"/>
      <c r="AW81" s="13"/>
      <c r="AX81" s="13"/>
      <c r="AY81" s="13"/>
      <c r="AZ81" s="13"/>
      <c r="BA81" s="13"/>
      <c r="BB81" s="13"/>
      <c r="BC81" s="13"/>
      <c r="BD81" s="13"/>
      <c r="BE81" s="13"/>
      <c r="BF81" s="13"/>
      <c r="BG81" s="13"/>
      <c r="BH81" s="13"/>
      <c r="BI81" s="13"/>
      <c r="BJ81" s="13"/>
      <c r="BK81" s="13"/>
      <c r="BL81" s="13"/>
      <c r="BM81" s="13"/>
    </row>
    <row r="82" spans="1:65" ht="16.5" thickBot="1" x14ac:dyDescent="0.3"/>
    <row r="83" spans="1:65" x14ac:dyDescent="0.25">
      <c r="A83" s="267" t="s">
        <v>188</v>
      </c>
      <c r="B83" s="268"/>
      <c r="E83" s="4"/>
      <c r="I83" s="4"/>
      <c r="J83" s="4"/>
      <c r="K83" s="6"/>
    </row>
    <row r="84" spans="1:65" ht="16.5" thickBot="1" x14ac:dyDescent="0.3">
      <c r="A84" s="9" t="s">
        <v>189</v>
      </c>
      <c r="B84" s="10">
        <f>B28+B29</f>
        <v>257000</v>
      </c>
    </row>
    <row r="86" spans="1:65" x14ac:dyDescent="0.25">
      <c r="B86" s="173">
        <f>Cashflow!H7</f>
        <v>43282</v>
      </c>
      <c r="C86" s="173">
        <f>EDATE(B86,1)</f>
        <v>43313</v>
      </c>
      <c r="D86" s="173">
        <f t="shared" ref="D86:AP86" si="318">EDATE(C86,1)</f>
        <v>43344</v>
      </c>
      <c r="E86" s="173">
        <f t="shared" si="318"/>
        <v>43374</v>
      </c>
      <c r="F86" s="173">
        <f t="shared" si="318"/>
        <v>43405</v>
      </c>
      <c r="G86" s="173">
        <f t="shared" si="318"/>
        <v>43435</v>
      </c>
      <c r="H86" s="173">
        <f t="shared" si="318"/>
        <v>43466</v>
      </c>
      <c r="I86" s="173">
        <f t="shared" si="318"/>
        <v>43497</v>
      </c>
      <c r="J86" s="173">
        <f t="shared" si="318"/>
        <v>43525</v>
      </c>
      <c r="K86" s="173">
        <f t="shared" si="318"/>
        <v>43556</v>
      </c>
      <c r="L86" s="173">
        <f t="shared" si="318"/>
        <v>43586</v>
      </c>
      <c r="M86" s="173">
        <f t="shared" si="318"/>
        <v>43617</v>
      </c>
      <c r="N86" s="173">
        <f t="shared" si="318"/>
        <v>43647</v>
      </c>
      <c r="O86" s="173">
        <f t="shared" si="318"/>
        <v>43678</v>
      </c>
      <c r="P86" s="173">
        <f t="shared" si="318"/>
        <v>43709</v>
      </c>
      <c r="Q86" s="173">
        <f t="shared" si="318"/>
        <v>43739</v>
      </c>
      <c r="R86" s="173">
        <f t="shared" si="318"/>
        <v>43770</v>
      </c>
      <c r="S86" s="173">
        <f t="shared" si="318"/>
        <v>43800</v>
      </c>
      <c r="T86" s="173">
        <f t="shared" si="318"/>
        <v>43831</v>
      </c>
      <c r="U86" s="173">
        <f t="shared" si="318"/>
        <v>43862</v>
      </c>
      <c r="V86" s="173">
        <f t="shared" si="318"/>
        <v>43891</v>
      </c>
      <c r="W86" s="173">
        <f t="shared" si="318"/>
        <v>43922</v>
      </c>
      <c r="X86" s="173">
        <f t="shared" si="318"/>
        <v>43952</v>
      </c>
      <c r="Y86" s="173">
        <f t="shared" si="318"/>
        <v>43983</v>
      </c>
      <c r="Z86" s="173">
        <f t="shared" si="318"/>
        <v>44013</v>
      </c>
      <c r="AA86" s="173">
        <f t="shared" si="318"/>
        <v>44044</v>
      </c>
      <c r="AB86" s="173">
        <f t="shared" si="318"/>
        <v>44075</v>
      </c>
      <c r="AC86" s="173">
        <f t="shared" si="318"/>
        <v>44105</v>
      </c>
      <c r="AD86" s="173">
        <f t="shared" si="318"/>
        <v>44136</v>
      </c>
      <c r="AE86" s="173">
        <f t="shared" si="318"/>
        <v>44166</v>
      </c>
      <c r="AF86" s="173">
        <f t="shared" si="318"/>
        <v>44197</v>
      </c>
      <c r="AG86" s="173">
        <f t="shared" si="318"/>
        <v>44228</v>
      </c>
      <c r="AH86" s="173">
        <f>EDATE(AG86,1)</f>
        <v>44256</v>
      </c>
      <c r="AI86" s="173">
        <f t="shared" si="318"/>
        <v>44287</v>
      </c>
      <c r="AJ86" s="173">
        <f t="shared" si="318"/>
        <v>44317</v>
      </c>
      <c r="AK86" s="173">
        <f t="shared" si="318"/>
        <v>44348</v>
      </c>
      <c r="AL86" s="173">
        <f t="shared" si="318"/>
        <v>44378</v>
      </c>
      <c r="AM86" s="173">
        <f t="shared" si="318"/>
        <v>44409</v>
      </c>
      <c r="AN86" s="173">
        <f t="shared" si="318"/>
        <v>44440</v>
      </c>
      <c r="AO86" s="173">
        <f t="shared" si="318"/>
        <v>44470</v>
      </c>
      <c r="AP86" s="173">
        <f t="shared" si="318"/>
        <v>44501</v>
      </c>
      <c r="AQ86" s="173">
        <f t="shared" ref="AQ86" si="319">EDATE(AP86,1)</f>
        <v>44531</v>
      </c>
      <c r="AR86" s="173">
        <f t="shared" ref="AR86" si="320">EDATE(AQ86,1)</f>
        <v>44562</v>
      </c>
      <c r="AS86" s="173">
        <f t="shared" ref="AS86" si="321">EDATE(AR86,1)</f>
        <v>44593</v>
      </c>
      <c r="AT86" s="173">
        <f t="shared" ref="AT86" si="322">EDATE(AS86,1)</f>
        <v>44621</v>
      </c>
      <c r="AU86" s="173">
        <f t="shared" ref="AU86" si="323">EDATE(AT86,1)</f>
        <v>44652</v>
      </c>
      <c r="AV86" s="173">
        <f t="shared" ref="AV86" si="324">EDATE(AU86,1)</f>
        <v>44682</v>
      </c>
      <c r="AW86" s="173">
        <f t="shared" ref="AW86" si="325">EDATE(AV86,1)</f>
        <v>44713</v>
      </c>
      <c r="AX86" s="173">
        <f t="shared" ref="AX86" si="326">EDATE(AW86,1)</f>
        <v>44743</v>
      </c>
      <c r="AY86" s="173">
        <f t="shared" ref="AY86" si="327">EDATE(AX86,1)</f>
        <v>44774</v>
      </c>
      <c r="AZ86" s="173">
        <f t="shared" ref="AZ86" si="328">EDATE(AY86,1)</f>
        <v>44805</v>
      </c>
      <c r="BA86" s="173">
        <f t="shared" ref="BA86" si="329">EDATE(AZ86,1)</f>
        <v>44835</v>
      </c>
      <c r="BB86" s="173">
        <f t="shared" ref="BB86" si="330">EDATE(BA86,1)</f>
        <v>44866</v>
      </c>
      <c r="BC86" s="173">
        <f t="shared" ref="BC86" si="331">EDATE(BB86,1)</f>
        <v>44896</v>
      </c>
      <c r="BD86" s="173">
        <f t="shared" ref="BD86" si="332">EDATE(BC86,1)</f>
        <v>44927</v>
      </c>
      <c r="BE86" s="173">
        <f t="shared" ref="BE86" si="333">EDATE(BD86,1)</f>
        <v>44958</v>
      </c>
      <c r="BF86" s="173">
        <f t="shared" ref="BF86" si="334">EDATE(BE86,1)</f>
        <v>44986</v>
      </c>
      <c r="BG86" s="173">
        <f t="shared" ref="BG86" si="335">EDATE(BF86,1)</f>
        <v>45017</v>
      </c>
      <c r="BH86" s="173">
        <f t="shared" ref="BH86" si="336">EDATE(BG86,1)</f>
        <v>45047</v>
      </c>
      <c r="BI86" s="173">
        <f t="shared" ref="BI86" si="337">EDATE(BH86,1)</f>
        <v>45078</v>
      </c>
      <c r="BJ86" s="173">
        <f t="shared" ref="BJ86" si="338">EDATE(BI86,1)</f>
        <v>45108</v>
      </c>
      <c r="BK86" s="173">
        <f t="shared" ref="BK86" si="339">EDATE(BJ86,1)</f>
        <v>45139</v>
      </c>
      <c r="BL86" s="173">
        <f t="shared" ref="BL86" si="340">EDATE(BK86,1)</f>
        <v>45170</v>
      </c>
      <c r="BM86" s="173">
        <f t="shared" ref="BM86" si="341">EDATE(BL86,1)</f>
        <v>45200</v>
      </c>
    </row>
    <row r="87" spans="1:65" x14ac:dyDescent="0.25">
      <c r="B87" s="174">
        <f>Cashflow!H8</f>
        <v>0</v>
      </c>
      <c r="C87" s="174">
        <f>B87+1</f>
        <v>1</v>
      </c>
      <c r="D87" s="174">
        <f>C87+1</f>
        <v>2</v>
      </c>
      <c r="E87" s="174">
        <f t="shared" ref="E87:AP87" si="342">D87+1</f>
        <v>3</v>
      </c>
      <c r="F87" s="174">
        <f t="shared" si="342"/>
        <v>4</v>
      </c>
      <c r="G87" s="174">
        <f t="shared" si="342"/>
        <v>5</v>
      </c>
      <c r="H87" s="174">
        <f t="shared" si="342"/>
        <v>6</v>
      </c>
      <c r="I87" s="174">
        <f t="shared" si="342"/>
        <v>7</v>
      </c>
      <c r="J87" s="174">
        <f t="shared" si="342"/>
        <v>8</v>
      </c>
      <c r="K87" s="174">
        <f t="shared" si="342"/>
        <v>9</v>
      </c>
      <c r="L87" s="174">
        <f t="shared" si="342"/>
        <v>10</v>
      </c>
      <c r="M87" s="174">
        <f t="shared" si="342"/>
        <v>11</v>
      </c>
      <c r="N87" s="174">
        <f t="shared" si="342"/>
        <v>12</v>
      </c>
      <c r="O87" s="174">
        <f t="shared" si="342"/>
        <v>13</v>
      </c>
      <c r="P87" s="174">
        <f t="shared" si="342"/>
        <v>14</v>
      </c>
      <c r="Q87" s="174">
        <f t="shared" si="342"/>
        <v>15</v>
      </c>
      <c r="R87" s="174">
        <f t="shared" si="342"/>
        <v>16</v>
      </c>
      <c r="S87" s="174">
        <f t="shared" si="342"/>
        <v>17</v>
      </c>
      <c r="T87" s="174">
        <f t="shared" si="342"/>
        <v>18</v>
      </c>
      <c r="U87" s="174">
        <f t="shared" si="342"/>
        <v>19</v>
      </c>
      <c r="V87" s="174">
        <f t="shared" si="342"/>
        <v>20</v>
      </c>
      <c r="W87" s="174">
        <f t="shared" si="342"/>
        <v>21</v>
      </c>
      <c r="X87" s="174">
        <f t="shared" si="342"/>
        <v>22</v>
      </c>
      <c r="Y87" s="174">
        <f t="shared" si="342"/>
        <v>23</v>
      </c>
      <c r="Z87" s="174">
        <f t="shared" si="342"/>
        <v>24</v>
      </c>
      <c r="AA87" s="174">
        <f t="shared" si="342"/>
        <v>25</v>
      </c>
      <c r="AB87" s="174">
        <f t="shared" si="342"/>
        <v>26</v>
      </c>
      <c r="AC87" s="174">
        <f t="shared" si="342"/>
        <v>27</v>
      </c>
      <c r="AD87" s="174">
        <f t="shared" si="342"/>
        <v>28</v>
      </c>
      <c r="AE87" s="174">
        <f t="shared" si="342"/>
        <v>29</v>
      </c>
      <c r="AF87" s="174">
        <f t="shared" si="342"/>
        <v>30</v>
      </c>
      <c r="AG87" s="174">
        <f t="shared" si="342"/>
        <v>31</v>
      </c>
      <c r="AH87" s="174">
        <f t="shared" si="342"/>
        <v>32</v>
      </c>
      <c r="AI87" s="174">
        <f t="shared" si="342"/>
        <v>33</v>
      </c>
      <c r="AJ87" s="174">
        <f t="shared" si="342"/>
        <v>34</v>
      </c>
      <c r="AK87" s="174">
        <f t="shared" si="342"/>
        <v>35</v>
      </c>
      <c r="AL87" s="174">
        <f t="shared" si="342"/>
        <v>36</v>
      </c>
      <c r="AM87" s="174">
        <f t="shared" si="342"/>
        <v>37</v>
      </c>
      <c r="AN87" s="174">
        <f t="shared" si="342"/>
        <v>38</v>
      </c>
      <c r="AO87" s="174">
        <f t="shared" si="342"/>
        <v>39</v>
      </c>
      <c r="AP87" s="174">
        <f t="shared" si="342"/>
        <v>40</v>
      </c>
      <c r="AQ87" s="174">
        <f t="shared" ref="AQ87" si="343">AP87+1</f>
        <v>41</v>
      </c>
      <c r="AR87" s="174">
        <f t="shared" ref="AR87" si="344">AQ87+1</f>
        <v>42</v>
      </c>
      <c r="AS87" s="174">
        <f t="shared" ref="AS87" si="345">AR87+1</f>
        <v>43</v>
      </c>
      <c r="AT87" s="174">
        <f t="shared" ref="AT87" si="346">AS87+1</f>
        <v>44</v>
      </c>
      <c r="AU87" s="174">
        <f t="shared" ref="AU87" si="347">AT87+1</f>
        <v>45</v>
      </c>
      <c r="AV87" s="174">
        <f t="shared" ref="AV87" si="348">AU87+1</f>
        <v>46</v>
      </c>
      <c r="AW87" s="174">
        <f t="shared" ref="AW87" si="349">AV87+1</f>
        <v>47</v>
      </c>
      <c r="AX87" s="174">
        <f t="shared" ref="AX87" si="350">AW87+1</f>
        <v>48</v>
      </c>
      <c r="AY87" s="174">
        <f t="shared" ref="AY87" si="351">AX87+1</f>
        <v>49</v>
      </c>
      <c r="AZ87" s="174">
        <f t="shared" ref="AZ87" si="352">AY87+1</f>
        <v>50</v>
      </c>
      <c r="BA87" s="174">
        <f t="shared" ref="BA87" si="353">AZ87+1</f>
        <v>51</v>
      </c>
      <c r="BB87" s="174">
        <f t="shared" ref="BB87" si="354">BA87+1</f>
        <v>52</v>
      </c>
      <c r="BC87" s="174">
        <f t="shared" ref="BC87" si="355">BB87+1</f>
        <v>53</v>
      </c>
      <c r="BD87" s="174">
        <f t="shared" ref="BD87" si="356">BC87+1</f>
        <v>54</v>
      </c>
      <c r="BE87" s="174">
        <f t="shared" ref="BE87" si="357">BD87+1</f>
        <v>55</v>
      </c>
      <c r="BF87" s="174">
        <f t="shared" ref="BF87" si="358">BE87+1</f>
        <v>56</v>
      </c>
      <c r="BG87" s="174">
        <f t="shared" ref="BG87" si="359">BF87+1</f>
        <v>57</v>
      </c>
      <c r="BH87" s="174">
        <f t="shared" ref="BH87" si="360">BG87+1</f>
        <v>58</v>
      </c>
      <c r="BI87" s="174">
        <f t="shared" ref="BI87" si="361">BH87+1</f>
        <v>59</v>
      </c>
      <c r="BJ87" s="174">
        <f t="shared" ref="BJ87" si="362">BI87+1</f>
        <v>60</v>
      </c>
      <c r="BK87" s="174">
        <f t="shared" ref="BK87" si="363">BJ87+1</f>
        <v>61</v>
      </c>
      <c r="BL87" s="174">
        <f t="shared" ref="BL87" si="364">BK87+1</f>
        <v>62</v>
      </c>
      <c r="BM87" s="174">
        <f t="shared" ref="BM87" si="365">BL87+1</f>
        <v>63</v>
      </c>
    </row>
    <row r="88" spans="1:65" x14ac:dyDescent="0.25">
      <c r="A88" s="12" t="s">
        <v>154</v>
      </c>
      <c r="B88" s="13">
        <f>B81+B55+B48+B41</f>
        <v>0</v>
      </c>
      <c r="C88" s="13">
        <f>C81+C55+C48+C41</f>
        <v>5732.4197297201054</v>
      </c>
      <c r="D88" s="13">
        <f>D81+D55+D48+D41</f>
        <v>5732.4197297201054</v>
      </c>
      <c r="E88" s="13">
        <f>E81+E55+E48+E41</f>
        <v>5732.4197297201054</v>
      </c>
      <c r="F88" s="13">
        <f t="shared" ref="F88:AK88" si="366">F81+F55+F48+F41</f>
        <v>5732.4197297201054</v>
      </c>
      <c r="G88" s="13">
        <f t="shared" si="366"/>
        <v>5732.4197297201054</v>
      </c>
      <c r="H88" s="13">
        <f t="shared" si="366"/>
        <v>5732.4197297201054</v>
      </c>
      <c r="I88" s="13">
        <f t="shared" si="366"/>
        <v>5732.4197297201054</v>
      </c>
      <c r="J88" s="13">
        <f t="shared" si="366"/>
        <v>5732.4197297201054</v>
      </c>
      <c r="K88" s="13">
        <f t="shared" si="366"/>
        <v>5732.4197297201054</v>
      </c>
      <c r="L88" s="13">
        <f t="shared" si="366"/>
        <v>5732.4197297201054</v>
      </c>
      <c r="M88" s="13">
        <f t="shared" si="366"/>
        <v>5732.4197297201054</v>
      </c>
      <c r="N88" s="13">
        <f t="shared" si="366"/>
        <v>5732.4197297201054</v>
      </c>
      <c r="O88" s="13">
        <f t="shared" si="366"/>
        <v>5732.4197297201054</v>
      </c>
      <c r="P88" s="13">
        <f t="shared" si="366"/>
        <v>5732.4197297201054</v>
      </c>
      <c r="Q88" s="13">
        <f t="shared" si="366"/>
        <v>5732.4197297201054</v>
      </c>
      <c r="R88" s="13">
        <f t="shared" si="366"/>
        <v>5732.4197297201054</v>
      </c>
      <c r="S88" s="13">
        <f t="shared" si="366"/>
        <v>5732.4197297201054</v>
      </c>
      <c r="T88" s="13">
        <f t="shared" si="366"/>
        <v>5732.4197297201054</v>
      </c>
      <c r="U88" s="13">
        <f t="shared" si="366"/>
        <v>5732.4197297201054</v>
      </c>
      <c r="V88" s="13">
        <f t="shared" si="366"/>
        <v>5732.4197297201054</v>
      </c>
      <c r="W88" s="13">
        <f t="shared" si="366"/>
        <v>5732.4197297201054</v>
      </c>
      <c r="X88" s="13">
        <f t="shared" si="366"/>
        <v>5732.4197297201054</v>
      </c>
      <c r="Y88" s="13">
        <f t="shared" si="366"/>
        <v>5732.4197297201054</v>
      </c>
      <c r="Z88" s="13">
        <f t="shared" si="366"/>
        <v>5732.4197297201054</v>
      </c>
      <c r="AA88" s="13">
        <f t="shared" si="366"/>
        <v>5732.4197297201054</v>
      </c>
      <c r="AB88" s="13">
        <f t="shared" si="366"/>
        <v>5732.4197297201054</v>
      </c>
      <c r="AC88" s="13">
        <f t="shared" si="366"/>
        <v>5732.4197297201054</v>
      </c>
      <c r="AD88" s="13">
        <f t="shared" si="366"/>
        <v>5732.4197297201054</v>
      </c>
      <c r="AE88" s="13">
        <f t="shared" si="366"/>
        <v>5732.4197297201054</v>
      </c>
      <c r="AF88" s="13">
        <f t="shared" si="366"/>
        <v>5732.4197297201054</v>
      </c>
      <c r="AG88" s="13">
        <f t="shared" si="366"/>
        <v>5732.4197297201054</v>
      </c>
      <c r="AH88" s="13">
        <f t="shared" si="366"/>
        <v>5732.4197297201054</v>
      </c>
      <c r="AI88" s="13">
        <f t="shared" si="366"/>
        <v>5732.4197297201054</v>
      </c>
      <c r="AJ88" s="13">
        <f t="shared" si="366"/>
        <v>5732.4197297201054</v>
      </c>
      <c r="AK88" s="13">
        <f t="shared" si="366"/>
        <v>5732.4197297201054</v>
      </c>
      <c r="AL88" s="13">
        <f t="shared" ref="AL88:BJ88" si="367">AL81+AL55+AL48+AL41</f>
        <v>5732.4197297201054</v>
      </c>
      <c r="AM88" s="13">
        <f t="shared" si="367"/>
        <v>5732.4197297201054</v>
      </c>
      <c r="AN88" s="13">
        <f t="shared" si="367"/>
        <v>5732.4197297201054</v>
      </c>
      <c r="AO88" s="13">
        <f t="shared" si="367"/>
        <v>5732.4197297201054</v>
      </c>
      <c r="AP88" s="13">
        <f t="shared" si="367"/>
        <v>5732.4197297201054</v>
      </c>
      <c r="AQ88" s="13">
        <f t="shared" si="367"/>
        <v>5732.4197297201054</v>
      </c>
      <c r="AR88" s="13">
        <f t="shared" si="367"/>
        <v>5732.4197297201054</v>
      </c>
      <c r="AS88" s="13">
        <f t="shared" si="367"/>
        <v>5732.4197297201054</v>
      </c>
      <c r="AT88" s="13">
        <f t="shared" si="367"/>
        <v>5732.4197297201054</v>
      </c>
      <c r="AU88" s="13">
        <f t="shared" si="367"/>
        <v>5732.4197297201054</v>
      </c>
      <c r="AV88" s="13">
        <f t="shared" si="367"/>
        <v>5732.4197297201054</v>
      </c>
      <c r="AW88" s="13">
        <f t="shared" si="367"/>
        <v>5732.4197297201054</v>
      </c>
      <c r="AX88" s="13">
        <f t="shared" si="367"/>
        <v>5732.4197297201054</v>
      </c>
      <c r="AY88" s="13">
        <f t="shared" si="367"/>
        <v>5732.4197297201054</v>
      </c>
      <c r="AZ88" s="13">
        <f t="shared" si="367"/>
        <v>5732.4197297201054</v>
      </c>
      <c r="BA88" s="13">
        <f t="shared" si="367"/>
        <v>5732.4197297201054</v>
      </c>
      <c r="BB88" s="13">
        <f t="shared" si="367"/>
        <v>5732.4197297201054</v>
      </c>
      <c r="BC88" s="13">
        <f t="shared" si="367"/>
        <v>5732.4197297201054</v>
      </c>
      <c r="BD88" s="13">
        <f t="shared" si="367"/>
        <v>5732.4197297201054</v>
      </c>
      <c r="BE88" s="13">
        <f t="shared" si="367"/>
        <v>5732.4197297201054</v>
      </c>
      <c r="BF88" s="13">
        <f t="shared" si="367"/>
        <v>5732.4197297201054</v>
      </c>
      <c r="BG88" s="13">
        <f t="shared" si="367"/>
        <v>5732.4197297201054</v>
      </c>
      <c r="BH88" s="13">
        <f t="shared" si="367"/>
        <v>5732.4197297201054</v>
      </c>
      <c r="BI88" s="13">
        <f t="shared" si="367"/>
        <v>5732.4197297201054</v>
      </c>
      <c r="BJ88" s="13">
        <f t="shared" si="367"/>
        <v>5732.4197297201054</v>
      </c>
      <c r="BK88" s="13">
        <f t="shared" ref="BK88:BM88" si="368">BK81+BK55+BK48+BK41</f>
        <v>0</v>
      </c>
      <c r="BL88" s="13">
        <f t="shared" si="368"/>
        <v>0</v>
      </c>
      <c r="BM88" s="13">
        <f t="shared" si="368"/>
        <v>0</v>
      </c>
    </row>
  </sheetData>
  <mergeCells count="19">
    <mergeCell ref="A83:B83"/>
    <mergeCell ref="C71:C72"/>
    <mergeCell ref="D71:D72"/>
    <mergeCell ref="A76:B76"/>
    <mergeCell ref="A71:B74"/>
    <mergeCell ref="A15:B15"/>
    <mergeCell ref="A36:B36"/>
    <mergeCell ref="A64:B64"/>
    <mergeCell ref="D30:D31"/>
    <mergeCell ref="C30:C31"/>
    <mergeCell ref="A30:B34"/>
    <mergeCell ref="A50:B50"/>
    <mergeCell ref="A57:B57"/>
    <mergeCell ref="A43:B43"/>
    <mergeCell ref="A1:F2"/>
    <mergeCell ref="A3:B6"/>
    <mergeCell ref="C3:C4"/>
    <mergeCell ref="D3:D4"/>
    <mergeCell ref="A8:B8"/>
  </mergeCells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FF00"/>
  </sheetPr>
  <dimension ref="A1:H35"/>
  <sheetViews>
    <sheetView showGridLines="0" workbookViewId="0">
      <selection activeCell="D6" sqref="D6"/>
    </sheetView>
  </sheetViews>
  <sheetFormatPr defaultColWidth="11" defaultRowHeight="15.75" x14ac:dyDescent="0.25"/>
  <cols>
    <col min="2" max="2" width="32.875" customWidth="1"/>
    <col min="3" max="3" width="4.125" bestFit="1" customWidth="1"/>
    <col min="4" max="4" width="12.625" bestFit="1" customWidth="1"/>
    <col min="5" max="5" width="12.875" bestFit="1" customWidth="1"/>
    <col min="7" max="7" width="12.625" bestFit="1" customWidth="1"/>
    <col min="8" max="8" width="54.375" bestFit="1" customWidth="1"/>
  </cols>
  <sheetData>
    <row r="1" spans="1:8" ht="15" customHeight="1" x14ac:dyDescent="0.25">
      <c r="B1" s="273" t="s">
        <v>190</v>
      </c>
      <c r="C1" s="273"/>
      <c r="D1" s="273"/>
      <c r="E1" s="273"/>
      <c r="F1" s="273"/>
    </row>
    <row r="2" spans="1:8" ht="15" customHeight="1" x14ac:dyDescent="0.25">
      <c r="B2" s="273"/>
      <c r="C2" s="273"/>
      <c r="D2" s="273"/>
      <c r="E2" s="273"/>
      <c r="F2" s="273"/>
    </row>
    <row r="3" spans="1:8" ht="15" customHeight="1" x14ac:dyDescent="0.25">
      <c r="A3" s="279" t="s">
        <v>191</v>
      </c>
      <c r="B3" s="56" t="s">
        <v>192</v>
      </c>
      <c r="C3" s="56"/>
      <c r="D3" s="56"/>
      <c r="E3" s="56"/>
      <c r="F3" s="55"/>
      <c r="H3" s="234" t="s">
        <v>193</v>
      </c>
    </row>
    <row r="4" spans="1:8" x14ac:dyDescent="0.25">
      <c r="A4" s="279"/>
      <c r="B4" s="21" t="s">
        <v>194</v>
      </c>
      <c r="C4" s="22" t="s">
        <v>195</v>
      </c>
      <c r="D4" t="s">
        <v>196</v>
      </c>
      <c r="E4" t="s">
        <v>189</v>
      </c>
      <c r="H4" s="58" t="s">
        <v>197</v>
      </c>
    </row>
    <row r="5" spans="1:8" x14ac:dyDescent="0.25">
      <c r="A5" s="279"/>
      <c r="B5" t="s">
        <v>198</v>
      </c>
      <c r="C5" s="45">
        <v>1</v>
      </c>
      <c r="D5" s="4">
        <v>9600</v>
      </c>
      <c r="E5" s="4">
        <f t="shared" ref="E5:E10" si="0">C5*D5</f>
        <v>9600</v>
      </c>
      <c r="H5" s="59" t="s">
        <v>199</v>
      </c>
    </row>
    <row r="6" spans="1:8" x14ac:dyDescent="0.25">
      <c r="A6" s="279"/>
      <c r="B6" t="s">
        <v>200</v>
      </c>
      <c r="C6" s="45">
        <v>1</v>
      </c>
      <c r="D6" s="4">
        <v>10000</v>
      </c>
      <c r="E6" s="4">
        <f t="shared" si="0"/>
        <v>10000</v>
      </c>
      <c r="H6" s="61" t="s">
        <v>201</v>
      </c>
    </row>
    <row r="7" spans="1:8" x14ac:dyDescent="0.25">
      <c r="A7" s="279"/>
      <c r="B7" t="s">
        <v>202</v>
      </c>
      <c r="C7" s="45">
        <v>1</v>
      </c>
      <c r="D7" s="4">
        <v>10250</v>
      </c>
      <c r="E7" s="4">
        <f t="shared" si="0"/>
        <v>10250</v>
      </c>
      <c r="H7" s="66" t="s">
        <v>203</v>
      </c>
    </row>
    <row r="8" spans="1:8" x14ac:dyDescent="0.25">
      <c r="A8" s="279"/>
      <c r="B8" t="s">
        <v>204</v>
      </c>
      <c r="C8" s="45"/>
      <c r="D8" s="4"/>
      <c r="E8" s="4">
        <f t="shared" si="0"/>
        <v>0</v>
      </c>
    </row>
    <row r="9" spans="1:8" x14ac:dyDescent="0.25">
      <c r="A9" s="279"/>
      <c r="C9" s="45"/>
      <c r="D9" s="52"/>
      <c r="E9" s="4">
        <f t="shared" si="0"/>
        <v>0</v>
      </c>
    </row>
    <row r="10" spans="1:8" x14ac:dyDescent="0.25">
      <c r="A10" s="279"/>
      <c r="C10" s="45"/>
      <c r="D10" s="4"/>
      <c r="E10" s="4">
        <f t="shared" si="0"/>
        <v>0</v>
      </c>
    </row>
    <row r="11" spans="1:8" x14ac:dyDescent="0.25">
      <c r="B11" s="67" t="s">
        <v>205</v>
      </c>
      <c r="C11" s="68">
        <f>SUM(C5:C10)</f>
        <v>3</v>
      </c>
      <c r="D11" s="69">
        <f>SUM(D5:D10)</f>
        <v>29850</v>
      </c>
      <c r="E11" s="69">
        <f>SUM(E5:E10)</f>
        <v>29850</v>
      </c>
    </row>
    <row r="12" spans="1:8" x14ac:dyDescent="0.25">
      <c r="B12" s="62"/>
      <c r="C12" s="62"/>
      <c r="D12" s="62"/>
      <c r="E12" s="62"/>
      <c r="F12" s="62"/>
    </row>
    <row r="13" spans="1:8" x14ac:dyDescent="0.25">
      <c r="B13" s="57" t="s">
        <v>206</v>
      </c>
      <c r="C13" s="57"/>
      <c r="D13" s="57"/>
      <c r="E13" s="57"/>
      <c r="F13" s="57"/>
    </row>
    <row r="14" spans="1:8" x14ac:dyDescent="0.25">
      <c r="A14" s="282" t="s">
        <v>207</v>
      </c>
      <c r="B14" s="21" t="s">
        <v>194</v>
      </c>
      <c r="C14" s="22" t="s">
        <v>195</v>
      </c>
      <c r="D14" s="59" t="s">
        <v>208</v>
      </c>
      <c r="E14" t="s">
        <v>196</v>
      </c>
      <c r="F14" t="s">
        <v>189</v>
      </c>
    </row>
    <row r="15" spans="1:8" x14ac:dyDescent="0.25">
      <c r="A15" s="282"/>
      <c r="B15" t="s">
        <v>198</v>
      </c>
      <c r="C15" s="45">
        <f t="shared" ref="C15:C20" si="1">C5</f>
        <v>1</v>
      </c>
      <c r="D15" s="60">
        <v>3.5000000000000003E-2</v>
      </c>
      <c r="E15" s="4">
        <f t="shared" ref="E15:E20" si="2">D5*(1+D15)</f>
        <v>9936</v>
      </c>
      <c r="F15" s="4">
        <f t="shared" ref="F15:F20" si="3">C15*E15</f>
        <v>9936</v>
      </c>
    </row>
    <row r="16" spans="1:8" x14ac:dyDescent="0.25">
      <c r="A16" s="282"/>
      <c r="B16" t="s">
        <v>209</v>
      </c>
      <c r="C16" s="45">
        <f t="shared" si="1"/>
        <v>1</v>
      </c>
      <c r="D16" s="60">
        <v>2.2499999999999999E-2</v>
      </c>
      <c r="E16" s="4">
        <f t="shared" si="2"/>
        <v>10225</v>
      </c>
      <c r="F16" s="4">
        <f t="shared" si="3"/>
        <v>10225</v>
      </c>
    </row>
    <row r="17" spans="1:7" x14ac:dyDescent="0.25">
      <c r="A17" s="282"/>
      <c r="C17" s="45">
        <f t="shared" si="1"/>
        <v>1</v>
      </c>
      <c r="D17" s="60">
        <v>4.87E-2</v>
      </c>
      <c r="E17" s="4">
        <f t="shared" si="2"/>
        <v>10749.174999999999</v>
      </c>
      <c r="F17" s="4">
        <f t="shared" si="3"/>
        <v>10749.174999999999</v>
      </c>
    </row>
    <row r="18" spans="1:7" x14ac:dyDescent="0.25">
      <c r="A18" s="282"/>
      <c r="C18" s="45">
        <f t="shared" si="1"/>
        <v>0</v>
      </c>
      <c r="D18" s="60">
        <v>5.2299999999999999E-2</v>
      </c>
      <c r="E18" s="4">
        <f t="shared" si="2"/>
        <v>0</v>
      </c>
      <c r="F18" s="4">
        <f t="shared" si="3"/>
        <v>0</v>
      </c>
    </row>
    <row r="19" spans="1:7" x14ac:dyDescent="0.25">
      <c r="A19" s="282"/>
      <c r="C19" s="45">
        <f t="shared" si="1"/>
        <v>0</v>
      </c>
      <c r="D19" s="60">
        <v>2.2200000000000001E-2</v>
      </c>
      <c r="E19" s="4">
        <f t="shared" si="2"/>
        <v>0</v>
      </c>
      <c r="F19" s="4">
        <f t="shared" si="3"/>
        <v>0</v>
      </c>
    </row>
    <row r="20" spans="1:7" x14ac:dyDescent="0.25">
      <c r="A20" s="282"/>
      <c r="C20" s="45">
        <f t="shared" si="1"/>
        <v>0</v>
      </c>
      <c r="D20" s="60">
        <v>3.2000000000000001E-2</v>
      </c>
      <c r="E20" s="4">
        <f t="shared" si="2"/>
        <v>0</v>
      </c>
      <c r="F20" s="4">
        <f t="shared" si="3"/>
        <v>0</v>
      </c>
    </row>
    <row r="21" spans="1:7" x14ac:dyDescent="0.25">
      <c r="B21" s="67" t="s">
        <v>205</v>
      </c>
      <c r="C21" s="68">
        <f>SUM(C15:C20)</f>
        <v>3</v>
      </c>
      <c r="D21" s="67"/>
      <c r="E21" s="69">
        <f>SUM(E15:E20)</f>
        <v>30910.174999999999</v>
      </c>
      <c r="F21" s="69">
        <f>SUM(F15:F20)</f>
        <v>30910.174999999999</v>
      </c>
      <c r="G21" s="26"/>
    </row>
    <row r="22" spans="1:7" ht="16.5" thickBot="1" x14ac:dyDescent="0.3">
      <c r="B22" s="65"/>
      <c r="C22" s="65"/>
      <c r="D22" s="65"/>
      <c r="E22" s="65"/>
      <c r="F22" s="65"/>
    </row>
    <row r="23" spans="1:7" ht="48.95" customHeight="1" thickBot="1" x14ac:dyDescent="0.3">
      <c r="B23" s="280" t="s">
        <v>210</v>
      </c>
      <c r="C23" s="281"/>
      <c r="D23" s="277">
        <f>(F21/E11)-1</f>
        <v>3.5516750418760346E-2</v>
      </c>
      <c r="E23" s="278"/>
    </row>
    <row r="24" spans="1:7" ht="18.75" x14ac:dyDescent="0.3">
      <c r="B24" s="63"/>
      <c r="C24" s="63"/>
      <c r="D24" s="64"/>
      <c r="E24" s="64"/>
      <c r="F24" s="65"/>
    </row>
    <row r="25" spans="1:7" x14ac:dyDescent="0.25">
      <c r="A25" s="274" t="s">
        <v>211</v>
      </c>
      <c r="B25" s="56" t="s">
        <v>212</v>
      </c>
      <c r="C25" s="56"/>
      <c r="D25" s="56"/>
      <c r="E25" s="56"/>
      <c r="F25" s="55"/>
    </row>
    <row r="26" spans="1:7" x14ac:dyDescent="0.25">
      <c r="A26" s="274"/>
      <c r="B26" s="21" t="s">
        <v>194</v>
      </c>
      <c r="C26" s="22" t="s">
        <v>195</v>
      </c>
      <c r="D26" t="s">
        <v>196</v>
      </c>
      <c r="E26" t="s">
        <v>189</v>
      </c>
    </row>
    <row r="27" spans="1:7" x14ac:dyDescent="0.25">
      <c r="A27" s="274"/>
      <c r="B27" t="s">
        <v>213</v>
      </c>
      <c r="C27" s="45">
        <f t="shared" ref="C27:C32" si="4">C5</f>
        <v>1</v>
      </c>
      <c r="D27" s="4">
        <v>9200</v>
      </c>
      <c r="E27" s="4">
        <f t="shared" ref="E27:E32" si="5">C27*D27</f>
        <v>9200</v>
      </c>
    </row>
    <row r="28" spans="1:7" x14ac:dyDescent="0.25">
      <c r="A28" s="274"/>
      <c r="B28" t="s">
        <v>209</v>
      </c>
      <c r="C28" s="45">
        <f t="shared" si="4"/>
        <v>1</v>
      </c>
      <c r="D28" s="4">
        <v>12500</v>
      </c>
      <c r="E28" s="4">
        <f t="shared" si="5"/>
        <v>12500</v>
      </c>
    </row>
    <row r="29" spans="1:7" x14ac:dyDescent="0.25">
      <c r="A29" s="274"/>
      <c r="C29" s="45">
        <f t="shared" si="4"/>
        <v>1</v>
      </c>
      <c r="D29" s="4"/>
      <c r="E29" s="4">
        <f t="shared" si="5"/>
        <v>0</v>
      </c>
    </row>
    <row r="30" spans="1:7" x14ac:dyDescent="0.25">
      <c r="A30" s="274"/>
      <c r="C30" s="45">
        <f t="shared" si="4"/>
        <v>0</v>
      </c>
      <c r="D30" s="4"/>
      <c r="E30" s="4">
        <f t="shared" si="5"/>
        <v>0</v>
      </c>
    </row>
    <row r="31" spans="1:7" x14ac:dyDescent="0.25">
      <c r="A31" s="274"/>
      <c r="C31" s="45">
        <f t="shared" si="4"/>
        <v>0</v>
      </c>
      <c r="D31" s="52"/>
      <c r="E31" s="4">
        <f t="shared" si="5"/>
        <v>0</v>
      </c>
    </row>
    <row r="32" spans="1:7" x14ac:dyDescent="0.25">
      <c r="A32" s="274"/>
      <c r="C32" s="45">
        <f t="shared" si="4"/>
        <v>0</v>
      </c>
      <c r="D32" s="4"/>
      <c r="E32" s="4">
        <f t="shared" si="5"/>
        <v>0</v>
      </c>
    </row>
    <row r="33" spans="2:6" x14ac:dyDescent="0.25">
      <c r="B33" s="67" t="s">
        <v>205</v>
      </c>
      <c r="C33" s="68">
        <f>SUM(C27:C32)</f>
        <v>3</v>
      </c>
      <c r="D33" s="69">
        <f>SUM(D27:D32)</f>
        <v>21700</v>
      </c>
      <c r="E33" s="69">
        <f>SUM(E27:E32)</f>
        <v>21700</v>
      </c>
    </row>
    <row r="34" spans="2:6" ht="16.5" thickBot="1" x14ac:dyDescent="0.3">
      <c r="B34" s="65"/>
      <c r="C34" s="65"/>
      <c r="D34" s="65"/>
      <c r="E34" s="65"/>
      <c r="F34" s="65"/>
    </row>
    <row r="35" spans="2:6" ht="48.95" customHeight="1" thickBot="1" x14ac:dyDescent="0.35">
      <c r="B35" s="275" t="s">
        <v>214</v>
      </c>
      <c r="C35" s="276"/>
      <c r="D35" s="277">
        <f>(E33/E11)-1</f>
        <v>-0.27303182579564489</v>
      </c>
      <c r="E35" s="278"/>
    </row>
  </sheetData>
  <mergeCells count="8">
    <mergeCell ref="B1:F2"/>
    <mergeCell ref="A25:A32"/>
    <mergeCell ref="B35:C35"/>
    <mergeCell ref="D35:E35"/>
    <mergeCell ref="A3:A10"/>
    <mergeCell ref="B23:C23"/>
    <mergeCell ref="D23:E23"/>
    <mergeCell ref="A14:A20"/>
  </mergeCells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9" tint="-0.249977111117893"/>
  </sheetPr>
  <dimension ref="A1:C10"/>
  <sheetViews>
    <sheetView showGridLines="0" showRowColHeaders="0" workbookViewId="0">
      <selection activeCell="B8" sqref="B8"/>
    </sheetView>
  </sheetViews>
  <sheetFormatPr defaultColWidth="11" defaultRowHeight="15.75" x14ac:dyDescent="0.25"/>
  <cols>
    <col min="1" max="1" width="35.125" bestFit="1" customWidth="1"/>
    <col min="2" max="2" width="8.375" customWidth="1"/>
  </cols>
  <sheetData>
    <row r="1" spans="1:3" x14ac:dyDescent="0.25">
      <c r="A1" s="254" t="s">
        <v>215</v>
      </c>
      <c r="B1" s="254"/>
      <c r="C1" s="254"/>
    </row>
    <row r="2" spans="1:3" x14ac:dyDescent="0.25">
      <c r="B2" s="232" t="s">
        <v>66</v>
      </c>
      <c r="C2" s="232" t="s">
        <v>216</v>
      </c>
    </row>
    <row r="3" spans="1:3" x14ac:dyDescent="0.25">
      <c r="A3" s="37" t="s">
        <v>67</v>
      </c>
      <c r="B3" s="39">
        <v>6.4999999999999997E-3</v>
      </c>
      <c r="C3" s="39">
        <v>1.6500000000000001E-2</v>
      </c>
    </row>
    <row r="4" spans="1:3" x14ac:dyDescent="0.25">
      <c r="A4" s="232" t="s">
        <v>68</v>
      </c>
      <c r="B4" s="40">
        <v>0.03</v>
      </c>
      <c r="C4" s="40">
        <v>7.5999999999999998E-2</v>
      </c>
    </row>
    <row r="5" spans="1:3" x14ac:dyDescent="0.25">
      <c r="A5" s="37" t="s">
        <v>69</v>
      </c>
      <c r="B5" s="155">
        <f>SUM(B3:B4)</f>
        <v>3.6499999999999998E-2</v>
      </c>
      <c r="C5" s="41">
        <f>SUM(C3:C4)</f>
        <v>9.2499999999999999E-2</v>
      </c>
    </row>
    <row r="7" spans="1:3" x14ac:dyDescent="0.25">
      <c r="A7" s="254" t="s">
        <v>217</v>
      </c>
      <c r="B7" s="254"/>
    </row>
    <row r="8" spans="1:3" x14ac:dyDescent="0.25">
      <c r="A8" t="s">
        <v>218</v>
      </c>
      <c r="B8" s="42">
        <v>0.15</v>
      </c>
    </row>
    <row r="9" spans="1:3" x14ac:dyDescent="0.25">
      <c r="A9" s="38" t="s">
        <v>219</v>
      </c>
      <c r="B9" s="43">
        <v>0.09</v>
      </c>
    </row>
    <row r="10" spans="1:3" x14ac:dyDescent="0.25">
      <c r="A10" t="s">
        <v>220</v>
      </c>
      <c r="B10" s="44">
        <v>1.2E-2</v>
      </c>
    </row>
  </sheetData>
  <mergeCells count="2">
    <mergeCell ref="A1:C1"/>
    <mergeCell ref="A7:B7"/>
  </mergeCells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7" tint="0.39997558519241921"/>
  </sheetPr>
  <dimension ref="A1:I14"/>
  <sheetViews>
    <sheetView showGridLines="0" workbookViewId="0">
      <selection activeCell="G20" sqref="G20"/>
    </sheetView>
  </sheetViews>
  <sheetFormatPr defaultColWidth="11" defaultRowHeight="15.75" x14ac:dyDescent="0.25"/>
  <cols>
    <col min="1" max="1" width="14.875" bestFit="1" customWidth="1"/>
    <col min="2" max="2" width="13.5" bestFit="1" customWidth="1"/>
    <col min="3" max="3" width="12.5" bestFit="1" customWidth="1"/>
    <col min="4" max="5" width="14.375" bestFit="1" customWidth="1"/>
    <col min="6" max="7" width="12" bestFit="1" customWidth="1"/>
    <col min="9" max="9" width="22.5" bestFit="1" customWidth="1"/>
  </cols>
  <sheetData>
    <row r="1" spans="1:9" ht="15" customHeight="1" x14ac:dyDescent="0.25">
      <c r="A1" s="283" t="s">
        <v>221</v>
      </c>
      <c r="B1" s="283"/>
      <c r="C1" s="283"/>
      <c r="D1" s="283"/>
      <c r="E1" s="283"/>
    </row>
    <row r="2" spans="1:9" ht="15" customHeight="1" x14ac:dyDescent="0.25">
      <c r="A2" s="283"/>
      <c r="B2" s="283"/>
      <c r="C2" s="283"/>
      <c r="D2" s="283"/>
      <c r="E2" s="283"/>
    </row>
    <row r="3" spans="1:9" x14ac:dyDescent="0.25">
      <c r="A3" s="62" t="s">
        <v>222</v>
      </c>
      <c r="B3" s="54" t="s">
        <v>223</v>
      </c>
      <c r="C3" s="54" t="s">
        <v>36</v>
      </c>
      <c r="D3" s="54" t="s">
        <v>224</v>
      </c>
      <c r="E3" s="54" t="s">
        <v>225</v>
      </c>
    </row>
    <row r="4" spans="1:9" ht="16.5" thickBot="1" x14ac:dyDescent="0.3">
      <c r="A4" t="s">
        <v>226</v>
      </c>
      <c r="B4" s="53"/>
      <c r="C4">
        <v>1</v>
      </c>
      <c r="D4">
        <v>1</v>
      </c>
      <c r="E4" s="84">
        <f>B4*D4</f>
        <v>0</v>
      </c>
    </row>
    <row r="5" spans="1:9" x14ac:dyDescent="0.25">
      <c r="B5" s="53"/>
      <c r="C5">
        <v>2</v>
      </c>
      <c r="D5">
        <v>1</v>
      </c>
      <c r="E5" s="84">
        <f>E4*(1+$I$6)</f>
        <v>0</v>
      </c>
      <c r="I5" s="183" t="s">
        <v>227</v>
      </c>
    </row>
    <row r="6" spans="1:9" ht="16.5" thickBot="1" x14ac:dyDescent="0.3">
      <c r="B6" s="53"/>
      <c r="C6">
        <v>3</v>
      </c>
      <c r="D6">
        <v>1</v>
      </c>
      <c r="E6" s="84">
        <f>E5*(1+$I$6)</f>
        <v>0</v>
      </c>
      <c r="I6" s="184">
        <v>9.5000000000000001E-2</v>
      </c>
    </row>
    <row r="7" spans="1:9" x14ac:dyDescent="0.25">
      <c r="B7" s="53"/>
      <c r="D7" s="53"/>
      <c r="E7" s="182"/>
    </row>
    <row r="9" spans="1:9" ht="15" customHeight="1" x14ac:dyDescent="0.25">
      <c r="A9" s="283" t="s">
        <v>228</v>
      </c>
      <c r="B9" s="283"/>
      <c r="C9" s="283"/>
      <c r="D9" s="283"/>
      <c r="E9" s="283"/>
      <c r="F9" s="283"/>
      <c r="G9" s="283"/>
    </row>
    <row r="10" spans="1:9" ht="15" customHeight="1" x14ac:dyDescent="0.25">
      <c r="A10" s="283"/>
      <c r="B10" s="283"/>
      <c r="C10" s="283"/>
      <c r="D10" s="283"/>
      <c r="E10" s="283"/>
      <c r="F10" s="283"/>
      <c r="G10" s="283"/>
    </row>
    <row r="11" spans="1:9" x14ac:dyDescent="0.25">
      <c r="A11" s="62" t="s">
        <v>229</v>
      </c>
      <c r="B11" s="62" t="s">
        <v>230</v>
      </c>
      <c r="C11" s="62" t="s">
        <v>36</v>
      </c>
      <c r="D11" s="62" t="s">
        <v>231</v>
      </c>
      <c r="E11" s="62" t="s">
        <v>232</v>
      </c>
      <c r="F11" s="62" t="s">
        <v>233</v>
      </c>
      <c r="G11" s="62" t="s">
        <v>234</v>
      </c>
    </row>
    <row r="12" spans="1:9" x14ac:dyDescent="0.25">
      <c r="A12" s="166" t="s">
        <v>235</v>
      </c>
      <c r="B12" t="str">
        <f>Dados!A29</f>
        <v>express</v>
      </c>
      <c r="C12">
        <v>1</v>
      </c>
      <c r="D12">
        <v>1</v>
      </c>
      <c r="E12" s="84"/>
      <c r="F12">
        <v>6</v>
      </c>
      <c r="G12" s="84">
        <f>E12/F12</f>
        <v>0</v>
      </c>
    </row>
    <row r="13" spans="1:9" x14ac:dyDescent="0.25">
      <c r="C13">
        <v>2</v>
      </c>
      <c r="D13">
        <v>1</v>
      </c>
      <c r="E13" s="154">
        <f>E12*($I$6+1)</f>
        <v>0</v>
      </c>
      <c r="F13">
        <v>6</v>
      </c>
      <c r="G13" s="154">
        <f>E13/F13</f>
        <v>0</v>
      </c>
    </row>
    <row r="14" spans="1:9" x14ac:dyDescent="0.25">
      <c r="C14">
        <v>3</v>
      </c>
      <c r="D14">
        <v>1</v>
      </c>
      <c r="E14" s="154">
        <f>E13*($I$6+1)</f>
        <v>0</v>
      </c>
      <c r="F14">
        <v>6</v>
      </c>
      <c r="G14" s="154">
        <f>E14/F14</f>
        <v>0</v>
      </c>
    </row>
  </sheetData>
  <mergeCells count="2">
    <mergeCell ref="A9:G10"/>
    <mergeCell ref="A1:E2"/>
  </mergeCells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theme="2" tint="-0.499984740745262"/>
  </sheetPr>
  <dimension ref="A1:J36"/>
  <sheetViews>
    <sheetView showGridLines="0" workbookViewId="0">
      <selection activeCell="I37" sqref="I37"/>
    </sheetView>
  </sheetViews>
  <sheetFormatPr defaultColWidth="11" defaultRowHeight="15.75" x14ac:dyDescent="0.25"/>
  <cols>
    <col min="1" max="1" width="19" customWidth="1"/>
    <col min="2" max="2" width="7.125" customWidth="1"/>
    <col min="4" max="4" width="12.375" customWidth="1"/>
    <col min="6" max="6" width="15.125" bestFit="1" customWidth="1"/>
    <col min="8" max="8" width="15.125" bestFit="1" customWidth="1"/>
  </cols>
  <sheetData>
    <row r="1" spans="1:4" x14ac:dyDescent="0.25">
      <c r="A1" s="293" t="s">
        <v>236</v>
      </c>
      <c r="B1" s="293"/>
      <c r="C1" s="293"/>
      <c r="D1" s="293"/>
    </row>
    <row r="2" spans="1:4" ht="16.5" thickBot="1" x14ac:dyDescent="0.3">
      <c r="A2" s="293"/>
      <c r="B2" s="293"/>
      <c r="C2" s="293"/>
      <c r="D2" s="293"/>
    </row>
    <row r="3" spans="1:4" ht="16.5" hidden="1" thickBot="1" x14ac:dyDescent="0.3">
      <c r="A3" s="88" t="s">
        <v>73</v>
      </c>
      <c r="B3" s="88">
        <v>4000</v>
      </c>
    </row>
    <row r="4" spans="1:4" ht="15" hidden="1" customHeight="1" x14ac:dyDescent="0.25">
      <c r="C4" s="83" t="s">
        <v>237</v>
      </c>
      <c r="D4" s="291" t="s">
        <v>238</v>
      </c>
    </row>
    <row r="5" spans="1:4" ht="59.1" hidden="1" customHeight="1" x14ac:dyDescent="0.25">
      <c r="A5" s="48" t="s">
        <v>230</v>
      </c>
      <c r="B5" s="50" t="s">
        <v>224</v>
      </c>
      <c r="C5" s="99" t="s">
        <v>239</v>
      </c>
      <c r="D5" s="291"/>
    </row>
    <row r="6" spans="1:4" ht="16.5" hidden="1" thickBot="1" x14ac:dyDescent="0.3">
      <c r="A6" s="49" t="s">
        <v>149</v>
      </c>
      <c r="B6" s="11">
        <v>1</v>
      </c>
      <c r="C6" s="45">
        <v>0.13619999999999999</v>
      </c>
      <c r="D6" s="45">
        <f>C6*$B$3</f>
        <v>544.79999999999995</v>
      </c>
    </row>
    <row r="7" spans="1:4" ht="16.5" hidden="1" thickBot="1" x14ac:dyDescent="0.3">
      <c r="A7" s="49" t="s">
        <v>240</v>
      </c>
      <c r="B7" s="11">
        <v>1</v>
      </c>
      <c r="C7" s="45">
        <v>0.13619999999999999</v>
      </c>
      <c r="D7" s="45">
        <f>C7*$B$3</f>
        <v>544.79999999999995</v>
      </c>
    </row>
    <row r="8" spans="1:4" ht="16.5" hidden="1" thickBot="1" x14ac:dyDescent="0.3">
      <c r="A8" t="s">
        <v>69</v>
      </c>
      <c r="B8" s="11">
        <f>SUM(B6:B7)</f>
        <v>2</v>
      </c>
      <c r="C8" s="45"/>
      <c r="D8" s="45"/>
    </row>
    <row r="9" spans="1:4" ht="16.5" hidden="1" thickBot="1" x14ac:dyDescent="0.3"/>
    <row r="10" spans="1:4" ht="16.5" hidden="1" thickBot="1" x14ac:dyDescent="0.3"/>
    <row r="11" spans="1:4" ht="16.5" hidden="1" thickBot="1" x14ac:dyDescent="0.3">
      <c r="A11" t="s">
        <v>241</v>
      </c>
    </row>
    <row r="12" spans="1:4" ht="16.5" hidden="1" thickBot="1" x14ac:dyDescent="0.3">
      <c r="A12" t="s">
        <v>242</v>
      </c>
    </row>
    <row r="13" spans="1:4" ht="16.5" hidden="1" thickBot="1" x14ac:dyDescent="0.3"/>
    <row r="14" spans="1:4" ht="16.5" hidden="1" thickBot="1" x14ac:dyDescent="0.3"/>
    <row r="15" spans="1:4" ht="16.5" hidden="1" thickBot="1" x14ac:dyDescent="0.3">
      <c r="A15" s="51" t="s">
        <v>73</v>
      </c>
      <c r="B15" s="51">
        <v>6000</v>
      </c>
    </row>
    <row r="16" spans="1:4" ht="15" hidden="1" customHeight="1" x14ac:dyDescent="0.25">
      <c r="C16" s="83" t="s">
        <v>237</v>
      </c>
      <c r="D16" s="291" t="s">
        <v>238</v>
      </c>
    </row>
    <row r="17" spans="1:10" ht="56.1" hidden="1" customHeight="1" x14ac:dyDescent="0.25">
      <c r="A17" s="48" t="s">
        <v>230</v>
      </c>
      <c r="B17" s="50" t="s">
        <v>224</v>
      </c>
      <c r="C17" s="99" t="s">
        <v>239</v>
      </c>
      <c r="D17" s="291"/>
    </row>
    <row r="18" spans="1:10" ht="16.5" hidden="1" thickBot="1" x14ac:dyDescent="0.3">
      <c r="A18" s="49" t="s">
        <v>149</v>
      </c>
      <c r="B18" s="11">
        <v>1</v>
      </c>
      <c r="C18" s="45">
        <v>0.13619999999999999</v>
      </c>
      <c r="D18" s="45">
        <f>C18*$B$15</f>
        <v>817.19999999999993</v>
      </c>
    </row>
    <row r="19" spans="1:10" ht="16.5" hidden="1" thickBot="1" x14ac:dyDescent="0.3">
      <c r="A19" s="49" t="s">
        <v>240</v>
      </c>
      <c r="B19" s="11">
        <v>1</v>
      </c>
      <c r="C19" s="45">
        <v>0.13619999999999999</v>
      </c>
      <c r="D19" s="45">
        <f>C19*$B$15</f>
        <v>817.19999999999993</v>
      </c>
    </row>
    <row r="20" spans="1:10" ht="16.5" hidden="1" thickBot="1" x14ac:dyDescent="0.3">
      <c r="A20" t="s">
        <v>69</v>
      </c>
      <c r="B20" s="11">
        <f>SUM(B18:B19)</f>
        <v>2</v>
      </c>
      <c r="C20" s="45"/>
      <c r="D20" s="45"/>
    </row>
    <row r="21" spans="1:10" ht="16.5" hidden="1" thickBot="1" x14ac:dyDescent="0.3"/>
    <row r="22" spans="1:10" ht="16.5" hidden="1" thickBot="1" x14ac:dyDescent="0.3"/>
    <row r="23" spans="1:10" ht="16.5" hidden="1" thickBot="1" x14ac:dyDescent="0.3"/>
    <row r="24" spans="1:10" ht="16.5" hidden="1" thickBot="1" x14ac:dyDescent="0.3">
      <c r="A24" s="89" t="s">
        <v>73</v>
      </c>
      <c r="B24" s="89">
        <v>8000</v>
      </c>
    </row>
    <row r="25" spans="1:10" ht="15" hidden="1" customHeight="1" x14ac:dyDescent="0.25">
      <c r="C25" s="83" t="s">
        <v>237</v>
      </c>
      <c r="D25" s="291" t="s">
        <v>238</v>
      </c>
    </row>
    <row r="26" spans="1:10" ht="56.1" hidden="1" customHeight="1" x14ac:dyDescent="0.25">
      <c r="A26" s="48" t="s">
        <v>230</v>
      </c>
      <c r="B26" s="50" t="s">
        <v>224</v>
      </c>
      <c r="C26" s="99" t="s">
        <v>239</v>
      </c>
      <c r="D26" s="291"/>
    </row>
    <row r="27" spans="1:10" ht="16.5" hidden="1" thickBot="1" x14ac:dyDescent="0.3">
      <c r="A27" s="49" t="s">
        <v>149</v>
      </c>
      <c r="B27" s="11">
        <v>1</v>
      </c>
      <c r="C27" s="45">
        <v>0.13619999999999999</v>
      </c>
      <c r="D27" s="45">
        <f>C27*$B$24</f>
        <v>1089.5999999999999</v>
      </c>
    </row>
    <row r="28" spans="1:10" ht="16.5" hidden="1" thickBot="1" x14ac:dyDescent="0.3">
      <c r="A28" s="49" t="s">
        <v>240</v>
      </c>
      <c r="B28" s="11">
        <v>1</v>
      </c>
      <c r="C28" s="45">
        <v>0.13619999999999999</v>
      </c>
      <c r="D28" s="45">
        <f>C28*$B$24</f>
        <v>1089.5999999999999</v>
      </c>
    </row>
    <row r="29" spans="1:10" ht="16.5" hidden="1" thickBot="1" x14ac:dyDescent="0.3">
      <c r="A29" t="s">
        <v>69</v>
      </c>
      <c r="B29" s="11">
        <f>SUM(B27:B28)</f>
        <v>2</v>
      </c>
      <c r="C29" s="45"/>
      <c r="D29" s="45"/>
    </row>
    <row r="30" spans="1:10" ht="16.5" hidden="1" thickBot="1" x14ac:dyDescent="0.3"/>
    <row r="31" spans="1:10" ht="16.5" hidden="1" thickBot="1" x14ac:dyDescent="0.3"/>
    <row r="32" spans="1:10" ht="16.5" thickBot="1" x14ac:dyDescent="0.3">
      <c r="A32" s="294" t="s">
        <v>73</v>
      </c>
      <c r="B32" s="296">
        <f>Dados!C14</f>
        <v>0</v>
      </c>
      <c r="C32" s="260" t="s">
        <v>243</v>
      </c>
      <c r="D32" s="257"/>
      <c r="E32" s="260" t="s">
        <v>244</v>
      </c>
      <c r="F32" s="257"/>
      <c r="G32" s="260" t="s">
        <v>245</v>
      </c>
      <c r="H32" s="286"/>
      <c r="I32" s="260" t="s">
        <v>246</v>
      </c>
      <c r="J32" s="286"/>
    </row>
    <row r="33" spans="1:10" ht="16.5" thickBot="1" x14ac:dyDescent="0.3">
      <c r="A33" s="295"/>
      <c r="B33" s="297"/>
      <c r="C33" s="287"/>
      <c r="D33" s="292"/>
      <c r="E33" s="287"/>
      <c r="F33" s="292"/>
      <c r="G33" s="287"/>
      <c r="H33" s="288"/>
      <c r="I33" s="287"/>
      <c r="J33" s="288"/>
    </row>
    <row r="34" spans="1:10" ht="15" customHeight="1" x14ac:dyDescent="0.25">
      <c r="A34" s="298" t="s">
        <v>230</v>
      </c>
      <c r="B34" s="299"/>
      <c r="C34" s="289" t="s">
        <v>237</v>
      </c>
      <c r="D34" s="291" t="s">
        <v>247</v>
      </c>
      <c r="E34" s="289" t="s">
        <v>237</v>
      </c>
      <c r="F34" s="291" t="s">
        <v>247</v>
      </c>
      <c r="G34" s="289" t="s">
        <v>237</v>
      </c>
      <c r="H34" s="290" t="s">
        <v>247</v>
      </c>
      <c r="I34" s="289" t="s">
        <v>237</v>
      </c>
      <c r="J34" s="290" t="s">
        <v>247</v>
      </c>
    </row>
    <row r="35" spans="1:10" x14ac:dyDescent="0.25">
      <c r="A35" s="300"/>
      <c r="B35" s="301"/>
      <c r="C35" s="289"/>
      <c r="D35" s="291"/>
      <c r="E35" s="289"/>
      <c r="F35" s="291"/>
      <c r="G35" s="289"/>
      <c r="H35" s="290"/>
      <c r="I35" s="289"/>
      <c r="J35" s="290"/>
    </row>
    <row r="36" spans="1:10" ht="16.5" thickBot="1" x14ac:dyDescent="0.3">
      <c r="A36" s="284" t="str">
        <f>Dados!A29</f>
        <v>express</v>
      </c>
      <c r="B36" s="285"/>
      <c r="C36" s="193">
        <v>0</v>
      </c>
      <c r="D36" s="191">
        <f>C36*B32</f>
        <v>0</v>
      </c>
      <c r="E36" s="193">
        <v>0</v>
      </c>
      <c r="F36" s="191">
        <f>E36*B32</f>
        <v>0</v>
      </c>
      <c r="G36" s="193">
        <v>0</v>
      </c>
      <c r="H36" s="192">
        <f>G36*B32</f>
        <v>0</v>
      </c>
      <c r="I36" s="193">
        <v>0</v>
      </c>
      <c r="J36" s="192">
        <f>I36*B32</f>
        <v>0</v>
      </c>
    </row>
  </sheetData>
  <mergeCells count="24">
    <mergeCell ref="I32:J32"/>
    <mergeCell ref="I33:J33"/>
    <mergeCell ref="I34:I35"/>
    <mergeCell ref="J34:J35"/>
    <mergeCell ref="D25:D26"/>
    <mergeCell ref="D34:D35"/>
    <mergeCell ref="A1:D2"/>
    <mergeCell ref="D4:D5"/>
    <mergeCell ref="D16:D17"/>
    <mergeCell ref="C34:C35"/>
    <mergeCell ref="C32:D32"/>
    <mergeCell ref="A32:A33"/>
    <mergeCell ref="B32:B33"/>
    <mergeCell ref="A34:B35"/>
    <mergeCell ref="A36:B36"/>
    <mergeCell ref="G32:H32"/>
    <mergeCell ref="G33:H33"/>
    <mergeCell ref="G34:G35"/>
    <mergeCell ref="H34:H35"/>
    <mergeCell ref="E32:F32"/>
    <mergeCell ref="E34:E35"/>
    <mergeCell ref="F34:F35"/>
    <mergeCell ref="C33:D33"/>
    <mergeCell ref="E33:F33"/>
  </mergeCells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FFFF00"/>
  </sheetPr>
  <dimension ref="A1:AI9"/>
  <sheetViews>
    <sheetView showGridLines="0" topLeftCell="O1" workbookViewId="0">
      <selection activeCell="AG7" sqref="AG7"/>
    </sheetView>
  </sheetViews>
  <sheetFormatPr defaultColWidth="11" defaultRowHeight="15.75" x14ac:dyDescent="0.25"/>
  <cols>
    <col min="2" max="2" width="15.125" bestFit="1" customWidth="1"/>
    <col min="6" max="6" width="21" bestFit="1" customWidth="1"/>
    <col min="7" max="7" width="9.625" bestFit="1" customWidth="1"/>
    <col min="11" max="11" width="13.875" bestFit="1" customWidth="1"/>
  </cols>
  <sheetData>
    <row r="1" spans="1:35" ht="41.1" customHeight="1" x14ac:dyDescent="0.25">
      <c r="A1" s="305" t="s">
        <v>248</v>
      </c>
      <c r="B1" s="305"/>
      <c r="C1" s="305"/>
      <c r="D1" s="305"/>
      <c r="E1" s="305"/>
      <c r="F1" s="305"/>
      <c r="G1" s="305"/>
      <c r="H1" s="305"/>
      <c r="I1" s="305"/>
      <c r="J1" s="305"/>
      <c r="K1" s="305"/>
    </row>
    <row r="2" spans="1:35" x14ac:dyDescent="0.25">
      <c r="A2" s="254" t="s">
        <v>249</v>
      </c>
      <c r="B2" s="254"/>
      <c r="C2" s="254"/>
      <c r="D2" s="254"/>
      <c r="E2" s="254"/>
      <c r="F2" s="254"/>
      <c r="G2" s="254"/>
      <c r="H2" s="254"/>
      <c r="I2" s="254"/>
      <c r="J2" s="254"/>
      <c r="K2" s="254"/>
    </row>
    <row r="3" spans="1:35" x14ac:dyDescent="0.25">
      <c r="A3" s="254" t="s">
        <v>250</v>
      </c>
      <c r="B3" s="254"/>
      <c r="C3" s="254"/>
      <c r="D3" s="254"/>
      <c r="E3" s="254"/>
      <c r="F3" s="254"/>
      <c r="G3" s="254"/>
      <c r="H3" s="254"/>
      <c r="I3" s="254"/>
      <c r="J3" s="254"/>
      <c r="K3" s="254"/>
    </row>
    <row r="4" spans="1:35" x14ac:dyDescent="0.25">
      <c r="A4" s="254">
        <v>1000</v>
      </c>
      <c r="B4" s="254"/>
      <c r="C4" s="254"/>
      <c r="D4" s="254"/>
      <c r="E4" s="254"/>
      <c r="F4" s="254"/>
      <c r="G4" s="254"/>
      <c r="H4" s="254"/>
      <c r="I4" s="254"/>
      <c r="J4" s="254"/>
      <c r="K4" s="254"/>
    </row>
    <row r="5" spans="1:35" x14ac:dyDescent="0.25">
      <c r="A5" s="306" t="s">
        <v>251</v>
      </c>
      <c r="B5" s="306"/>
      <c r="C5" s="306"/>
      <c r="D5" s="306"/>
      <c r="E5" s="306"/>
      <c r="F5" s="306"/>
      <c r="G5" s="306"/>
      <c r="H5" s="306"/>
      <c r="I5" s="306"/>
      <c r="J5" s="306"/>
      <c r="K5" s="306"/>
    </row>
    <row r="6" spans="1:35" ht="30" customHeight="1" x14ac:dyDescent="0.25">
      <c r="A6" s="47"/>
      <c r="B6" s="47"/>
      <c r="C6" s="302" t="s">
        <v>252</v>
      </c>
      <c r="D6" s="303"/>
      <c r="E6" s="304"/>
      <c r="F6" s="303" t="s">
        <v>253</v>
      </c>
      <c r="G6" s="303"/>
      <c r="H6" s="304"/>
      <c r="I6" s="302" t="s">
        <v>254</v>
      </c>
      <c r="J6" s="303"/>
      <c r="K6" s="304"/>
      <c r="L6" s="302" t="s">
        <v>255</v>
      </c>
      <c r="M6" s="303"/>
      <c r="N6" s="304"/>
      <c r="O6" s="302" t="s">
        <v>256</v>
      </c>
      <c r="P6" s="303"/>
      <c r="Q6" s="304"/>
      <c r="R6" s="302" t="s">
        <v>257</v>
      </c>
      <c r="S6" s="303"/>
      <c r="T6" s="304"/>
      <c r="U6" s="302" t="s">
        <v>258</v>
      </c>
      <c r="V6" s="303"/>
      <c r="W6" s="304"/>
      <c r="X6" s="302" t="s">
        <v>258</v>
      </c>
      <c r="Y6" s="303"/>
      <c r="Z6" s="304"/>
      <c r="AA6" s="302" t="s">
        <v>259</v>
      </c>
      <c r="AB6" s="303"/>
      <c r="AC6" s="304"/>
      <c r="AD6" s="302" t="s">
        <v>260</v>
      </c>
      <c r="AE6" s="303"/>
      <c r="AF6" s="304"/>
      <c r="AG6" s="302" t="s">
        <v>261</v>
      </c>
      <c r="AH6" s="303"/>
      <c r="AI6" s="304"/>
    </row>
    <row r="7" spans="1:35" x14ac:dyDescent="0.25">
      <c r="A7" s="21" t="s">
        <v>230</v>
      </c>
      <c r="B7" s="21" t="s">
        <v>262</v>
      </c>
      <c r="C7" s="22" t="s">
        <v>90</v>
      </c>
      <c r="D7" s="23" t="s">
        <v>263</v>
      </c>
      <c r="E7" s="23" t="s">
        <v>264</v>
      </c>
      <c r="F7" s="21" t="s">
        <v>90</v>
      </c>
      <c r="G7" s="21" t="s">
        <v>263</v>
      </c>
      <c r="H7" s="21" t="s">
        <v>264</v>
      </c>
      <c r="I7" s="22" t="s">
        <v>90</v>
      </c>
      <c r="J7" s="23" t="s">
        <v>263</v>
      </c>
      <c r="K7" s="23" t="s">
        <v>265</v>
      </c>
      <c r="L7" s="22" t="s">
        <v>90</v>
      </c>
      <c r="M7" s="23" t="s">
        <v>263</v>
      </c>
      <c r="N7" s="23" t="s">
        <v>265</v>
      </c>
      <c r="O7" s="22" t="s">
        <v>90</v>
      </c>
      <c r="P7" s="23" t="s">
        <v>263</v>
      </c>
      <c r="Q7" s="23" t="s">
        <v>265</v>
      </c>
      <c r="R7" s="22" t="s">
        <v>90</v>
      </c>
      <c r="S7" s="23" t="s">
        <v>263</v>
      </c>
      <c r="T7" s="23" t="s">
        <v>265</v>
      </c>
      <c r="U7" s="22" t="s">
        <v>90</v>
      </c>
      <c r="V7" s="23" t="s">
        <v>263</v>
      </c>
      <c r="W7" s="23" t="s">
        <v>265</v>
      </c>
      <c r="X7" s="22" t="s">
        <v>90</v>
      </c>
      <c r="Y7" s="23" t="s">
        <v>263</v>
      </c>
      <c r="Z7" s="23" t="s">
        <v>265</v>
      </c>
      <c r="AA7" s="22" t="s">
        <v>90</v>
      </c>
      <c r="AB7" s="23" t="s">
        <v>263</v>
      </c>
      <c r="AC7" s="23" t="s">
        <v>265</v>
      </c>
      <c r="AD7" s="22" t="s">
        <v>90</v>
      </c>
      <c r="AE7" s="23" t="s">
        <v>263</v>
      </c>
      <c r="AF7" s="23" t="s">
        <v>265</v>
      </c>
      <c r="AG7" s="22" t="s">
        <v>90</v>
      </c>
      <c r="AH7" s="23" t="s">
        <v>263</v>
      </c>
      <c r="AI7" s="23" t="s">
        <v>265</v>
      </c>
    </row>
    <row r="8" spans="1:35" x14ac:dyDescent="0.25">
      <c r="A8" t="str">
        <f>Dados!A29</f>
        <v>express</v>
      </c>
      <c r="B8" s="90">
        <f>Dados!C32</f>
        <v>257000</v>
      </c>
      <c r="C8" s="18">
        <f>((B8*0.015)*0.97)</f>
        <v>3739.35</v>
      </c>
      <c r="D8" s="19">
        <f>A4</f>
        <v>1000</v>
      </c>
      <c r="E8" s="19">
        <f>C8+D8</f>
        <v>4739.3500000000004</v>
      </c>
      <c r="F8" s="2">
        <f>(B8*0.015)*0.97</f>
        <v>3739.35</v>
      </c>
      <c r="G8" s="1">
        <f>A4</f>
        <v>1000</v>
      </c>
      <c r="H8" s="1">
        <f>F8+G8</f>
        <v>4739.3500000000004</v>
      </c>
      <c r="I8" s="18">
        <f>((B8*0.85)*0.015)*0.97</f>
        <v>3178.4474999999998</v>
      </c>
      <c r="J8" s="19">
        <f>A4</f>
        <v>1000</v>
      </c>
      <c r="K8" s="19">
        <f>I8+J8</f>
        <v>4178.4475000000002</v>
      </c>
      <c r="L8" s="18">
        <f>(((B8*0.85)*0.85)*0.015)*0.97</f>
        <v>2701.6803749999995</v>
      </c>
      <c r="M8" s="19">
        <f>A4</f>
        <v>1000</v>
      </c>
      <c r="N8" s="19">
        <f>L8+M8</f>
        <v>3701.6803749999995</v>
      </c>
      <c r="O8" s="18">
        <f>((((B8*0.85)*0.85)*0.85)*0.015)*0.97</f>
        <v>2296.4283187499996</v>
      </c>
      <c r="P8" s="19">
        <f>A4</f>
        <v>1000</v>
      </c>
      <c r="Q8" s="19">
        <f>O8+P8</f>
        <v>3296.4283187499996</v>
      </c>
      <c r="R8" s="18">
        <f>(((((B8*0.85)*0.85)*0.85)*0.85)*0.015)*0.97</f>
        <v>1951.9640709374996</v>
      </c>
      <c r="S8" s="19">
        <f>A4</f>
        <v>1000</v>
      </c>
      <c r="T8" s="19">
        <f>R8+S8</f>
        <v>2951.9640709374999</v>
      </c>
      <c r="U8" s="18">
        <f>((((((B8*0.85)*0.85)*0.85)*0.85)*0.85)*0.015)*0.97</f>
        <v>1659.1694602968746</v>
      </c>
      <c r="V8" s="19">
        <f>A4</f>
        <v>1000</v>
      </c>
      <c r="W8" s="19">
        <f>U8+V8</f>
        <v>2659.1694602968746</v>
      </c>
      <c r="X8" s="18">
        <f>(((((((B8*0.85)*0.85)*0.85)*0.85)*0.85)*0.85)*0.015)*0.97</f>
        <v>1410.2940412523435</v>
      </c>
      <c r="Y8" s="19">
        <f>A4</f>
        <v>1000</v>
      </c>
      <c r="Z8" s="19">
        <f>X8+Y8</f>
        <v>2410.2940412523435</v>
      </c>
      <c r="AA8" s="18">
        <f>X8*0.97</f>
        <v>1367.9852200147732</v>
      </c>
      <c r="AB8" s="19">
        <v>1000</v>
      </c>
      <c r="AC8" s="19">
        <f>AA8+AB8</f>
        <v>2367.9852200147734</v>
      </c>
      <c r="AD8" s="18">
        <f>AA8*0.97</f>
        <v>1326.9456634143301</v>
      </c>
      <c r="AE8" s="19">
        <v>1000</v>
      </c>
      <c r="AF8" s="19">
        <f>AD8+AE8</f>
        <v>2326.9456634143298</v>
      </c>
      <c r="AG8" s="18">
        <f>AD8*0.97</f>
        <v>1287.1372935119002</v>
      </c>
      <c r="AH8" s="19">
        <v>1000</v>
      </c>
      <c r="AI8" s="19">
        <f>AG8+AH8</f>
        <v>2287.1372935119002</v>
      </c>
    </row>
    <row r="9" spans="1:35" x14ac:dyDescent="0.25">
      <c r="B9" s="84"/>
    </row>
  </sheetData>
  <mergeCells count="16">
    <mergeCell ref="AA6:AC6"/>
    <mergeCell ref="AD6:AF6"/>
    <mergeCell ref="AG6:AI6"/>
    <mergeCell ref="A1:K1"/>
    <mergeCell ref="I6:K6"/>
    <mergeCell ref="C6:E6"/>
    <mergeCell ref="A3:K3"/>
    <mergeCell ref="A5:K5"/>
    <mergeCell ref="A2:K2"/>
    <mergeCell ref="F6:H6"/>
    <mergeCell ref="A4:K4"/>
    <mergeCell ref="X6:Z6"/>
    <mergeCell ref="R6:T6"/>
    <mergeCell ref="U6:W6"/>
    <mergeCell ref="O6:Q6"/>
    <mergeCell ref="L6:N6"/>
  </mergeCells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C8:K132"/>
  <sheetViews>
    <sheetView workbookViewId="0">
      <selection activeCell="E9" sqref="E9"/>
    </sheetView>
  </sheetViews>
  <sheetFormatPr defaultColWidth="11" defaultRowHeight="15.75" x14ac:dyDescent="0.25"/>
  <cols>
    <col min="7" max="7" width="21.125" bestFit="1" customWidth="1"/>
    <col min="8" max="8" width="18.375" customWidth="1"/>
    <col min="9" max="9" width="14.875" bestFit="1" customWidth="1"/>
    <col min="11" max="11" width="10.625" bestFit="1" customWidth="1"/>
  </cols>
  <sheetData>
    <row r="8" spans="4:9" x14ac:dyDescent="0.25">
      <c r="E8">
        <v>2.2540000000000001E-2</v>
      </c>
    </row>
    <row r="9" spans="4:9" x14ac:dyDescent="0.25">
      <c r="D9" t="s">
        <v>266</v>
      </c>
      <c r="E9">
        <f>E8*(1-4.3%)</f>
        <v>2.1570780000000001E-2</v>
      </c>
    </row>
    <row r="10" spans="4:9" x14ac:dyDescent="0.25">
      <c r="E10">
        <v>179700</v>
      </c>
      <c r="G10" s="255" t="s">
        <v>267</v>
      </c>
      <c r="H10" s="255"/>
      <c r="I10" s="255"/>
    </row>
    <row r="11" spans="4:9" x14ac:dyDescent="0.25">
      <c r="E11">
        <f>E9*E10</f>
        <v>3876.269166</v>
      </c>
      <c r="I11" t="s">
        <v>268</v>
      </c>
    </row>
    <row r="12" spans="4:9" x14ac:dyDescent="0.25">
      <c r="G12" t="s">
        <v>269</v>
      </c>
      <c r="H12">
        <v>30</v>
      </c>
      <c r="I12" s="182">
        <v>8.0000000000000002E-3</v>
      </c>
    </row>
    <row r="13" spans="4:9" x14ac:dyDescent="0.25">
      <c r="G13" t="s">
        <v>270</v>
      </c>
      <c r="H13">
        <v>1</v>
      </c>
      <c r="I13" s="216">
        <f>I12/30</f>
        <v>2.6666666666666668E-4</v>
      </c>
    </row>
    <row r="15" spans="4:9" x14ac:dyDescent="0.25">
      <c r="G15" t="s">
        <v>271</v>
      </c>
      <c r="H15">
        <v>10</v>
      </c>
      <c r="I15" s="195">
        <v>0</v>
      </c>
    </row>
    <row r="16" spans="4:9" x14ac:dyDescent="0.25">
      <c r="G16" t="s">
        <v>272</v>
      </c>
      <c r="H16">
        <v>90</v>
      </c>
    </row>
    <row r="17" spans="3:11" x14ac:dyDescent="0.25">
      <c r="H17">
        <v>30</v>
      </c>
      <c r="I17" s="182">
        <f>I13*20</f>
        <v>5.333333333333334E-3</v>
      </c>
    </row>
    <row r="18" spans="3:11" x14ac:dyDescent="0.25">
      <c r="H18">
        <v>60</v>
      </c>
      <c r="I18" s="182">
        <f>(I17)+I12</f>
        <v>1.3333333333333334E-2</v>
      </c>
    </row>
    <row r="19" spans="3:11" x14ac:dyDescent="0.25">
      <c r="H19">
        <v>90</v>
      </c>
      <c r="I19" s="182">
        <f>I18+0.8%</f>
        <v>2.1333333333333336E-2</v>
      </c>
    </row>
    <row r="20" spans="3:11" x14ac:dyDescent="0.25">
      <c r="G20" t="s">
        <v>273</v>
      </c>
      <c r="H20">
        <f>H16-H15</f>
        <v>80</v>
      </c>
    </row>
    <row r="25" spans="3:11" x14ac:dyDescent="0.25">
      <c r="C25" t="s">
        <v>274</v>
      </c>
      <c r="D25" t="s">
        <v>275</v>
      </c>
      <c r="E25" s="220">
        <v>1</v>
      </c>
      <c r="F25" s="4">
        <v>79700</v>
      </c>
    </row>
    <row r="26" spans="3:11" x14ac:dyDescent="0.25">
      <c r="C26" t="s">
        <v>276</v>
      </c>
      <c r="D26" t="s">
        <v>277</v>
      </c>
      <c r="E26" t="s">
        <v>278</v>
      </c>
      <c r="F26" t="s">
        <v>279</v>
      </c>
      <c r="G26" t="s">
        <v>280</v>
      </c>
      <c r="H26" t="s">
        <v>281</v>
      </c>
      <c r="I26" t="s">
        <v>282</v>
      </c>
      <c r="J26" t="s">
        <v>283</v>
      </c>
      <c r="K26" t="s">
        <v>284</v>
      </c>
    </row>
    <row r="27" spans="3:11" x14ac:dyDescent="0.25">
      <c r="C27">
        <v>0</v>
      </c>
      <c r="D27" t="s">
        <v>285</v>
      </c>
      <c r="E27" s="4">
        <v>179700</v>
      </c>
      <c r="F27">
        <v>0</v>
      </c>
      <c r="G27">
        <v>0</v>
      </c>
      <c r="H27">
        <v>0</v>
      </c>
      <c r="I27">
        <v>0</v>
      </c>
      <c r="J27" s="4">
        <v>179700</v>
      </c>
      <c r="K27">
        <v>0</v>
      </c>
    </row>
    <row r="28" spans="3:11" x14ac:dyDescent="0.25">
      <c r="C28">
        <v>0</v>
      </c>
      <c r="D28" t="s">
        <v>286</v>
      </c>
      <c r="E28" s="4">
        <v>179700</v>
      </c>
      <c r="F28">
        <v>0</v>
      </c>
      <c r="G28">
        <v>0</v>
      </c>
      <c r="H28">
        <v>0</v>
      </c>
      <c r="I28">
        <v>0</v>
      </c>
      <c r="J28" s="4">
        <v>179700</v>
      </c>
      <c r="K28">
        <v>0</v>
      </c>
    </row>
    <row r="29" spans="3:11" x14ac:dyDescent="0.25">
      <c r="C29">
        <v>0</v>
      </c>
      <c r="D29" t="s">
        <v>287</v>
      </c>
      <c r="E29" s="4">
        <v>179700</v>
      </c>
      <c r="F29">
        <v>0</v>
      </c>
      <c r="G29">
        <v>0</v>
      </c>
      <c r="H29">
        <v>0</v>
      </c>
      <c r="I29">
        <v>0</v>
      </c>
      <c r="J29" s="4">
        <v>179700</v>
      </c>
      <c r="K29">
        <v>0</v>
      </c>
    </row>
    <row r="30" spans="3:11" x14ac:dyDescent="0.25">
      <c r="C30">
        <v>1</v>
      </c>
      <c r="D30" t="s">
        <v>288</v>
      </c>
      <c r="E30" s="4">
        <v>179700</v>
      </c>
      <c r="F30">
        <v>0</v>
      </c>
      <c r="G30" s="4">
        <v>4802.3</v>
      </c>
      <c r="H30" s="4">
        <v>4802</v>
      </c>
      <c r="I30">
        <v>0</v>
      </c>
      <c r="J30" s="4">
        <v>179700</v>
      </c>
      <c r="K30" s="4">
        <v>179700</v>
      </c>
    </row>
    <row r="31" spans="3:11" x14ac:dyDescent="0.25">
      <c r="C31">
        <v>3</v>
      </c>
      <c r="D31" t="s">
        <v>289</v>
      </c>
      <c r="E31" s="4">
        <v>179700</v>
      </c>
      <c r="F31" s="4">
        <v>3327.7</v>
      </c>
      <c r="G31" s="4">
        <v>1561.7</v>
      </c>
      <c r="H31" s="4">
        <v>4889</v>
      </c>
      <c r="I31">
        <v>0</v>
      </c>
      <c r="J31" s="4">
        <v>176372.22</v>
      </c>
      <c r="K31" s="4">
        <v>176372.22</v>
      </c>
    </row>
    <row r="32" spans="3:11" x14ac:dyDescent="0.25">
      <c r="C32">
        <v>4</v>
      </c>
      <c r="D32" t="s">
        <v>290</v>
      </c>
      <c r="E32" s="4">
        <v>176372</v>
      </c>
      <c r="F32" s="4">
        <v>3327.7</v>
      </c>
      <c r="G32" s="4">
        <v>1686.8</v>
      </c>
      <c r="H32" s="4">
        <v>5014</v>
      </c>
      <c r="I32">
        <v>0</v>
      </c>
      <c r="J32" s="4">
        <v>173044.44</v>
      </c>
      <c r="K32" s="4">
        <v>173044.44</v>
      </c>
    </row>
    <row r="33" spans="3:11" x14ac:dyDescent="0.25">
      <c r="C33">
        <v>5</v>
      </c>
      <c r="D33" t="s">
        <v>291</v>
      </c>
      <c r="E33" s="4">
        <v>173044</v>
      </c>
      <c r="F33" s="4">
        <v>3327.7</v>
      </c>
      <c r="G33" s="4">
        <v>1604.4</v>
      </c>
      <c r="H33" s="4">
        <v>4932</v>
      </c>
      <c r="I33">
        <v>0</v>
      </c>
      <c r="J33" s="4">
        <v>169716.66</v>
      </c>
      <c r="K33" s="4">
        <v>169716.66</v>
      </c>
    </row>
    <row r="34" spans="3:11" x14ac:dyDescent="0.25">
      <c r="C34">
        <v>6</v>
      </c>
      <c r="D34" t="s">
        <v>292</v>
      </c>
      <c r="E34" s="4">
        <v>169716</v>
      </c>
      <c r="F34" s="4">
        <v>3327.7</v>
      </c>
      <c r="G34" s="4">
        <v>1475</v>
      </c>
      <c r="H34" s="4">
        <v>4802</v>
      </c>
      <c r="I34">
        <v>0</v>
      </c>
      <c r="J34" s="4">
        <v>166388.88</v>
      </c>
      <c r="K34" s="4">
        <v>166388.88</v>
      </c>
    </row>
    <row r="35" spans="3:11" x14ac:dyDescent="0.25">
      <c r="C35">
        <v>7</v>
      </c>
      <c r="D35" t="s">
        <v>293</v>
      </c>
      <c r="E35" s="4">
        <v>166388</v>
      </c>
      <c r="F35" s="4">
        <v>3327.7</v>
      </c>
      <c r="G35" s="4">
        <v>1639.6</v>
      </c>
      <c r="H35" s="4">
        <v>4967</v>
      </c>
      <c r="I35">
        <v>0</v>
      </c>
      <c r="J35" s="4">
        <v>163061.1</v>
      </c>
      <c r="K35" s="4">
        <v>163061.1</v>
      </c>
    </row>
    <row r="36" spans="3:11" x14ac:dyDescent="0.25">
      <c r="C36">
        <v>8</v>
      </c>
      <c r="D36" t="s">
        <v>294</v>
      </c>
      <c r="E36" s="4">
        <v>163061</v>
      </c>
      <c r="F36" s="4">
        <v>3327.7</v>
      </c>
      <c r="G36" s="4">
        <v>1370</v>
      </c>
      <c r="H36" s="4">
        <v>4697</v>
      </c>
      <c r="I36">
        <v>0</v>
      </c>
      <c r="J36" s="4">
        <v>159733.32</v>
      </c>
      <c r="K36" s="4">
        <v>159733.32</v>
      </c>
    </row>
    <row r="37" spans="3:11" x14ac:dyDescent="0.25">
      <c r="C37">
        <v>10</v>
      </c>
      <c r="D37" t="s">
        <v>287</v>
      </c>
      <c r="E37" s="4">
        <v>156405</v>
      </c>
      <c r="F37" s="4">
        <v>3327.7</v>
      </c>
      <c r="G37" s="4">
        <v>1404.9</v>
      </c>
      <c r="H37" s="4">
        <v>4732</v>
      </c>
      <c r="I37">
        <v>0</v>
      </c>
      <c r="J37" s="4">
        <v>153077.76000000001</v>
      </c>
      <c r="K37" s="4">
        <v>153077.76000000001</v>
      </c>
    </row>
    <row r="38" spans="3:11" x14ac:dyDescent="0.25">
      <c r="C38">
        <v>11</v>
      </c>
      <c r="D38" t="s">
        <v>295</v>
      </c>
      <c r="E38" s="4">
        <v>153077</v>
      </c>
      <c r="F38" s="4">
        <v>3327.7</v>
      </c>
      <c r="G38" s="4">
        <v>1508.4</v>
      </c>
      <c r="H38" s="4">
        <v>4836</v>
      </c>
      <c r="I38">
        <v>0</v>
      </c>
      <c r="J38" s="4">
        <v>149749.98000000001</v>
      </c>
      <c r="K38" s="4">
        <v>149749.98000000001</v>
      </c>
    </row>
    <row r="39" spans="3:11" x14ac:dyDescent="0.25">
      <c r="C39">
        <v>12</v>
      </c>
      <c r="D39" t="s">
        <v>296</v>
      </c>
      <c r="E39" s="4">
        <v>149749</v>
      </c>
      <c r="F39" s="4">
        <v>3327.7</v>
      </c>
      <c r="G39" s="4">
        <v>1301.4000000000001</v>
      </c>
      <c r="H39" s="4">
        <v>4629</v>
      </c>
      <c r="I39">
        <v>0</v>
      </c>
      <c r="J39" s="4">
        <v>146422.20000000001</v>
      </c>
      <c r="K39" s="4">
        <v>146422.20000000001</v>
      </c>
    </row>
    <row r="40" spans="3:11" x14ac:dyDescent="0.25">
      <c r="C40">
        <v>13</v>
      </c>
      <c r="D40" t="s">
        <v>297</v>
      </c>
      <c r="E40" s="4">
        <v>146422</v>
      </c>
      <c r="F40" s="4">
        <v>3327.7</v>
      </c>
      <c r="G40" s="4">
        <v>1442.8</v>
      </c>
      <c r="H40" s="4">
        <v>4770</v>
      </c>
      <c r="I40">
        <v>0</v>
      </c>
      <c r="J40" s="4">
        <v>143094.42000000001</v>
      </c>
      <c r="K40" s="4">
        <v>143094.42000000001</v>
      </c>
    </row>
    <row r="41" spans="3:11" x14ac:dyDescent="0.25">
      <c r="C41">
        <v>14</v>
      </c>
      <c r="D41" t="s">
        <v>298</v>
      </c>
      <c r="E41" s="4">
        <v>143094</v>
      </c>
      <c r="F41" s="4">
        <v>3327.7</v>
      </c>
      <c r="G41" s="4">
        <v>1368.5</v>
      </c>
      <c r="H41" s="4">
        <v>4696</v>
      </c>
      <c r="I41">
        <v>0</v>
      </c>
      <c r="J41" s="4">
        <v>139766.64000000001</v>
      </c>
      <c r="K41" s="4">
        <v>139766.64000000001</v>
      </c>
    </row>
    <row r="42" spans="3:11" x14ac:dyDescent="0.25">
      <c r="C42">
        <v>15</v>
      </c>
      <c r="D42" t="s">
        <v>289</v>
      </c>
      <c r="E42" s="4">
        <v>139766</v>
      </c>
      <c r="F42" s="4">
        <v>3327.7</v>
      </c>
      <c r="G42" s="4">
        <v>1295.9000000000001</v>
      </c>
      <c r="H42" s="4">
        <v>4623</v>
      </c>
      <c r="I42">
        <v>0</v>
      </c>
      <c r="J42" s="4">
        <v>136438.85999999999</v>
      </c>
      <c r="K42" s="4">
        <v>136438.85999999999</v>
      </c>
    </row>
    <row r="43" spans="3:11" x14ac:dyDescent="0.25">
      <c r="C43">
        <v>17</v>
      </c>
      <c r="D43" t="s">
        <v>299</v>
      </c>
      <c r="E43" s="4">
        <v>133111</v>
      </c>
      <c r="F43" s="4">
        <v>3327.7</v>
      </c>
      <c r="G43" s="4">
        <v>1195.7</v>
      </c>
      <c r="H43" s="4">
        <v>4523</v>
      </c>
      <c r="I43">
        <v>0</v>
      </c>
      <c r="J43" s="4">
        <v>129783.3</v>
      </c>
      <c r="K43" s="4">
        <v>129783.3</v>
      </c>
    </row>
    <row r="44" spans="3:11" x14ac:dyDescent="0.25">
      <c r="C44">
        <v>18</v>
      </c>
      <c r="D44" t="s">
        <v>292</v>
      </c>
      <c r="E44" s="4">
        <v>129783</v>
      </c>
      <c r="F44" s="4">
        <v>3327.7</v>
      </c>
      <c r="G44" s="4">
        <v>1165.8</v>
      </c>
      <c r="H44" s="4">
        <v>4493</v>
      </c>
      <c r="I44">
        <v>0</v>
      </c>
      <c r="J44" s="4">
        <v>126455.52</v>
      </c>
      <c r="K44" s="4">
        <v>126455.52</v>
      </c>
    </row>
    <row r="45" spans="3:11" x14ac:dyDescent="0.25">
      <c r="C45">
        <v>19</v>
      </c>
      <c r="D45" t="s">
        <v>300</v>
      </c>
      <c r="E45" s="4">
        <v>126455</v>
      </c>
      <c r="F45" s="4">
        <v>3327.7</v>
      </c>
      <c r="G45" s="4">
        <v>1246</v>
      </c>
      <c r="H45" s="4">
        <v>4573</v>
      </c>
      <c r="I45">
        <v>0</v>
      </c>
      <c r="J45" s="4">
        <v>123127.74</v>
      </c>
      <c r="K45" s="4">
        <v>123127.74</v>
      </c>
    </row>
    <row r="46" spans="3:11" x14ac:dyDescent="0.25">
      <c r="C46">
        <v>20</v>
      </c>
      <c r="D46" t="s">
        <v>301</v>
      </c>
      <c r="E46" s="4">
        <v>123127</v>
      </c>
      <c r="F46" s="4">
        <v>3327.7</v>
      </c>
      <c r="G46" s="4">
        <v>1034.5</v>
      </c>
      <c r="H46" s="4">
        <v>4362</v>
      </c>
      <c r="I46">
        <v>0</v>
      </c>
      <c r="J46" s="4">
        <v>119799.96</v>
      </c>
      <c r="K46" s="4">
        <v>119799.96</v>
      </c>
    </row>
    <row r="47" spans="3:11" x14ac:dyDescent="0.25">
      <c r="C47">
        <v>21</v>
      </c>
      <c r="D47" t="s">
        <v>286</v>
      </c>
      <c r="E47" s="4">
        <v>119799</v>
      </c>
      <c r="F47" s="4">
        <v>3327.7</v>
      </c>
      <c r="G47" s="4">
        <v>1110.7</v>
      </c>
      <c r="H47" s="4">
        <v>4438</v>
      </c>
      <c r="I47">
        <v>0</v>
      </c>
      <c r="J47" s="4">
        <v>116472.18</v>
      </c>
      <c r="K47" s="4">
        <v>116472.18</v>
      </c>
    </row>
    <row r="48" spans="3:11" x14ac:dyDescent="0.25">
      <c r="C48">
        <v>23</v>
      </c>
      <c r="D48" t="s">
        <v>288</v>
      </c>
      <c r="E48" s="4">
        <v>113144</v>
      </c>
      <c r="F48" s="4">
        <v>3327.7</v>
      </c>
      <c r="G48" s="4">
        <v>1016.3</v>
      </c>
      <c r="H48" s="4">
        <v>4344</v>
      </c>
      <c r="I48">
        <v>0</v>
      </c>
      <c r="J48" s="4">
        <v>109816.62</v>
      </c>
      <c r="K48" s="4">
        <v>109816.62</v>
      </c>
    </row>
    <row r="49" spans="3:11" x14ac:dyDescent="0.25">
      <c r="C49">
        <v>24</v>
      </c>
      <c r="D49" t="s">
        <v>296</v>
      </c>
      <c r="E49" s="4">
        <v>109816</v>
      </c>
      <c r="F49" s="4">
        <v>3327.7</v>
      </c>
      <c r="G49" s="4">
        <v>1050.2</v>
      </c>
      <c r="H49" s="4">
        <v>4378</v>
      </c>
      <c r="I49">
        <v>0</v>
      </c>
      <c r="J49" s="4">
        <v>106488.84</v>
      </c>
      <c r="K49" s="4">
        <v>106488.84</v>
      </c>
    </row>
    <row r="50" spans="3:11" x14ac:dyDescent="0.25">
      <c r="C50">
        <v>25</v>
      </c>
      <c r="D50" t="s">
        <v>302</v>
      </c>
      <c r="E50" s="4">
        <v>106488</v>
      </c>
      <c r="F50" s="4">
        <v>3327.7</v>
      </c>
      <c r="G50" s="4">
        <v>1049.3</v>
      </c>
      <c r="H50" s="4">
        <v>4377</v>
      </c>
      <c r="I50">
        <v>0</v>
      </c>
      <c r="J50" s="4">
        <v>103161.06</v>
      </c>
      <c r="K50" s="4">
        <v>103161.06</v>
      </c>
    </row>
    <row r="51" spans="3:11" x14ac:dyDescent="0.25">
      <c r="C51">
        <v>26</v>
      </c>
      <c r="D51" t="s">
        <v>303</v>
      </c>
      <c r="E51" s="4">
        <v>103161</v>
      </c>
      <c r="F51" s="4">
        <v>3327.7</v>
      </c>
      <c r="G51">
        <v>926.7</v>
      </c>
      <c r="H51" s="4">
        <v>4254</v>
      </c>
      <c r="I51">
        <v>0</v>
      </c>
      <c r="J51" s="4">
        <v>99833.279999999999</v>
      </c>
      <c r="K51" s="4">
        <v>99833.279999999999</v>
      </c>
    </row>
    <row r="52" spans="3:11" x14ac:dyDescent="0.25">
      <c r="C52">
        <v>27</v>
      </c>
      <c r="D52" t="s">
        <v>289</v>
      </c>
      <c r="E52" s="4">
        <v>99833</v>
      </c>
      <c r="F52" s="4">
        <v>3327.7</v>
      </c>
      <c r="G52">
        <v>925.6</v>
      </c>
      <c r="H52" s="4">
        <v>4253</v>
      </c>
      <c r="I52">
        <v>0</v>
      </c>
      <c r="J52" s="4">
        <v>96505.5</v>
      </c>
      <c r="K52" s="4">
        <v>96505.5</v>
      </c>
    </row>
    <row r="53" spans="3:11" x14ac:dyDescent="0.25">
      <c r="C53">
        <v>28</v>
      </c>
      <c r="D53" t="s">
        <v>290</v>
      </c>
      <c r="E53" s="4">
        <v>96505</v>
      </c>
      <c r="F53" s="4">
        <v>3327.7</v>
      </c>
      <c r="G53">
        <v>894.8</v>
      </c>
      <c r="H53" s="4">
        <v>4222</v>
      </c>
      <c r="I53">
        <v>0</v>
      </c>
      <c r="J53" s="4">
        <v>93177.72</v>
      </c>
      <c r="K53" s="4">
        <v>93177.72</v>
      </c>
    </row>
    <row r="54" spans="3:11" x14ac:dyDescent="0.25">
      <c r="C54">
        <v>30</v>
      </c>
      <c r="D54" t="s">
        <v>292</v>
      </c>
      <c r="E54" s="4">
        <v>89849</v>
      </c>
      <c r="F54" s="4">
        <v>3327.7</v>
      </c>
      <c r="G54">
        <v>833</v>
      </c>
      <c r="H54" s="4">
        <v>4160</v>
      </c>
      <c r="I54">
        <v>0</v>
      </c>
      <c r="J54" s="4">
        <v>86522.16</v>
      </c>
      <c r="K54" s="4">
        <v>86522.16</v>
      </c>
    </row>
    <row r="55" spans="3:11" x14ac:dyDescent="0.25">
      <c r="C55">
        <v>31</v>
      </c>
      <c r="D55" t="s">
        <v>300</v>
      </c>
      <c r="E55" s="4">
        <v>86522</v>
      </c>
      <c r="F55" s="4">
        <v>3327.7</v>
      </c>
      <c r="G55">
        <v>802.2</v>
      </c>
      <c r="H55" s="4">
        <v>4130</v>
      </c>
      <c r="I55">
        <v>0</v>
      </c>
      <c r="J55" s="4">
        <v>83194.38</v>
      </c>
      <c r="K55" s="4">
        <v>83194.38</v>
      </c>
    </row>
    <row r="56" spans="3:11" x14ac:dyDescent="0.25">
      <c r="C56">
        <v>32</v>
      </c>
      <c r="D56" t="s">
        <v>294</v>
      </c>
      <c r="E56" s="4">
        <v>83194</v>
      </c>
      <c r="F56" s="4">
        <v>3327.7</v>
      </c>
      <c r="G56">
        <v>699</v>
      </c>
      <c r="H56" s="4">
        <v>4026</v>
      </c>
      <c r="I56">
        <v>0</v>
      </c>
      <c r="J56" s="4">
        <v>79866.600000000006</v>
      </c>
      <c r="K56" s="4">
        <v>79866.600000000006</v>
      </c>
    </row>
    <row r="57" spans="3:11" x14ac:dyDescent="0.25">
      <c r="C57">
        <v>33</v>
      </c>
      <c r="D57" t="s">
        <v>286</v>
      </c>
      <c r="E57" s="4">
        <v>79866</v>
      </c>
      <c r="F57" s="4">
        <v>3327.7</v>
      </c>
      <c r="G57">
        <v>763.8</v>
      </c>
      <c r="H57" s="4">
        <v>4091</v>
      </c>
      <c r="I57">
        <v>0</v>
      </c>
      <c r="J57" s="4">
        <v>76538.820000000007</v>
      </c>
      <c r="K57" s="4">
        <v>76538.820000000007</v>
      </c>
    </row>
    <row r="58" spans="3:11" x14ac:dyDescent="0.25">
      <c r="C58">
        <v>34</v>
      </c>
      <c r="D58" t="s">
        <v>304</v>
      </c>
      <c r="E58" s="4">
        <v>76538</v>
      </c>
      <c r="F58" s="4">
        <v>3327.7</v>
      </c>
      <c r="G58">
        <v>709.6</v>
      </c>
      <c r="H58" s="4">
        <v>4037</v>
      </c>
      <c r="I58">
        <v>0</v>
      </c>
      <c r="J58" s="4">
        <v>73211.039999999994</v>
      </c>
      <c r="K58" s="4">
        <v>73211.039999999994</v>
      </c>
    </row>
    <row r="59" spans="3:11" x14ac:dyDescent="0.25">
      <c r="C59">
        <v>35</v>
      </c>
      <c r="D59" t="s">
        <v>288</v>
      </c>
      <c r="E59" s="4">
        <v>73211</v>
      </c>
      <c r="F59" s="4">
        <v>3327.7</v>
      </c>
      <c r="G59">
        <v>657.6</v>
      </c>
      <c r="H59" s="4">
        <v>3985</v>
      </c>
      <c r="I59">
        <v>0</v>
      </c>
      <c r="J59" s="4">
        <v>69883.259999999995</v>
      </c>
      <c r="K59" s="4">
        <v>69883.259999999995</v>
      </c>
    </row>
    <row r="60" spans="3:11" x14ac:dyDescent="0.25">
      <c r="C60">
        <v>37</v>
      </c>
      <c r="D60" t="s">
        <v>305</v>
      </c>
      <c r="E60" s="4">
        <v>66555</v>
      </c>
      <c r="F60" s="4">
        <v>3327.7</v>
      </c>
      <c r="G60">
        <v>636.5</v>
      </c>
      <c r="H60" s="4">
        <v>3964</v>
      </c>
      <c r="I60">
        <v>0</v>
      </c>
      <c r="J60" s="4">
        <v>63227.7</v>
      </c>
      <c r="K60" s="4">
        <v>63227.7</v>
      </c>
    </row>
    <row r="61" spans="3:11" x14ac:dyDescent="0.25">
      <c r="C61">
        <v>38</v>
      </c>
      <c r="D61" t="s">
        <v>303</v>
      </c>
      <c r="E61" s="4">
        <v>63227</v>
      </c>
      <c r="F61" s="4">
        <v>3327.7</v>
      </c>
      <c r="G61">
        <v>586.20000000000005</v>
      </c>
      <c r="H61" s="4">
        <v>3914</v>
      </c>
      <c r="I61">
        <v>0</v>
      </c>
      <c r="J61" s="4">
        <v>59899.92</v>
      </c>
      <c r="K61" s="4">
        <v>59899.92</v>
      </c>
    </row>
    <row r="62" spans="3:11" x14ac:dyDescent="0.25">
      <c r="C62">
        <v>39</v>
      </c>
      <c r="D62" t="s">
        <v>289</v>
      </c>
      <c r="E62" s="4">
        <v>59899</v>
      </c>
      <c r="F62" s="4">
        <v>3327.7</v>
      </c>
      <c r="G62">
        <v>555.29999999999995</v>
      </c>
      <c r="H62" s="4">
        <v>3883</v>
      </c>
      <c r="I62">
        <v>0</v>
      </c>
      <c r="J62" s="4">
        <v>56572.14</v>
      </c>
      <c r="K62" s="4">
        <v>56572.14</v>
      </c>
    </row>
    <row r="63" spans="3:11" x14ac:dyDescent="0.25">
      <c r="C63">
        <v>40</v>
      </c>
      <c r="D63" t="s">
        <v>290</v>
      </c>
      <c r="E63" s="4">
        <v>56572</v>
      </c>
      <c r="F63" s="4">
        <v>3327.7</v>
      </c>
      <c r="G63">
        <v>508.1</v>
      </c>
      <c r="H63" s="4">
        <v>3835</v>
      </c>
      <c r="I63">
        <v>0</v>
      </c>
      <c r="J63" s="4">
        <v>53244.36</v>
      </c>
      <c r="K63" s="4">
        <v>53244.36</v>
      </c>
    </row>
    <row r="64" spans="3:11" x14ac:dyDescent="0.25">
      <c r="C64">
        <v>41</v>
      </c>
      <c r="D64" t="s">
        <v>306</v>
      </c>
      <c r="E64" s="4">
        <v>53244</v>
      </c>
      <c r="F64" s="4">
        <v>3327.7</v>
      </c>
      <c r="G64">
        <v>493.6</v>
      </c>
      <c r="H64" s="4">
        <v>3821</v>
      </c>
      <c r="I64">
        <v>0</v>
      </c>
      <c r="J64" s="4">
        <v>49916.58</v>
      </c>
      <c r="K64" s="4">
        <v>49916.58</v>
      </c>
    </row>
    <row r="65" spans="3:11" x14ac:dyDescent="0.25">
      <c r="C65">
        <v>43</v>
      </c>
      <c r="D65" t="s">
        <v>293</v>
      </c>
      <c r="E65" s="4">
        <v>46588</v>
      </c>
      <c r="F65" s="4">
        <v>3327.7</v>
      </c>
      <c r="G65">
        <v>431.9</v>
      </c>
      <c r="H65" s="4">
        <v>3759</v>
      </c>
      <c r="I65">
        <v>0</v>
      </c>
      <c r="J65" s="4">
        <v>43261.02</v>
      </c>
      <c r="K65" s="4">
        <v>43261.02</v>
      </c>
    </row>
    <row r="66" spans="3:11" x14ac:dyDescent="0.25">
      <c r="C66">
        <v>44</v>
      </c>
      <c r="D66" t="s">
        <v>294</v>
      </c>
      <c r="E66" s="4">
        <v>43261</v>
      </c>
      <c r="F66" s="4">
        <v>3327.7</v>
      </c>
      <c r="G66">
        <v>363.4</v>
      </c>
      <c r="H66" s="4">
        <v>3691</v>
      </c>
      <c r="I66">
        <v>0</v>
      </c>
      <c r="J66" s="4">
        <v>39933.24</v>
      </c>
      <c r="K66" s="4">
        <v>39933.24</v>
      </c>
    </row>
    <row r="67" spans="3:11" x14ac:dyDescent="0.25">
      <c r="C67">
        <v>45</v>
      </c>
      <c r="D67" t="s">
        <v>307</v>
      </c>
      <c r="E67" s="4">
        <v>39933</v>
      </c>
      <c r="F67" s="4">
        <v>3327.7</v>
      </c>
      <c r="G67">
        <v>393.5</v>
      </c>
      <c r="H67" s="4">
        <v>3721</v>
      </c>
      <c r="I67">
        <v>0</v>
      </c>
      <c r="J67" s="4">
        <v>36605.46</v>
      </c>
      <c r="K67" s="4">
        <v>36605.46</v>
      </c>
    </row>
    <row r="68" spans="3:11" x14ac:dyDescent="0.25">
      <c r="C68">
        <v>46</v>
      </c>
      <c r="D68" t="s">
        <v>308</v>
      </c>
      <c r="E68" s="4">
        <v>36605</v>
      </c>
      <c r="F68" s="4">
        <v>3327.7</v>
      </c>
      <c r="G68">
        <v>318.10000000000002</v>
      </c>
      <c r="H68" s="4">
        <v>3645</v>
      </c>
      <c r="I68">
        <v>0</v>
      </c>
      <c r="J68" s="4">
        <v>33277.68</v>
      </c>
      <c r="K68" s="4">
        <v>33277.68</v>
      </c>
    </row>
    <row r="69" spans="3:11" x14ac:dyDescent="0.25">
      <c r="C69">
        <v>47</v>
      </c>
      <c r="D69" t="s">
        <v>288</v>
      </c>
      <c r="E69" s="4">
        <v>33277</v>
      </c>
      <c r="F69" s="4">
        <v>3327.7</v>
      </c>
      <c r="G69">
        <v>318.2</v>
      </c>
      <c r="H69" s="4">
        <v>3646</v>
      </c>
      <c r="I69">
        <v>0</v>
      </c>
      <c r="J69" s="4">
        <v>29949.9</v>
      </c>
      <c r="K69" s="4">
        <v>29949.9</v>
      </c>
    </row>
    <row r="70" spans="3:11" x14ac:dyDescent="0.25">
      <c r="C70">
        <v>48</v>
      </c>
      <c r="D70" t="s">
        <v>296</v>
      </c>
      <c r="E70" s="4">
        <v>29949</v>
      </c>
      <c r="F70" s="4">
        <v>3327.7</v>
      </c>
      <c r="G70">
        <v>277.7</v>
      </c>
      <c r="H70" s="4">
        <v>3605</v>
      </c>
      <c r="I70">
        <v>0</v>
      </c>
      <c r="J70" s="4">
        <v>26622.12</v>
      </c>
      <c r="K70" s="4">
        <v>26622.12</v>
      </c>
    </row>
    <row r="71" spans="3:11" x14ac:dyDescent="0.25">
      <c r="C71">
        <v>50</v>
      </c>
      <c r="D71" t="s">
        <v>303</v>
      </c>
      <c r="E71" s="4">
        <v>23294</v>
      </c>
      <c r="F71" s="4">
        <v>3327.7</v>
      </c>
      <c r="G71">
        <v>222.7</v>
      </c>
      <c r="H71" s="4">
        <v>3550</v>
      </c>
      <c r="I71">
        <v>0</v>
      </c>
      <c r="J71" s="4">
        <v>19966.560000000001</v>
      </c>
      <c r="K71" s="4">
        <v>19966.560000000001</v>
      </c>
    </row>
    <row r="72" spans="3:11" x14ac:dyDescent="0.25">
      <c r="C72">
        <v>51</v>
      </c>
      <c r="D72" t="s">
        <v>309</v>
      </c>
      <c r="E72" s="4">
        <v>19966</v>
      </c>
      <c r="F72" s="4">
        <v>3327.7</v>
      </c>
      <c r="G72">
        <v>185.1</v>
      </c>
      <c r="H72" s="4">
        <v>3512</v>
      </c>
      <c r="I72">
        <v>0</v>
      </c>
      <c r="J72" s="4">
        <v>16638.78</v>
      </c>
      <c r="K72" s="4">
        <v>16638.78</v>
      </c>
    </row>
    <row r="73" spans="3:11" x14ac:dyDescent="0.25">
      <c r="C73">
        <v>52</v>
      </c>
      <c r="D73" t="s">
        <v>290</v>
      </c>
      <c r="E73" s="4">
        <v>16638</v>
      </c>
      <c r="F73" s="4">
        <v>3327.7</v>
      </c>
      <c r="G73">
        <v>149.4</v>
      </c>
      <c r="H73" s="4">
        <v>3477</v>
      </c>
      <c r="I73">
        <v>0</v>
      </c>
      <c r="J73" s="4">
        <v>13311</v>
      </c>
      <c r="K73" s="4">
        <v>13311</v>
      </c>
    </row>
    <row r="74" spans="3:11" x14ac:dyDescent="0.25">
      <c r="C74">
        <v>53</v>
      </c>
      <c r="D74" t="s">
        <v>306</v>
      </c>
      <c r="E74" s="4">
        <v>13311</v>
      </c>
      <c r="F74" s="4">
        <v>3327.7</v>
      </c>
      <c r="G74">
        <v>123.4</v>
      </c>
      <c r="H74" s="4">
        <v>3451</v>
      </c>
      <c r="I74">
        <v>0</v>
      </c>
      <c r="J74" s="4">
        <v>9983.2199999999993</v>
      </c>
      <c r="K74" s="4">
        <v>9983.2199999999993</v>
      </c>
    </row>
    <row r="75" spans="3:11" x14ac:dyDescent="0.25">
      <c r="C75">
        <v>54</v>
      </c>
      <c r="D75" t="s">
        <v>310</v>
      </c>
      <c r="E75" s="4">
        <v>9983</v>
      </c>
      <c r="F75" s="4">
        <v>3327.7</v>
      </c>
      <c r="G75">
        <v>95.4</v>
      </c>
      <c r="H75" s="4">
        <v>3423</v>
      </c>
      <c r="I75">
        <v>0</v>
      </c>
      <c r="J75" s="4">
        <v>6655.44</v>
      </c>
      <c r="K75" s="4">
        <v>6655.44</v>
      </c>
    </row>
    <row r="76" spans="3:11" x14ac:dyDescent="0.25">
      <c r="C76">
        <v>55</v>
      </c>
      <c r="D76" t="s">
        <v>293</v>
      </c>
      <c r="E76" s="4">
        <v>6655</v>
      </c>
      <c r="F76" s="4">
        <v>3327.7</v>
      </c>
      <c r="G76">
        <v>63.6</v>
      </c>
      <c r="H76" s="4">
        <v>3391</v>
      </c>
      <c r="I76">
        <v>0</v>
      </c>
      <c r="J76" s="4">
        <v>3327.66</v>
      </c>
      <c r="K76" s="4">
        <v>3327.66</v>
      </c>
    </row>
    <row r="77" spans="3:11" x14ac:dyDescent="0.25">
      <c r="C77" t="s">
        <v>311</v>
      </c>
      <c r="D77" t="s">
        <v>312</v>
      </c>
      <c r="E77" s="4">
        <v>3327</v>
      </c>
      <c r="F77" s="4">
        <v>179700</v>
      </c>
      <c r="G77" s="4">
        <v>55589.5</v>
      </c>
      <c r="H77" s="4">
        <v>235289</v>
      </c>
      <c r="I77">
        <v>0</v>
      </c>
      <c r="J77">
        <v>0</v>
      </c>
      <c r="K77">
        <v>0</v>
      </c>
    </row>
    <row r="83" spans="3:11" x14ac:dyDescent="0.25">
      <c r="C83">
        <v>0</v>
      </c>
      <c r="D83" t="s">
        <v>285</v>
      </c>
      <c r="E83" s="4">
        <v>179700</v>
      </c>
      <c r="F83">
        <v>0</v>
      </c>
      <c r="G83">
        <v>0</v>
      </c>
      <c r="H83">
        <v>0</v>
      </c>
      <c r="I83">
        <v>0</v>
      </c>
      <c r="J83" s="4">
        <v>179700</v>
      </c>
      <c r="K83">
        <v>0</v>
      </c>
    </row>
    <row r="84" spans="3:11" x14ac:dyDescent="0.25">
      <c r="C84">
        <v>0</v>
      </c>
      <c r="D84" t="s">
        <v>286</v>
      </c>
      <c r="E84" s="4">
        <v>179700</v>
      </c>
      <c r="F84">
        <v>0</v>
      </c>
      <c r="G84">
        <v>0</v>
      </c>
      <c r="H84">
        <v>0</v>
      </c>
      <c r="I84">
        <v>0</v>
      </c>
      <c r="J84" s="4">
        <v>179700</v>
      </c>
      <c r="K84">
        <v>0</v>
      </c>
    </row>
    <row r="85" spans="3:11" x14ac:dyDescent="0.25">
      <c r="C85">
        <v>0</v>
      </c>
      <c r="D85" t="s">
        <v>287</v>
      </c>
      <c r="E85" s="4">
        <v>179700</v>
      </c>
      <c r="F85">
        <v>0</v>
      </c>
      <c r="G85">
        <v>0</v>
      </c>
      <c r="H85">
        <v>0</v>
      </c>
      <c r="I85">
        <v>0</v>
      </c>
      <c r="J85" s="4">
        <v>179700</v>
      </c>
      <c r="K85">
        <v>0</v>
      </c>
    </row>
    <row r="86" spans="3:11" x14ac:dyDescent="0.25">
      <c r="C86">
        <v>1</v>
      </c>
      <c r="D86" t="s">
        <v>288</v>
      </c>
      <c r="E86" s="4">
        <v>179700</v>
      </c>
      <c r="F86">
        <v>0</v>
      </c>
      <c r="G86" s="4">
        <v>4802.3</v>
      </c>
      <c r="H86" s="4">
        <v>4802</v>
      </c>
      <c r="I86">
        <v>0</v>
      </c>
      <c r="J86" s="4">
        <v>179700</v>
      </c>
      <c r="K86" s="4">
        <v>179700</v>
      </c>
    </row>
    <row r="87" spans="3:11" x14ac:dyDescent="0.25">
      <c r="C87">
        <v>3</v>
      </c>
      <c r="D87" t="s">
        <v>289</v>
      </c>
      <c r="E87" s="4">
        <v>179700</v>
      </c>
      <c r="F87" s="4">
        <v>3327.7</v>
      </c>
      <c r="G87" s="4">
        <v>1561.7</v>
      </c>
      <c r="H87" s="4">
        <v>4889</v>
      </c>
      <c r="I87">
        <v>0</v>
      </c>
      <c r="J87" s="4">
        <v>176372.22</v>
      </c>
      <c r="K87" s="4">
        <v>176372.22</v>
      </c>
    </row>
    <row r="88" spans="3:11" x14ac:dyDescent="0.25">
      <c r="C88">
        <v>4</v>
      </c>
      <c r="D88" t="s">
        <v>290</v>
      </c>
      <c r="E88" s="4">
        <v>176372</v>
      </c>
      <c r="F88" s="4">
        <v>3327.7</v>
      </c>
      <c r="G88" s="4">
        <v>1686.8</v>
      </c>
      <c r="H88" s="4">
        <v>5014</v>
      </c>
      <c r="I88">
        <v>0</v>
      </c>
      <c r="J88" s="4">
        <v>173044.44</v>
      </c>
      <c r="K88" s="4">
        <v>173044.44</v>
      </c>
    </row>
    <row r="89" spans="3:11" x14ac:dyDescent="0.25">
      <c r="C89">
        <v>5</v>
      </c>
      <c r="D89" t="s">
        <v>291</v>
      </c>
      <c r="E89" s="4">
        <v>173044</v>
      </c>
      <c r="F89" s="4">
        <v>3327.7</v>
      </c>
      <c r="G89" s="4">
        <v>1604.4</v>
      </c>
      <c r="H89" s="4">
        <v>4932</v>
      </c>
      <c r="I89">
        <v>0</v>
      </c>
      <c r="J89" s="4">
        <v>169716.66</v>
      </c>
      <c r="K89" s="4">
        <v>169716.66</v>
      </c>
    </row>
    <row r="90" spans="3:11" x14ac:dyDescent="0.25">
      <c r="C90">
        <v>6</v>
      </c>
      <c r="D90" t="s">
        <v>292</v>
      </c>
      <c r="E90" s="4">
        <v>169716</v>
      </c>
      <c r="F90" s="4">
        <v>3327.7</v>
      </c>
      <c r="G90" s="4">
        <v>1475</v>
      </c>
      <c r="H90" s="4">
        <v>4802</v>
      </c>
      <c r="I90">
        <v>0</v>
      </c>
      <c r="J90" s="4">
        <v>166388.88</v>
      </c>
      <c r="K90" s="4">
        <v>166388.88</v>
      </c>
    </row>
    <row r="91" spans="3:11" x14ac:dyDescent="0.25">
      <c r="C91">
        <v>7</v>
      </c>
      <c r="D91" t="s">
        <v>293</v>
      </c>
      <c r="E91" s="4">
        <v>166388</v>
      </c>
      <c r="F91" s="4">
        <v>3327.7</v>
      </c>
      <c r="G91" s="4">
        <v>1639.6</v>
      </c>
      <c r="H91" s="4">
        <v>4967</v>
      </c>
      <c r="I91">
        <v>0</v>
      </c>
      <c r="J91" s="4">
        <v>163061.1</v>
      </c>
      <c r="K91" s="4">
        <v>163061.1</v>
      </c>
    </row>
    <row r="92" spans="3:11" x14ac:dyDescent="0.25">
      <c r="C92">
        <v>8</v>
      </c>
      <c r="D92" t="s">
        <v>294</v>
      </c>
      <c r="E92" s="4">
        <v>163061</v>
      </c>
      <c r="F92" s="4">
        <v>3327.7</v>
      </c>
      <c r="G92" s="4">
        <v>1370</v>
      </c>
      <c r="H92" s="4">
        <v>4697</v>
      </c>
      <c r="I92">
        <v>0</v>
      </c>
      <c r="J92" s="4">
        <v>159733.32</v>
      </c>
      <c r="K92" s="4">
        <v>159733.32</v>
      </c>
    </row>
    <row r="93" spans="3:11" x14ac:dyDescent="0.25">
      <c r="C93">
        <v>10</v>
      </c>
      <c r="D93" t="s">
        <v>287</v>
      </c>
      <c r="E93" s="4">
        <v>156405</v>
      </c>
      <c r="F93" s="4">
        <v>3327.7</v>
      </c>
      <c r="G93" s="4">
        <v>1404.9</v>
      </c>
      <c r="H93" s="4">
        <v>4732</v>
      </c>
      <c r="I93">
        <v>0</v>
      </c>
      <c r="J93" s="4">
        <v>153077.76000000001</v>
      </c>
      <c r="K93" s="4">
        <v>153077.76000000001</v>
      </c>
    </row>
    <row r="94" spans="3:11" x14ac:dyDescent="0.25">
      <c r="C94">
        <v>11</v>
      </c>
      <c r="D94" t="s">
        <v>295</v>
      </c>
      <c r="E94" s="4">
        <v>153077</v>
      </c>
      <c r="F94" s="4">
        <v>3327.7</v>
      </c>
      <c r="G94" s="4">
        <v>1508.4</v>
      </c>
      <c r="H94" s="4">
        <v>4836</v>
      </c>
      <c r="I94">
        <v>0</v>
      </c>
      <c r="J94" s="4">
        <v>149749.98000000001</v>
      </c>
      <c r="K94" s="4">
        <v>149749.98000000001</v>
      </c>
    </row>
    <row r="95" spans="3:11" x14ac:dyDescent="0.25">
      <c r="C95">
        <v>12</v>
      </c>
      <c r="D95" t="s">
        <v>296</v>
      </c>
      <c r="E95" s="4">
        <v>149749</v>
      </c>
      <c r="F95" s="4">
        <v>3327.7</v>
      </c>
      <c r="G95" s="4">
        <v>1301.4000000000001</v>
      </c>
      <c r="H95" s="4">
        <v>4629</v>
      </c>
      <c r="I95">
        <v>0</v>
      </c>
      <c r="J95" s="4">
        <v>146422.20000000001</v>
      </c>
      <c r="K95" s="4">
        <v>146422.20000000001</v>
      </c>
    </row>
    <row r="96" spans="3:11" x14ac:dyDescent="0.25">
      <c r="C96">
        <v>13</v>
      </c>
      <c r="D96" t="s">
        <v>297</v>
      </c>
      <c r="E96" s="4">
        <v>146422</v>
      </c>
      <c r="F96" s="4">
        <v>3327.7</v>
      </c>
      <c r="G96" s="4">
        <v>1442.8</v>
      </c>
      <c r="H96" s="4">
        <v>4770</v>
      </c>
      <c r="I96">
        <v>0</v>
      </c>
      <c r="J96" s="4">
        <v>143094.42000000001</v>
      </c>
      <c r="K96" s="4">
        <v>143094.42000000001</v>
      </c>
    </row>
    <row r="97" spans="3:11" x14ac:dyDescent="0.25">
      <c r="C97">
        <v>14</v>
      </c>
      <c r="D97" t="s">
        <v>298</v>
      </c>
      <c r="E97" s="4">
        <v>143094</v>
      </c>
      <c r="F97" s="4">
        <v>3327.7</v>
      </c>
      <c r="G97" s="4">
        <v>1368.5</v>
      </c>
      <c r="H97" s="4">
        <v>4696</v>
      </c>
      <c r="I97">
        <v>0</v>
      </c>
      <c r="J97" s="4">
        <v>139766.64000000001</v>
      </c>
      <c r="K97" s="4">
        <v>139766.64000000001</v>
      </c>
    </row>
    <row r="98" spans="3:11" x14ac:dyDescent="0.25">
      <c r="C98">
        <v>15</v>
      </c>
      <c r="D98" t="s">
        <v>289</v>
      </c>
      <c r="E98" s="4">
        <v>139766</v>
      </c>
      <c r="F98" s="4">
        <v>3327.7</v>
      </c>
      <c r="G98" s="4">
        <v>1295.9000000000001</v>
      </c>
      <c r="H98" s="4">
        <v>4623</v>
      </c>
      <c r="I98">
        <v>0</v>
      </c>
      <c r="J98" s="4">
        <v>136438.85999999999</v>
      </c>
      <c r="K98" s="4">
        <v>136438.85999999999</v>
      </c>
    </row>
    <row r="99" spans="3:11" x14ac:dyDescent="0.25">
      <c r="C99">
        <v>17</v>
      </c>
      <c r="D99" t="s">
        <v>299</v>
      </c>
      <c r="E99" s="4">
        <v>133111</v>
      </c>
      <c r="F99" s="4">
        <v>3327.7</v>
      </c>
      <c r="G99" s="4">
        <v>1195.7</v>
      </c>
      <c r="H99" s="4">
        <v>4523</v>
      </c>
      <c r="I99">
        <v>0</v>
      </c>
      <c r="J99" s="4">
        <v>129783.3</v>
      </c>
      <c r="K99" s="4">
        <v>129783.3</v>
      </c>
    </row>
    <row r="100" spans="3:11" x14ac:dyDescent="0.25">
      <c r="C100">
        <v>18</v>
      </c>
      <c r="D100" t="s">
        <v>292</v>
      </c>
      <c r="E100" s="4">
        <v>129783</v>
      </c>
      <c r="F100" s="4">
        <v>3327.7</v>
      </c>
      <c r="G100" s="4">
        <v>1165.8</v>
      </c>
      <c r="H100" s="4">
        <v>4493</v>
      </c>
      <c r="I100">
        <v>0</v>
      </c>
      <c r="J100" s="4">
        <v>126455.52</v>
      </c>
      <c r="K100" s="4">
        <v>126455.52</v>
      </c>
    </row>
    <row r="101" spans="3:11" x14ac:dyDescent="0.25">
      <c r="C101">
        <v>19</v>
      </c>
      <c r="D101" t="s">
        <v>300</v>
      </c>
      <c r="E101" s="4">
        <v>126455</v>
      </c>
      <c r="F101" s="4">
        <v>3327.7</v>
      </c>
      <c r="G101" s="4">
        <v>1246</v>
      </c>
      <c r="H101" s="4">
        <v>4573</v>
      </c>
      <c r="I101">
        <v>0</v>
      </c>
      <c r="J101" s="4">
        <v>123127.74</v>
      </c>
      <c r="K101" s="4">
        <v>123127.74</v>
      </c>
    </row>
    <row r="102" spans="3:11" x14ac:dyDescent="0.25">
      <c r="C102">
        <v>20</v>
      </c>
      <c r="D102" t="s">
        <v>301</v>
      </c>
      <c r="E102" s="4">
        <v>123127</v>
      </c>
      <c r="F102" s="4">
        <v>3327.7</v>
      </c>
      <c r="G102" s="4">
        <v>1034.5</v>
      </c>
      <c r="H102" s="4">
        <v>4362</v>
      </c>
      <c r="I102">
        <v>0</v>
      </c>
      <c r="J102" s="4">
        <v>119799.96</v>
      </c>
      <c r="K102" s="4">
        <v>119799.96</v>
      </c>
    </row>
    <row r="103" spans="3:11" x14ac:dyDescent="0.25">
      <c r="C103">
        <v>21</v>
      </c>
      <c r="D103" t="s">
        <v>286</v>
      </c>
      <c r="E103" s="4">
        <v>119799</v>
      </c>
      <c r="F103" s="4">
        <v>3327.7</v>
      </c>
      <c r="G103" s="4">
        <v>1110.7</v>
      </c>
      <c r="H103" s="4">
        <v>4438</v>
      </c>
      <c r="I103">
        <v>0</v>
      </c>
      <c r="J103" s="4">
        <v>116472.18</v>
      </c>
      <c r="K103" s="4">
        <v>116472.18</v>
      </c>
    </row>
    <row r="104" spans="3:11" x14ac:dyDescent="0.25">
      <c r="C104">
        <v>23</v>
      </c>
      <c r="D104" t="s">
        <v>288</v>
      </c>
      <c r="E104" s="4">
        <v>113144</v>
      </c>
      <c r="F104" s="4">
        <v>3327.7</v>
      </c>
      <c r="G104" s="4">
        <v>1016.3</v>
      </c>
      <c r="H104" s="4">
        <v>4344</v>
      </c>
      <c r="I104">
        <v>0</v>
      </c>
      <c r="J104" s="4">
        <v>109816.62</v>
      </c>
      <c r="K104" s="4">
        <v>109816.62</v>
      </c>
    </row>
    <row r="105" spans="3:11" x14ac:dyDescent="0.25">
      <c r="C105">
        <v>24</v>
      </c>
      <c r="D105" t="s">
        <v>296</v>
      </c>
      <c r="E105" s="4">
        <v>109816</v>
      </c>
      <c r="F105" s="4">
        <v>3327.7</v>
      </c>
      <c r="G105" s="4">
        <v>1050.2</v>
      </c>
      <c r="H105" s="4">
        <v>4378</v>
      </c>
      <c r="I105">
        <v>0</v>
      </c>
      <c r="J105" s="4">
        <v>106488.84</v>
      </c>
      <c r="K105" s="4">
        <v>106488.84</v>
      </c>
    </row>
    <row r="106" spans="3:11" x14ac:dyDescent="0.25">
      <c r="C106">
        <v>25</v>
      </c>
      <c r="D106" t="s">
        <v>302</v>
      </c>
      <c r="E106" s="4">
        <v>106488</v>
      </c>
      <c r="F106" s="4">
        <v>3327.7</v>
      </c>
      <c r="G106" s="4">
        <v>1049.3</v>
      </c>
      <c r="H106" s="4">
        <v>4377</v>
      </c>
      <c r="I106">
        <v>0</v>
      </c>
      <c r="J106" s="4">
        <v>103161.06</v>
      </c>
      <c r="K106" s="4">
        <v>103161.06</v>
      </c>
    </row>
    <row r="107" spans="3:11" x14ac:dyDescent="0.25">
      <c r="C107">
        <v>26</v>
      </c>
      <c r="D107" t="s">
        <v>303</v>
      </c>
      <c r="E107" s="4">
        <v>103161</v>
      </c>
      <c r="F107" s="4">
        <v>3327.7</v>
      </c>
      <c r="G107">
        <v>926.7</v>
      </c>
      <c r="H107" s="4">
        <v>4254</v>
      </c>
      <c r="I107">
        <v>0</v>
      </c>
      <c r="J107" s="4">
        <v>99833.279999999999</v>
      </c>
      <c r="K107" s="4">
        <v>99833.279999999999</v>
      </c>
    </row>
    <row r="108" spans="3:11" x14ac:dyDescent="0.25">
      <c r="C108">
        <v>27</v>
      </c>
      <c r="D108" t="s">
        <v>289</v>
      </c>
      <c r="E108" s="4">
        <v>99833</v>
      </c>
      <c r="F108" s="4">
        <v>3327.7</v>
      </c>
      <c r="G108">
        <v>925.6</v>
      </c>
      <c r="H108" s="4">
        <v>4253</v>
      </c>
      <c r="I108">
        <v>0</v>
      </c>
      <c r="J108" s="4">
        <v>96505.5</v>
      </c>
      <c r="K108" s="4">
        <v>96505.5</v>
      </c>
    </row>
    <row r="109" spans="3:11" x14ac:dyDescent="0.25">
      <c r="C109">
        <v>28</v>
      </c>
      <c r="D109" t="s">
        <v>290</v>
      </c>
      <c r="E109" s="4">
        <v>96505</v>
      </c>
      <c r="F109" s="4">
        <v>3327.7</v>
      </c>
      <c r="G109">
        <v>894.8</v>
      </c>
      <c r="H109" s="4">
        <v>4222</v>
      </c>
      <c r="I109">
        <v>0</v>
      </c>
      <c r="J109" s="4">
        <v>93177.72</v>
      </c>
      <c r="K109" s="4">
        <v>93177.72</v>
      </c>
    </row>
    <row r="110" spans="3:11" x14ac:dyDescent="0.25">
      <c r="C110">
        <v>30</v>
      </c>
      <c r="D110" t="s">
        <v>292</v>
      </c>
      <c r="E110" s="4">
        <v>89849</v>
      </c>
      <c r="F110" s="4">
        <v>3327.7</v>
      </c>
      <c r="G110">
        <v>833</v>
      </c>
      <c r="H110" s="4">
        <v>4160</v>
      </c>
      <c r="I110">
        <v>0</v>
      </c>
      <c r="J110" s="4">
        <v>86522.16</v>
      </c>
      <c r="K110" s="4">
        <v>86522.16</v>
      </c>
    </row>
    <row r="111" spans="3:11" x14ac:dyDescent="0.25">
      <c r="C111">
        <v>31</v>
      </c>
      <c r="D111" t="s">
        <v>300</v>
      </c>
      <c r="E111" s="4">
        <v>86522</v>
      </c>
      <c r="F111" s="4">
        <v>3327.7</v>
      </c>
      <c r="G111">
        <v>802.2</v>
      </c>
      <c r="H111" s="4">
        <v>4130</v>
      </c>
      <c r="I111">
        <v>0</v>
      </c>
      <c r="J111" s="4">
        <v>83194.38</v>
      </c>
      <c r="K111" s="4">
        <v>83194.38</v>
      </c>
    </row>
    <row r="112" spans="3:11" x14ac:dyDescent="0.25">
      <c r="C112">
        <v>32</v>
      </c>
      <c r="D112" t="s">
        <v>294</v>
      </c>
      <c r="E112" s="4">
        <v>83194</v>
      </c>
      <c r="F112" s="4">
        <v>3327.7</v>
      </c>
      <c r="G112">
        <v>699</v>
      </c>
      <c r="H112" s="4">
        <v>4026</v>
      </c>
      <c r="I112">
        <v>0</v>
      </c>
      <c r="J112" s="4">
        <v>79866.600000000006</v>
      </c>
      <c r="K112" s="4">
        <v>79866.600000000006</v>
      </c>
    </row>
    <row r="113" spans="3:11" x14ac:dyDescent="0.25">
      <c r="C113">
        <v>33</v>
      </c>
      <c r="D113" t="s">
        <v>286</v>
      </c>
      <c r="E113" s="4">
        <v>79866</v>
      </c>
      <c r="F113" s="4">
        <v>3327.7</v>
      </c>
      <c r="G113">
        <v>763.8</v>
      </c>
      <c r="H113" s="4">
        <v>4091</v>
      </c>
      <c r="I113">
        <v>0</v>
      </c>
      <c r="J113" s="4">
        <v>76538.820000000007</v>
      </c>
      <c r="K113" s="4">
        <v>76538.820000000007</v>
      </c>
    </row>
    <row r="114" spans="3:11" x14ac:dyDescent="0.25">
      <c r="C114">
        <v>34</v>
      </c>
      <c r="D114" t="s">
        <v>304</v>
      </c>
      <c r="E114" s="4">
        <v>76538</v>
      </c>
      <c r="F114" s="4">
        <v>3327.7</v>
      </c>
      <c r="G114">
        <v>709.6</v>
      </c>
      <c r="H114" s="4">
        <v>4037</v>
      </c>
      <c r="I114">
        <v>0</v>
      </c>
      <c r="J114" s="4">
        <v>73211.039999999994</v>
      </c>
      <c r="K114" s="4">
        <v>73211.039999999994</v>
      </c>
    </row>
    <row r="115" spans="3:11" x14ac:dyDescent="0.25">
      <c r="C115">
        <v>35</v>
      </c>
      <c r="D115" t="s">
        <v>288</v>
      </c>
      <c r="E115" s="4">
        <v>73211</v>
      </c>
      <c r="F115" s="4">
        <v>3327.7</v>
      </c>
      <c r="G115">
        <v>657.6</v>
      </c>
      <c r="H115" s="4">
        <v>3985</v>
      </c>
      <c r="I115">
        <v>0</v>
      </c>
      <c r="J115" s="4">
        <v>69883.259999999995</v>
      </c>
      <c r="K115" s="4">
        <v>69883.259999999995</v>
      </c>
    </row>
    <row r="116" spans="3:11" x14ac:dyDescent="0.25">
      <c r="C116">
        <v>37</v>
      </c>
      <c r="D116" t="s">
        <v>305</v>
      </c>
      <c r="E116" s="4">
        <v>66555</v>
      </c>
      <c r="F116" s="4">
        <v>3327.7</v>
      </c>
      <c r="G116">
        <v>636.5</v>
      </c>
      <c r="H116" s="4">
        <v>3964</v>
      </c>
      <c r="I116">
        <v>0</v>
      </c>
      <c r="J116" s="4">
        <v>63227.7</v>
      </c>
      <c r="K116" s="4">
        <v>63227.7</v>
      </c>
    </row>
    <row r="117" spans="3:11" x14ac:dyDescent="0.25">
      <c r="C117">
        <v>38</v>
      </c>
      <c r="D117" t="s">
        <v>303</v>
      </c>
      <c r="E117" s="4">
        <v>63227</v>
      </c>
      <c r="F117" s="4">
        <v>3327.7</v>
      </c>
      <c r="G117">
        <v>586.20000000000005</v>
      </c>
      <c r="H117" s="4">
        <v>3914</v>
      </c>
      <c r="I117">
        <v>0</v>
      </c>
      <c r="J117" s="4">
        <v>59899.92</v>
      </c>
      <c r="K117" s="4">
        <v>59899.92</v>
      </c>
    </row>
    <row r="118" spans="3:11" x14ac:dyDescent="0.25">
      <c r="C118">
        <v>39</v>
      </c>
      <c r="D118" t="s">
        <v>289</v>
      </c>
      <c r="E118" s="4">
        <v>59899</v>
      </c>
      <c r="F118" s="4">
        <v>3327.7</v>
      </c>
      <c r="G118">
        <v>555.29999999999995</v>
      </c>
      <c r="H118" s="4">
        <v>3883</v>
      </c>
      <c r="I118">
        <v>0</v>
      </c>
      <c r="J118" s="4">
        <v>56572.14</v>
      </c>
      <c r="K118" s="4">
        <v>56572.14</v>
      </c>
    </row>
    <row r="119" spans="3:11" x14ac:dyDescent="0.25">
      <c r="C119">
        <v>40</v>
      </c>
      <c r="D119" t="s">
        <v>290</v>
      </c>
      <c r="E119" s="4">
        <v>56572</v>
      </c>
      <c r="F119" s="4">
        <v>3327.7</v>
      </c>
      <c r="G119">
        <v>508.1</v>
      </c>
      <c r="H119" s="4">
        <v>3835</v>
      </c>
      <c r="I119">
        <v>0</v>
      </c>
      <c r="J119" s="4">
        <v>53244.36</v>
      </c>
      <c r="K119" s="4">
        <v>53244.36</v>
      </c>
    </row>
    <row r="120" spans="3:11" x14ac:dyDescent="0.25">
      <c r="C120">
        <v>41</v>
      </c>
      <c r="D120" t="s">
        <v>306</v>
      </c>
      <c r="E120" s="4">
        <v>53244</v>
      </c>
      <c r="F120" s="4">
        <v>3327.7</v>
      </c>
      <c r="G120">
        <v>493.6</v>
      </c>
      <c r="H120" s="4">
        <v>3821</v>
      </c>
      <c r="I120">
        <v>0</v>
      </c>
      <c r="J120" s="4">
        <v>49916.58</v>
      </c>
      <c r="K120" s="4">
        <v>49916.58</v>
      </c>
    </row>
    <row r="121" spans="3:11" x14ac:dyDescent="0.25">
      <c r="C121">
        <v>43</v>
      </c>
      <c r="D121" t="s">
        <v>293</v>
      </c>
      <c r="E121" s="4">
        <v>46588</v>
      </c>
      <c r="F121" s="4">
        <v>3327.7</v>
      </c>
      <c r="G121">
        <v>431.9</v>
      </c>
      <c r="H121" s="4">
        <v>3759</v>
      </c>
      <c r="I121">
        <v>0</v>
      </c>
      <c r="J121" s="4">
        <v>43261.02</v>
      </c>
      <c r="K121" s="4">
        <v>43261.02</v>
      </c>
    </row>
    <row r="122" spans="3:11" x14ac:dyDescent="0.25">
      <c r="C122">
        <v>44</v>
      </c>
      <c r="D122" t="s">
        <v>294</v>
      </c>
      <c r="E122" s="4">
        <v>43261</v>
      </c>
      <c r="F122" s="4">
        <v>3327.7</v>
      </c>
      <c r="G122">
        <v>363.4</v>
      </c>
      <c r="H122" s="4">
        <v>3691</v>
      </c>
      <c r="I122">
        <v>0</v>
      </c>
      <c r="J122" s="4">
        <v>39933.24</v>
      </c>
      <c r="K122" s="4">
        <v>39933.24</v>
      </c>
    </row>
    <row r="123" spans="3:11" x14ac:dyDescent="0.25">
      <c r="C123">
        <v>45</v>
      </c>
      <c r="D123" t="s">
        <v>307</v>
      </c>
      <c r="E123" s="4">
        <v>39933</v>
      </c>
      <c r="F123" s="4">
        <v>3327.7</v>
      </c>
      <c r="G123">
        <v>393.5</v>
      </c>
      <c r="H123" s="4">
        <v>3721</v>
      </c>
      <c r="I123">
        <v>0</v>
      </c>
      <c r="J123" s="4">
        <v>36605.46</v>
      </c>
      <c r="K123" s="4">
        <v>36605.46</v>
      </c>
    </row>
    <row r="124" spans="3:11" x14ac:dyDescent="0.25">
      <c r="C124">
        <v>46</v>
      </c>
      <c r="D124" t="s">
        <v>308</v>
      </c>
      <c r="E124" s="4">
        <v>36605</v>
      </c>
      <c r="F124" s="4">
        <v>3327.7</v>
      </c>
      <c r="G124">
        <v>318.10000000000002</v>
      </c>
      <c r="H124" s="4">
        <v>3645</v>
      </c>
      <c r="I124">
        <v>0</v>
      </c>
      <c r="J124" s="4">
        <v>33277.68</v>
      </c>
      <c r="K124" s="4">
        <v>33277.68</v>
      </c>
    </row>
    <row r="125" spans="3:11" x14ac:dyDescent="0.25">
      <c r="C125">
        <v>47</v>
      </c>
      <c r="D125" t="s">
        <v>288</v>
      </c>
      <c r="E125" s="4">
        <v>33277</v>
      </c>
      <c r="F125" s="4">
        <v>3327.7</v>
      </c>
      <c r="G125">
        <v>318.2</v>
      </c>
      <c r="H125" s="4">
        <v>3646</v>
      </c>
      <c r="I125">
        <v>0</v>
      </c>
      <c r="J125" s="4">
        <v>29949.9</v>
      </c>
      <c r="K125" s="4">
        <v>29949.9</v>
      </c>
    </row>
    <row r="126" spans="3:11" x14ac:dyDescent="0.25">
      <c r="C126">
        <v>48</v>
      </c>
      <c r="D126" t="s">
        <v>296</v>
      </c>
      <c r="E126" s="4">
        <v>29949</v>
      </c>
      <c r="F126" s="4">
        <v>3327.7</v>
      </c>
      <c r="G126">
        <v>277.7</v>
      </c>
      <c r="H126" s="4">
        <v>3605</v>
      </c>
      <c r="I126">
        <v>0</v>
      </c>
      <c r="J126" s="4">
        <v>26622.12</v>
      </c>
      <c r="K126" s="4">
        <v>26622.12</v>
      </c>
    </row>
    <row r="127" spans="3:11" x14ac:dyDescent="0.25">
      <c r="C127">
        <v>50</v>
      </c>
      <c r="D127" t="s">
        <v>303</v>
      </c>
      <c r="E127" s="4">
        <v>23294</v>
      </c>
      <c r="F127" s="4">
        <v>3327.7</v>
      </c>
      <c r="G127">
        <v>222.7</v>
      </c>
      <c r="H127" s="4">
        <v>3550</v>
      </c>
      <c r="I127">
        <v>0</v>
      </c>
      <c r="J127" s="4">
        <v>19966.560000000001</v>
      </c>
      <c r="K127" s="4">
        <v>19966.560000000001</v>
      </c>
    </row>
    <row r="128" spans="3:11" x14ac:dyDescent="0.25">
      <c r="C128">
        <v>51</v>
      </c>
      <c r="D128" t="s">
        <v>309</v>
      </c>
      <c r="E128" s="4">
        <v>19966</v>
      </c>
      <c r="F128" s="4">
        <v>3327.7</v>
      </c>
      <c r="G128">
        <v>185.1</v>
      </c>
      <c r="H128" s="4">
        <v>3512</v>
      </c>
      <c r="I128">
        <v>0</v>
      </c>
      <c r="J128" s="4">
        <v>16638.78</v>
      </c>
      <c r="K128" s="4">
        <v>16638.78</v>
      </c>
    </row>
    <row r="129" spans="3:11" x14ac:dyDescent="0.25">
      <c r="C129">
        <v>52</v>
      </c>
      <c r="D129" t="s">
        <v>290</v>
      </c>
      <c r="E129" s="4">
        <v>16638</v>
      </c>
      <c r="F129" s="4">
        <v>3327.7</v>
      </c>
      <c r="G129">
        <v>149.4</v>
      </c>
      <c r="H129" s="4">
        <v>3477</v>
      </c>
      <c r="I129">
        <v>0</v>
      </c>
      <c r="J129" s="4">
        <v>13311</v>
      </c>
      <c r="K129" s="4">
        <v>13311</v>
      </c>
    </row>
    <row r="130" spans="3:11" x14ac:dyDescent="0.25">
      <c r="C130">
        <v>53</v>
      </c>
      <c r="D130" t="s">
        <v>306</v>
      </c>
      <c r="E130" s="4">
        <v>13311</v>
      </c>
      <c r="F130" s="4">
        <v>3327.7</v>
      </c>
      <c r="G130">
        <v>123.4</v>
      </c>
      <c r="H130" s="4">
        <v>3451</v>
      </c>
      <c r="I130">
        <v>0</v>
      </c>
      <c r="J130" s="4">
        <v>9983.2199999999993</v>
      </c>
      <c r="K130" s="4">
        <v>9983.2199999999993</v>
      </c>
    </row>
    <row r="131" spans="3:11" x14ac:dyDescent="0.25">
      <c r="C131">
        <v>54</v>
      </c>
      <c r="D131" t="s">
        <v>310</v>
      </c>
      <c r="E131" s="4">
        <v>9983</v>
      </c>
      <c r="F131" s="4">
        <v>3327.7</v>
      </c>
      <c r="G131">
        <v>95.4</v>
      </c>
      <c r="H131" s="4">
        <v>3423</v>
      </c>
      <c r="I131">
        <v>0</v>
      </c>
      <c r="J131" s="4">
        <v>6655.44</v>
      </c>
      <c r="K131" s="4">
        <v>6655.44</v>
      </c>
    </row>
    <row r="132" spans="3:11" x14ac:dyDescent="0.25">
      <c r="C132">
        <v>55</v>
      </c>
      <c r="D132" t="s">
        <v>293</v>
      </c>
      <c r="E132" s="4">
        <v>6655</v>
      </c>
      <c r="F132" s="4">
        <v>3327.7</v>
      </c>
      <c r="G132">
        <v>63.6</v>
      </c>
      <c r="H132" s="4">
        <v>3391</v>
      </c>
      <c r="I132">
        <v>0</v>
      </c>
      <c r="J132" s="4">
        <v>3327.66</v>
      </c>
      <c r="K132" s="4">
        <v>3327.66</v>
      </c>
    </row>
  </sheetData>
  <mergeCells count="1">
    <mergeCell ref="G10:I10"/>
  </mergeCells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9</vt:i4>
      </vt:variant>
    </vt:vector>
  </HeadingPairs>
  <TitlesOfParts>
    <vt:vector size="9" baseType="lpstr">
      <vt:lpstr>Dados</vt:lpstr>
      <vt:lpstr>Cashflow</vt:lpstr>
      <vt:lpstr>Financ </vt:lpstr>
      <vt:lpstr>Receita</vt:lpstr>
      <vt:lpstr>Tributos</vt:lpstr>
      <vt:lpstr>Seguros-Rastreamento</vt:lpstr>
      <vt:lpstr>Manutenção</vt:lpstr>
      <vt:lpstr>Licenciamento</vt:lpstr>
      <vt:lpstr>Sheet1</vt:lpstr>
    </vt:vector>
  </TitlesOfParts>
  <Manager/>
  <Company>VSI Transportes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Pedro Augusto Roso Pelosini</dc:creator>
  <cp:keywords/>
  <dc:description/>
  <cp:lastModifiedBy>Samuel Fernandes</cp:lastModifiedBy>
  <cp:revision/>
  <dcterms:created xsi:type="dcterms:W3CDTF">2014-07-29T11:47:19Z</dcterms:created>
  <dcterms:modified xsi:type="dcterms:W3CDTF">2026-07-17T00:58:54Z</dcterms:modified>
  <cp:category/>
  <cp:contentStatus/>
</cp:coreProperties>
</file>