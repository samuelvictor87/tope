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500" windowWidth="18260" windowHeight="19580"/>
  </bookViews>
  <sheets>
    <sheet sheetId="1" name="Sheet1" state="visible" r:id="rId4"/>
    <sheet sheetId="2" name="Sheet2" state="visible" r:id="rId5"/>
  </sheets>
  <definedNames>
    <definedName name="_xlnm.Print_Area" localSheetId="0">'Sheet1'!$A1:$L56</definedName>
  </definedNames>
  <calcPr calcId="171027"/>
</workbook>
</file>

<file path=xl/sharedStrings.xml><?xml version="1.0" encoding="utf-8"?>
<sst xmlns="http://schemas.openxmlformats.org/spreadsheetml/2006/main" count="157" uniqueCount="34">
  <si>
    <t xml:space="preserve">PROPOSTA COMERCIAL - LOCAÇÃO DE EQUIPAMENTOS </t>
  </si>
  <si>
    <t>Cliente: Loga – Logística Ambiental de São Paulo</t>
  </si>
  <si>
    <t>09 de Maio de 2024</t>
  </si>
  <si>
    <t>3/4 COM BAÚ 6.2M (1 UNIDADE)</t>
  </si>
  <si>
    <t>NOVO VOLKSWAGEN DELIVERY EXPRESS (EURO VI) 0KM 24/25 EQUIPADO COM BAÚ SEMI-TÉRMICO COM 4300MM COMPRIMENTO E QUADRO TRASEIRO EM INOX PARA RSS (34 UNIDADES)</t>
  </si>
  <si>
    <t>Emplacamento / IPVA / Licenciamento</t>
  </si>
  <si>
    <t>Pneus, Manutenção, Seguro e Combustível</t>
  </si>
  <si>
    <t>Prazo (meses)</t>
  </si>
  <si>
    <t>VW SERVICE GUARD GPRS</t>
  </si>
  <si>
    <t>Limite Rodagem***</t>
  </si>
  <si>
    <t>PRAZO CONTRATO</t>
  </si>
  <si>
    <t>VALOR MENSAL LOCAÇÃO + VOLKSTOTAL MAX (A SOMAR)****</t>
  </si>
  <si>
    <t>Crédito PIS/COFINS (9,25%)*</t>
  </si>
  <si>
    <t>Dedução IRPJ/CSLL (34%)*</t>
  </si>
  <si>
    <t>Valor Líquido Locação Após aproveitamentos (valor mensal - deduções/créditos)*</t>
  </si>
  <si>
    <t>SIM</t>
  </si>
  <si>
    <t>LOCATÁRIA</t>
  </si>
  <si>
    <t>NÃO</t>
  </si>
  <si>
    <t>24 MESES</t>
  </si>
  <si>
    <t/>
  </si>
  <si>
    <t>36 MESES</t>
  </si>
  <si>
    <t>FURGÃO BAÚ (2 UNIDADES)</t>
  </si>
  <si>
    <t>CONDIÇÕES GERAIS DA PROPOSTA</t>
  </si>
  <si>
    <t>IPVA E DOCUMENTAÇÃO INCLUSOS</t>
  </si>
  <si>
    <t>IMPOSTOS INCLUSOS</t>
  </si>
  <si>
    <t>FORMA DE PAGAMENTO LOCAÇÃO: 30 (trinta) dias do envio da fatura</t>
  </si>
  <si>
    <t>LOCAL DE RETIRADA GRANDE/SP</t>
  </si>
  <si>
    <t>VALIDADE DA PROPOSTA:10 DIAS</t>
  </si>
  <si>
    <t>TOPE PARTICIPAÇÕES LTDA</t>
  </si>
  <si>
    <t>DISPONIBILIDADE: CHASSIS DE IMEDIATO / PENDENTE IMPLEMENTAÇÃO</t>
  </si>
  <si>
    <t>Índice de Reajuste Locação e Gestão de Operação: IPCA/IBGE – aplicável a cada 12 (doze) meses</t>
  </si>
  <si>
    <t>Uma empresa do GRUPO DIBRACAM</t>
  </si>
  <si>
    <t>Rescisão antecipada: devolução do bem e incidência de multa de 50% sobre as parcelas vincendas</t>
  </si>
  <si>
    <t>*Ilustração de Dedução POSSIVELMENTE aplicáveis a despesa de locação para empresas enquadradas no Regime de Lucro Real - valide com sua área contábil/fiscal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</si>
</sst>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u/>
      <color theme="1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8"/>
      <name val="Calibri"/>
    </font>
    <font>
      <b/>
      <color rgb="FF000000"/>
      <family val="2"/>
      <scheme val="minor"/>
      <sz val="18"/>
      <name val="Calibri"/>
    </font>
    <font>
      <color theme="1"/>
      <family val="2"/>
      <scheme val="minor"/>
      <sz val="18"/>
      <name val="Calibri"/>
    </font>
    <font>
      <color theme="1"/>
      <family val="2"/>
      <scheme val="minor"/>
      <sz val="16"/>
      <name val="Calibri"/>
    </font>
    <font>
      <b/>
      <color theme="1"/>
      <family val="2"/>
      <scheme val="minor"/>
      <sz val="16"/>
      <name val="Calibri"/>
    </font>
    <font>
      <color rgb="FF000000"/>
      <family val="2"/>
      <scheme val="minor"/>
      <sz val="18"/>
      <name val="Calibri"/>
    </font>
    <font>
      <color rgb="FF000000"/>
      <family val="1"/>
      <sz val="14"/>
      <name val="Cambria"/>
    </font>
  </fonts>
  <fills count="8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0</xdr:row>
      <xdr:rowOff>0</xdr:rowOff>
    </xdr:from>
    <xdr:to>
      <xdr:col>0</xdr:col>
      <xdr:colOff>4086469</xdr:colOff>
      <xdr:row>6</xdr:row>
      <xdr:rowOff>179873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688735</xdr:colOff>
      <xdr:row>47</xdr:row>
      <xdr:rowOff>37746</xdr:rowOff>
    </xdr:from>
    <xdr:to>
      <xdr:col>7</xdr:col>
      <xdr:colOff>668565</xdr:colOff>
      <xdr:row>55</xdr:row>
      <xdr:rowOff>113945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561733</xdr:colOff>
      <xdr:row>11</xdr:row>
      <xdr:rowOff>194732</xdr:rowOff>
    </xdr:from>
    <xdr:to>
      <xdr:col>11</xdr:col>
      <xdr:colOff>31589</xdr:colOff>
      <xdr:row>14</xdr:row>
      <xdr:rowOff>25398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42</xdr:row>
      <xdr:rowOff>72319</xdr:rowOff>
    </xdr:from>
    <xdr:to>
      <xdr:col>6</xdr:col>
      <xdr:colOff>681126</xdr:colOff>
      <xdr:row>46</xdr:row>
      <xdr:rowOff>48581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1556314</xdr:colOff>
      <xdr:row>21</xdr:row>
      <xdr:rowOff>16067</xdr:rowOff>
    </xdr:from>
    <xdr:ext cx="1895475" cy="61893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1556314</xdr:colOff>
      <xdr:row>16</xdr:row>
      <xdr:rowOff>16067</xdr:rowOff>
    </xdr:from>
    <xdr:ext cx="1895475" cy="61893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 showGridLines="0" zoomScale="60" zoomScaleNormal="60" view="pageBreakPreview">
      <selection activeCell="A22" sqref="A22"/>
    </sheetView>
  </sheetViews>
  <sheetFormatPr defaultRowHeight="16" outlineLevelRow="0" outlineLevelCol="0" x14ac:dyDescent="0" defaultColWidth="11" customHeight="1"/>
  <cols>
    <col min="1" max="1" width="69.83203125" customWidth="1"/>
    <col min="2" max="2" width="20.33203125" customWidth="1"/>
    <col min="3" max="3" width="19.83203125" customWidth="1"/>
    <col min="4" max="4" width="11.33203125" hidden="1" customWidth="1"/>
    <col min="5" max="5" width="1.1640625" hidden="1" customWidth="1"/>
    <col min="6" max="6" width="12.6640625" customWidth="1"/>
    <col min="7" max="7" width="17" customWidth="1"/>
    <col min="8" max="8" width="22.1640625" customWidth="1"/>
    <col min="9" max="9" width="18.6640625" customWidth="1"/>
    <col min="10" max="10" width="18.33203125" customWidth="1"/>
    <col min="11" max="11" width="29.1640625" customWidth="1"/>
    <col min="13" max="13" width="11" customWidth="1"/>
  </cols>
  <sheetData>
    <row r="1" spans="1:1" x14ac:dyDescent="0.25">
      <c r="A1" s="1"/>
    </row>
    <row r="10" ht="19" customHeight="1" spans="1:11" x14ac:dyDescent="0.25">
      <c r="A10" s="2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9" customHeight="1" spans="1:1" x14ac:dyDescent="0.25">
      <c r="A11" s="3" t="s">
        <v>1</v>
      </c>
    </row>
    <row r="12" ht="19" customHeight="1" spans="1:3" x14ac:dyDescent="0.25">
      <c r="A12" s="3" t="s">
        <v>2</v>
      </c>
      <c r="C12" s="4"/>
    </row>
    <row r="13" ht="19" customHeight="1" spans="1:1" x14ac:dyDescent="0.25">
      <c r="A13" s="3"/>
    </row>
    <row r="14" ht="19" customHeight="1" spans="1:1" x14ac:dyDescent="0.25">
      <c r="A14" s="3"/>
    </row>
    <row r="15" ht="51" customHeight="1" spans="1:11" x14ac:dyDescent="0.25">
      <c r="A15" s="5" t="s">
        <v>3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16" customHeight="1" spans="1:11" x14ac:dyDescent="0.25">
      <c r="A16" s="6" t="s">
        <v>4</v>
      </c>
      <c r="B16" s="7" t="s">
        <v>5</v>
      </c>
      <c r="C16" s="7" t="s">
        <v>6</v>
      </c>
      <c r="D16" s="8" t="s">
        <v>7</v>
      </c>
      <c r="E16" s="9" t="s">
        <v>8</v>
      </c>
      <c r="F16" s="9" t="s">
        <v>9</v>
      </c>
      <c r="G16" s="10" t="s">
        <v>10</v>
      </c>
      <c r="H16" s="11" t="s">
        <v>11</v>
      </c>
      <c r="I16" s="12" t="s">
        <v>12</v>
      </c>
      <c r="J16" s="12" t="s">
        <v>13</v>
      </c>
      <c r="K16" s="11" t="s">
        <v>14</v>
      </c>
    </row>
    <row r="17" ht="55" customHeight="1" spans="1:11" x14ac:dyDescent="0.25">
      <c r="A17" s="13"/>
      <c r="B17" s="14" t="s">
        <v>15</v>
      </c>
      <c r="C17" s="15" t="s">
        <v>16</v>
      </c>
      <c r="D17" s="16">
        <v>24</v>
      </c>
      <c r="E17" s="17" t="s">
        <v>17</v>
      </c>
      <c r="F17" s="18">
        <v>5000</v>
      </c>
      <c r="G17" s="19" t="s">
        <v>18</v>
      </c>
      <c r="H17" s="20">
        <v>11165.05</v>
      </c>
      <c r="I17" s="21">
        <f>H17*9.25%</f>
      </c>
      <c r="J17" s="21">
        <f>H17*34%</f>
      </c>
      <c r="K17" s="20">
        <f>H17-I17-J17</f>
      </c>
    </row>
    <row r="18" ht="55" customHeight="1" spans="1:11" x14ac:dyDescent="0.25">
      <c r="A18" s="13"/>
      <c r="B18" s="14" t="s">
        <v>19</v>
      </c>
      <c r="C18" s="15" t="s">
        <v>19</v>
      </c>
      <c r="D18" s="16" t="s">
        <v>19</v>
      </c>
      <c r="E18" s="17" t="s">
        <v>19</v>
      </c>
      <c r="F18" s="18" t="s">
        <v>19</v>
      </c>
      <c r="G18" s="19" t="s">
        <v>20</v>
      </c>
      <c r="H18" s="20">
        <v>9332.1</v>
      </c>
      <c r="I18" s="21">
        <f>H18*9.25%</f>
      </c>
      <c r="J18" s="21">
        <f>H18*34%</f>
      </c>
      <c r="K18" s="20">
        <f>H18-I18-J18</f>
      </c>
    </row>
    <row r="20" ht="51" customHeight="1" spans="1:11" x14ac:dyDescent="0.25">
      <c r="A20" s="5" t="s">
        <v>21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16" customHeight="1" spans="1:11" x14ac:dyDescent="0.25">
      <c r="A21" s="6" t="s">
        <v>4</v>
      </c>
      <c r="B21" s="7" t="s">
        <v>5</v>
      </c>
      <c r="C21" s="7" t="s">
        <v>6</v>
      </c>
      <c r="D21" s="8" t="s">
        <v>7</v>
      </c>
      <c r="E21" s="9" t="s">
        <v>8</v>
      </c>
      <c r="F21" s="9" t="s">
        <v>9</v>
      </c>
      <c r="G21" s="10" t="s">
        <v>10</v>
      </c>
      <c r="H21" s="11" t="s">
        <v>11</v>
      </c>
      <c r="I21" s="12" t="s">
        <v>12</v>
      </c>
      <c r="J21" s="12" t="s">
        <v>13</v>
      </c>
      <c r="K21" s="11" t="s">
        <v>14</v>
      </c>
    </row>
    <row r="22" ht="55" customHeight="1" spans="1:11" x14ac:dyDescent="0.25">
      <c r="A22" s="13"/>
      <c r="B22" s="14" t="s">
        <v>15</v>
      </c>
      <c r="C22" s="15" t="s">
        <v>16</v>
      </c>
      <c r="D22" s="16">
        <v>24</v>
      </c>
      <c r="E22" s="17" t="s">
        <v>17</v>
      </c>
      <c r="F22" s="18">
        <v>5000</v>
      </c>
      <c r="G22" s="19" t="s">
        <v>18</v>
      </c>
      <c r="H22" s="20">
        <v>12333.05</v>
      </c>
      <c r="I22" s="21">
        <f>H22*9.25%</f>
      </c>
      <c r="J22" s="21">
        <f>H22*34%</f>
      </c>
      <c r="K22" s="20">
        <f>H22-I22-J22</f>
      </c>
    </row>
    <row r="23" ht="55" customHeight="1" spans="1:11" x14ac:dyDescent="0.25">
      <c r="A23" s="13"/>
      <c r="B23" s="14" t="s">
        <v>19</v>
      </c>
      <c r="C23" s="15" t="s">
        <v>19</v>
      </c>
      <c r="D23" s="16" t="s">
        <v>19</v>
      </c>
      <c r="E23" s="17" t="s">
        <v>19</v>
      </c>
      <c r="F23" s="18" t="s">
        <v>19</v>
      </c>
      <c r="G23" s="19" t="s">
        <v>20</v>
      </c>
      <c r="H23" s="20">
        <v>10308.41</v>
      </c>
      <c r="I23" s="21">
        <f>H23*9.25%</f>
      </c>
      <c r="J23" s="21">
        <f>H23*34%</f>
      </c>
      <c r="K23" s="20">
        <f>H23-I23-J23</f>
      </c>
    </row>
    <row r="25" spans="1:11" x14ac:dyDescent="0.25">
      <c r="A25" t="s">
        <v>22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</row>
    <row r="26" spans="1:11" x14ac:dyDescent="0.25">
      <c r="A26" t="s">
        <v>23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</row>
    <row r="27" spans="1:11" x14ac:dyDescent="0.25">
      <c r="A27" t="s">
        <v>24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</row>
    <row r="28" spans="1:11" x14ac:dyDescent="0.25">
      <c r="A28" t="s">
        <v>25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</row>
    <row r="29" spans="1:11" x14ac:dyDescent="0.25">
      <c r="A29" t="s">
        <v>26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</row>
    <row r="30" spans="1:11" x14ac:dyDescent="0.25">
      <c r="A30" t="s">
        <v>27</v>
      </c>
      <c r="B30" t="s">
        <v>19</v>
      </c>
      <c r="C30" t="s">
        <v>19</v>
      </c>
      <c r="D30" t="s">
        <v>19</v>
      </c>
      <c r="E30" t="s">
        <v>28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</row>
    <row r="31" spans="1:11" x14ac:dyDescent="0.25">
      <c r="A31" t="s">
        <v>29</v>
      </c>
      <c r="B31" t="s">
        <v>19</v>
      </c>
      <c r="C31" t="s">
        <v>19</v>
      </c>
      <c r="D31" t="s">
        <v>19</v>
      </c>
      <c r="E31" t="s">
        <v>28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</row>
    <row r="32" spans="1:11" x14ac:dyDescent="0.25">
      <c r="A32" t="s">
        <v>30</v>
      </c>
      <c r="B32" t="s">
        <v>19</v>
      </c>
      <c r="C32" t="s">
        <v>19</v>
      </c>
      <c r="D32" t="s">
        <v>19</v>
      </c>
      <c r="E32" t="s">
        <v>31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</row>
    <row r="33" spans="1:11" x14ac:dyDescent="0.25">
      <c r="A33" t="s">
        <v>32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</row>
    <row r="34" spans="1:11" x14ac:dyDescent="0.25">
      <c r="A34" t="s">
        <v>33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</row>
  </sheetData>
  <mergeCells count="3">
    <mergeCell ref="A10:K10"/>
    <mergeCell ref="A15:K15"/>
    <mergeCell ref="A20:K20"/>
  </mergeCells>
  <pageMargins left="0.25" right="0.25" top="0.75" bottom="0.75" header="0.3" footer="0.3"/>
  <pageSetup paperSize="9" orientation="portrait" horizontalDpi="4294967292" verticalDpi="4294967292" scale="38" fitToWidth="1" fitToHeight="2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L16"/>
  <sheetViews>
    <sheetView workbookViewId="0" zoomScale="100" zoomScaleNormal="100">
      <selection activeCell="C7" sqref="C7"/>
    </sheetView>
  </sheetViews>
  <sheetFormatPr defaultRowHeight="16" outlineLevelRow="0" outlineLevelCol="0" x14ac:dyDescent="0" customHeight="1"/>
  <sheetData>
    <row r="8" ht="15" customHeight="1" spans="10:12" x14ac:dyDescent="0.25">
      <c r="J8" s="22"/>
      <c r="K8" s="22"/>
      <c r="L8" s="22"/>
    </row>
    <row r="9" ht="15" customHeight="1" spans="10:12" x14ac:dyDescent="0.25">
      <c r="J9" s="22"/>
      <c r="K9" s="22"/>
      <c r="L9" s="22"/>
    </row>
    <row r="10" ht="15" customHeight="1" spans="10:12" x14ac:dyDescent="0.25">
      <c r="J10" s="22"/>
      <c r="K10" s="22"/>
      <c r="L10" s="22"/>
    </row>
    <row r="11" ht="15" customHeight="1" spans="10:12" x14ac:dyDescent="0.25">
      <c r="J11" s="22"/>
      <c r="K11" s="22"/>
      <c r="L11" s="22"/>
    </row>
    <row r="12" ht="15" customHeight="1" spans="10:12" x14ac:dyDescent="0.25">
      <c r="J12" s="22"/>
      <c r="K12" s="22"/>
      <c r="L12" s="22"/>
    </row>
    <row r="13" ht="15" customHeight="1" spans="10:12" x14ac:dyDescent="0.25">
      <c r="J13" s="22"/>
      <c r="K13" s="22"/>
      <c r="L13" s="22"/>
    </row>
    <row r="14" ht="15" customHeight="1" spans="10:12" x14ac:dyDescent="0.25">
      <c r="J14" s="22"/>
      <c r="K14" s="22"/>
      <c r="L14" s="22"/>
    </row>
    <row r="15" ht="15" customHeight="1" spans="3:12" x14ac:dyDescent="0.25"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ht="15" customHeight="1" spans="3:12" x14ac:dyDescent="0.25">
      <c r="C16" s="22"/>
      <c r="D16" s="22"/>
      <c r="E16" s="22"/>
      <c r="F16" s="22"/>
      <c r="G16" s="22"/>
      <c r="H16" s="22"/>
      <c r="I16" s="22"/>
      <c r="J16" s="22"/>
      <c r="K16" s="22"/>
      <c r="L16" s="22"/>
    </row>
  </sheetData>
  <pageMargins left="0.75" right="0.75" top="1" bottom="1" header="0.5" footer="0.5"/>
  <pageSetup paperSize="9" orientation="portrait" horizontalDpi="4294967292" verticalDpi="4294967292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VSI Transportes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Augusto Roso Pelosini</dc:creator>
  <cp:lastModifiedBy>Pedro Augusto R. Pelosini</cp:lastModifiedBy>
  <cp:lastPrinted>2024-05-09T18:51:37Z</cp:lastPrinted>
  <dcterms:created xsi:type="dcterms:W3CDTF">2017-03-24T15:09:18Z</dcterms:created>
  <dcterms:modified xsi:type="dcterms:W3CDTF">2024-05-09T18:51:38Z</dcterms:modified>
</cp:coreProperties>
</file>