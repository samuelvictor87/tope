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6FE1A2D9-3BFA-44ED-980C-5DAB6E5436CD}" xr6:coauthVersionLast="47" xr6:coauthVersionMax="47" xr10:uidLastSave="{00000000-0000-0000-0000-000000000000}"/>
  <bookViews>
    <workbookView xWindow="11568" yWindow="12984" windowWidth="23256" windowHeight="12456" tabRatio="806" firstSheet="1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1" i="14" l="1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C41" i="14"/>
  <c r="T15" i="42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K28" i="42"/>
  <c r="K54" i="42" s="1"/>
  <c r="I8" i="42"/>
  <c r="J8" i="42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C88" i="14"/>
  <c r="I11" i="42" s="1"/>
  <c r="D88" i="14"/>
  <c r="J11" i="42" s="1"/>
  <c r="E88" i="14"/>
  <c r="K11" i="42" s="1"/>
  <c r="F88" i="14"/>
  <c r="L11" i="42" s="1"/>
  <c r="G88" i="14"/>
  <c r="M11" i="42" s="1"/>
  <c r="AA88" i="14"/>
  <c r="AG11" i="42" s="1"/>
  <c r="AF88" i="14"/>
  <c r="E9" i="43"/>
  <c r="E11" i="43"/>
  <c r="K15" i="42"/>
  <c r="E4" i="7"/>
  <c r="K16" i="42" s="1"/>
  <c r="G12" i="7"/>
  <c r="J17" i="42" s="1"/>
  <c r="B32" i="8"/>
  <c r="J36" i="8" s="1"/>
  <c r="AH18" i="42" s="1"/>
  <c r="L15" i="42"/>
  <c r="L16" i="42"/>
  <c r="L17" i="42"/>
  <c r="M15" i="42"/>
  <c r="M16" i="42"/>
  <c r="M17" i="42"/>
  <c r="N15" i="42"/>
  <c r="H55" i="14"/>
  <c r="H88" i="14" s="1"/>
  <c r="N11" i="42" s="1"/>
  <c r="O15" i="42"/>
  <c r="I55" i="14"/>
  <c r="I88" i="14" s="1"/>
  <c r="O11" i="42" s="1"/>
  <c r="P42" i="42"/>
  <c r="P15" i="42"/>
  <c r="P16" i="42"/>
  <c r="J55" i="14"/>
  <c r="J88" i="14" s="1"/>
  <c r="P11" i="42" s="1"/>
  <c r="Q42" i="42"/>
  <c r="Q15" i="42"/>
  <c r="K55" i="14"/>
  <c r="K88" i="14" s="1"/>
  <c r="Q11" i="42" s="1"/>
  <c r="R42" i="42"/>
  <c r="R15" i="42"/>
  <c r="R16" i="42"/>
  <c r="L55" i="14"/>
  <c r="L88" i="14" s="1"/>
  <c r="R11" i="42" s="1"/>
  <c r="S15" i="42"/>
  <c r="M55" i="14"/>
  <c r="M88" i="14" s="1"/>
  <c r="S11" i="42" s="1"/>
  <c r="N55" i="14"/>
  <c r="N88" i="14" s="1"/>
  <c r="T11" i="42" s="1"/>
  <c r="U42" i="42"/>
  <c r="U15" i="42"/>
  <c r="U16" i="42"/>
  <c r="O55" i="14"/>
  <c r="O88" i="14" s="1"/>
  <c r="U11" i="42" s="1"/>
  <c r="V42" i="42"/>
  <c r="V15" i="42"/>
  <c r="P55" i="14"/>
  <c r="P88" i="14" s="1"/>
  <c r="V11" i="42" s="1"/>
  <c r="W15" i="42"/>
  <c r="E5" i="7"/>
  <c r="AC16" i="42" s="1"/>
  <c r="E13" i="7"/>
  <c r="G13" i="7" s="1"/>
  <c r="Q55" i="14"/>
  <c r="Q88" i="14" s="1"/>
  <c r="W11" i="42" s="1"/>
  <c r="X15" i="42"/>
  <c r="R55" i="14"/>
  <c r="R88" i="14" s="1"/>
  <c r="X11" i="42" s="1"/>
  <c r="Y15" i="42"/>
  <c r="S55" i="14"/>
  <c r="S88" i="14" s="1"/>
  <c r="Y11" i="42" s="1"/>
  <c r="Z15" i="42"/>
  <c r="T55" i="14"/>
  <c r="T88" i="14" s="1"/>
  <c r="Z11" i="42" s="1"/>
  <c r="AA42" i="42"/>
  <c r="AA15" i="42"/>
  <c r="U55" i="14"/>
  <c r="U88" i="14" s="1"/>
  <c r="AA11" i="42" s="1"/>
  <c r="AB15" i="42"/>
  <c r="AB17" i="42"/>
  <c r="V55" i="14"/>
  <c r="V88" i="14" s="1"/>
  <c r="AB11" i="42" s="1"/>
  <c r="AC42" i="42"/>
  <c r="AC15" i="42"/>
  <c r="W55" i="14"/>
  <c r="W88" i="14" s="1"/>
  <c r="AC11" i="42" s="1"/>
  <c r="AD15" i="42"/>
  <c r="X55" i="14"/>
  <c r="X88" i="14" s="1"/>
  <c r="AD11" i="42" s="1"/>
  <c r="AD42" i="42"/>
  <c r="AE42" i="42"/>
  <c r="AE15" i="42"/>
  <c r="AE16" i="42"/>
  <c r="Y55" i="14"/>
  <c r="Y88" i="14" s="1"/>
  <c r="AE11" i="42" s="1"/>
  <c r="AF15" i="42"/>
  <c r="Z55" i="14"/>
  <c r="Z88" i="14" s="1"/>
  <c r="AF11" i="42" s="1"/>
  <c r="AG42" i="42"/>
  <c r="AG15" i="42"/>
  <c r="AG16" i="42"/>
  <c r="AA55" i="14"/>
  <c r="E14" i="7"/>
  <c r="G14" i="7" s="1"/>
  <c r="AB55" i="14"/>
  <c r="AB88" i="14" s="1"/>
  <c r="AH11" i="42" s="1"/>
  <c r="AC55" i="14"/>
  <c r="AC88" i="14" s="1"/>
  <c r="AI11" i="42" s="1"/>
  <c r="AD55" i="14"/>
  <c r="AD88" i="14" s="1"/>
  <c r="AJ11" i="42" s="1"/>
  <c r="AE55" i="14"/>
  <c r="AE88" i="14" s="1"/>
  <c r="AF55" i="14"/>
  <c r="AG55" i="14"/>
  <c r="AG88" i="14" s="1"/>
  <c r="AH55" i="14"/>
  <c r="AH88" i="14" s="1"/>
  <c r="AI55" i="14"/>
  <c r="AI88" i="14"/>
  <c r="AJ55" i="14"/>
  <c r="AJ88" i="14" s="1"/>
  <c r="AK55" i="14"/>
  <c r="AK88" i="14" s="1"/>
  <c r="AL55" i="14"/>
  <c r="AL88" i="14" s="1"/>
  <c r="AM55" i="14"/>
  <c r="AM88" i="14" s="1"/>
  <c r="AN55" i="14"/>
  <c r="AN88" i="14" s="1"/>
  <c r="AO55" i="14"/>
  <c r="AO88" i="14" s="1"/>
  <c r="AR55" i="14"/>
  <c r="AR88" i="14" s="1"/>
  <c r="AS55" i="14"/>
  <c r="AS88" i="14" s="1"/>
  <c r="AT55" i="14"/>
  <c r="AT88" i="14" s="1"/>
  <c r="AU55" i="14"/>
  <c r="AU88" i="14" s="1"/>
  <c r="AV55" i="14"/>
  <c r="AV88" i="14" s="1"/>
  <c r="AW55" i="14"/>
  <c r="AW88" i="14" s="1"/>
  <c r="AX55" i="14"/>
  <c r="AX88" i="14" s="1"/>
  <c r="AY55" i="14"/>
  <c r="AY88" i="14" s="1"/>
  <c r="AZ55" i="14"/>
  <c r="AZ88" i="14" s="1"/>
  <c r="BA55" i="14"/>
  <c r="BA88" i="14" s="1"/>
  <c r="BB55" i="14"/>
  <c r="BB88" i="14" s="1"/>
  <c r="BC55" i="14"/>
  <c r="BC88" i="14" s="1"/>
  <c r="BD55" i="14"/>
  <c r="BD88" i="14" s="1"/>
  <c r="BE55" i="14"/>
  <c r="BE88" i="14" s="1"/>
  <c r="BF55" i="14"/>
  <c r="BF88" i="14" s="1"/>
  <c r="BG55" i="14"/>
  <c r="BG88" i="14" s="1"/>
  <c r="BH55" i="14"/>
  <c r="BH88" i="14" s="1"/>
  <c r="BI55" i="14"/>
  <c r="BI88" i="14" s="1"/>
  <c r="BJ55" i="14"/>
  <c r="BJ88" i="14" s="1"/>
  <c r="BK55" i="14"/>
  <c r="BK88" i="14" s="1"/>
  <c r="BL55" i="14"/>
  <c r="BL88" i="14" s="1"/>
  <c r="AQ55" i="14"/>
  <c r="AQ88" i="14" s="1"/>
  <c r="AH15" i="42"/>
  <c r="C39" i="2"/>
  <c r="AJ15" i="42"/>
  <c r="AJ13" i="42" s="1"/>
  <c r="AJ45" i="42" s="1"/>
  <c r="AJ50" i="42"/>
  <c r="AJ51" i="42"/>
  <c r="H13" i="42"/>
  <c r="B28" i="14"/>
  <c r="B29" i="14"/>
  <c r="B78" i="14"/>
  <c r="H50" i="42"/>
  <c r="H51" i="42"/>
  <c r="H54" i="42"/>
  <c r="I50" i="42"/>
  <c r="I51" i="42"/>
  <c r="I54" i="42"/>
  <c r="J15" i="42"/>
  <c r="J13" i="42" s="1"/>
  <c r="J50" i="42"/>
  <c r="J51" i="42"/>
  <c r="J54" i="42"/>
  <c r="AI15" i="42"/>
  <c r="AI13" i="42" s="1"/>
  <c r="BM55" i="14"/>
  <c r="BM88" i="14" s="1"/>
  <c r="AI50" i="42"/>
  <c r="AI51" i="42"/>
  <c r="AI54" i="42"/>
  <c r="H70" i="42"/>
  <c r="G8" i="2"/>
  <c r="I13" i="43"/>
  <c r="I17" i="43"/>
  <c r="I18" i="43" s="1"/>
  <c r="I19" i="43" s="1"/>
  <c r="H20" i="43"/>
  <c r="I78" i="42"/>
  <c r="J78" i="42" s="1"/>
  <c r="J79" i="42" s="1"/>
  <c r="J80" i="42" s="1"/>
  <c r="H79" i="42"/>
  <c r="J71" i="42"/>
  <c r="J69" i="42"/>
  <c r="B39" i="14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B5" i="6"/>
  <c r="K9" i="42"/>
  <c r="L9" i="42"/>
  <c r="M9" i="42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 s="1"/>
  <c r="D47" i="14" s="1"/>
  <c r="E47" i="14" s="1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 s="1"/>
  <c r="E53" i="14" s="1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 s="1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 s="1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 s="1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AI36" i="42"/>
  <c r="AJ36" i="42"/>
  <c r="AJ40" i="42" s="1"/>
  <c r="AI40" i="42"/>
  <c r="AH42" i="42"/>
  <c r="AI42" i="42"/>
  <c r="AI60" i="42"/>
  <c r="D30" i="2"/>
  <c r="I42" i="42"/>
  <c r="I60" i="42" s="1"/>
  <c r="J42" i="42"/>
  <c r="K42" i="42"/>
  <c r="L42" i="42"/>
  <c r="M42" i="42"/>
  <c r="N42" i="42"/>
  <c r="O42" i="42"/>
  <c r="S42" i="42"/>
  <c r="T42" i="42"/>
  <c r="W42" i="42"/>
  <c r="X42" i="42"/>
  <c r="Y42" i="42"/>
  <c r="Z42" i="42"/>
  <c r="AB42" i="42"/>
  <c r="AF42" i="42"/>
  <c r="I36" i="42"/>
  <c r="I40" i="42" s="1"/>
  <c r="J36" i="42"/>
  <c r="J40" i="42" s="1"/>
  <c r="A36" i="2"/>
  <c r="D25" i="14"/>
  <c r="E28" i="2"/>
  <c r="C10" i="2"/>
  <c r="C20" i="2" s="1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B12" i="7"/>
  <c r="H36" i="42"/>
  <c r="H40" i="42" s="1"/>
  <c r="C51" i="14"/>
  <c r="A7" i="10"/>
  <c r="A36" i="8"/>
  <c r="H42" i="42"/>
  <c r="H60" i="42" s="1"/>
  <c r="J60" i="42"/>
  <c r="H4" i="42"/>
  <c r="A30" i="14"/>
  <c r="D33" i="14"/>
  <c r="C33" i="14"/>
  <c r="D34" i="14"/>
  <c r="D30" i="14"/>
  <c r="D32" i="14"/>
  <c r="G25" i="42"/>
  <c r="G51" i="14"/>
  <c r="I51" i="14" s="1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X69" i="14"/>
  <c r="Y69" i="14"/>
  <c r="Z69" i="14"/>
  <c r="AA69" i="14"/>
  <c r="AB69" i="14"/>
  <c r="AC69" i="14"/>
  <c r="AD69" i="14"/>
  <c r="B19" i="14"/>
  <c r="C19" i="14" s="1"/>
  <c r="D19" i="14" s="1"/>
  <c r="E19" i="14" s="1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1" i="14"/>
  <c r="C11" i="14" s="1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 s="1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X20" i="14" s="1"/>
  <c r="Y20" i="14" s="1"/>
  <c r="B17" i="14"/>
  <c r="D6" i="14"/>
  <c r="AE73" i="14"/>
  <c r="AF73" i="14" s="1"/>
  <c r="AG73" i="14" s="1"/>
  <c r="AH73" i="14" s="1"/>
  <c r="AI73" i="14" s="1"/>
  <c r="AJ73" i="14" s="1"/>
  <c r="D74" i="14"/>
  <c r="C68" i="14"/>
  <c r="D68" i="14" s="1"/>
  <c r="E68" i="14" s="1"/>
  <c r="F68" i="14" s="1"/>
  <c r="G68" i="14" s="1"/>
  <c r="H68" i="14" s="1"/>
  <c r="I68" i="14" s="1"/>
  <c r="J68" i="14" s="1"/>
  <c r="K68" i="14" s="1"/>
  <c r="L68" i="14" s="1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E29" i="12" s="1"/>
  <c r="C30" i="12"/>
  <c r="E30" i="12" s="1"/>
  <c r="C31" i="12"/>
  <c r="E31" i="12" s="1"/>
  <c r="C32" i="12"/>
  <c r="E32" i="12" s="1"/>
  <c r="C27" i="12"/>
  <c r="E27" i="12" s="1"/>
  <c r="C17" i="12"/>
  <c r="C18" i="12"/>
  <c r="F18" i="12" s="1"/>
  <c r="C19" i="12"/>
  <c r="F19" i="12" s="1"/>
  <c r="C20" i="12"/>
  <c r="C16" i="12"/>
  <c r="F16" i="12" s="1"/>
  <c r="C15" i="12"/>
  <c r="F15" i="12" s="1"/>
  <c r="E7" i="12"/>
  <c r="E8" i="12"/>
  <c r="E9" i="12"/>
  <c r="E10" i="12"/>
  <c r="D28" i="8"/>
  <c r="D27" i="8"/>
  <c r="D19" i="8"/>
  <c r="D18" i="8"/>
  <c r="B29" i="8"/>
  <c r="B20" i="8"/>
  <c r="C8" i="2"/>
  <c r="E28" i="12"/>
  <c r="E5" i="12"/>
  <c r="E6" i="12"/>
  <c r="D33" i="12"/>
  <c r="E15" i="12"/>
  <c r="E21" i="12" s="1"/>
  <c r="E16" i="12"/>
  <c r="E17" i="12"/>
  <c r="F17" i="12"/>
  <c r="E18" i="12"/>
  <c r="E19" i="12"/>
  <c r="E20" i="12"/>
  <c r="D11" i="12"/>
  <c r="C11" i="12"/>
  <c r="B8" i="8"/>
  <c r="C5" i="6"/>
  <c r="AJ59" i="42" l="1"/>
  <c r="AI45" i="42"/>
  <c r="AI59" i="42" s="1"/>
  <c r="AI63" i="42" s="1"/>
  <c r="C15" i="2"/>
  <c r="E11" i="12"/>
  <c r="AF16" i="42"/>
  <c r="F36" i="8"/>
  <c r="AG18" i="42" s="1"/>
  <c r="C21" i="12"/>
  <c r="AD16" i="42"/>
  <c r="W16" i="42"/>
  <c r="K60" i="42"/>
  <c r="H36" i="8"/>
  <c r="V16" i="42"/>
  <c r="C32" i="2"/>
  <c r="B7" i="10" s="1"/>
  <c r="I7" i="10" s="1"/>
  <c r="K7" i="10" s="1"/>
  <c r="AG14" i="42" s="1"/>
  <c r="B58" i="14"/>
  <c r="B37" i="14" s="1"/>
  <c r="D36" i="14" s="1"/>
  <c r="AD28" i="42"/>
  <c r="AD50" i="42" s="1"/>
  <c r="Q28" i="42"/>
  <c r="L28" i="42"/>
  <c r="AB28" i="42"/>
  <c r="P28" i="42"/>
  <c r="W28" i="42"/>
  <c r="AF28" i="42"/>
  <c r="AC28" i="42"/>
  <c r="N28" i="42"/>
  <c r="K51" i="42"/>
  <c r="AH28" i="42"/>
  <c r="AE28" i="42"/>
  <c r="T28" i="42"/>
  <c r="AG28" i="42"/>
  <c r="R28" i="42"/>
  <c r="O28" i="42"/>
  <c r="M28" i="42"/>
  <c r="M50" i="42" s="1"/>
  <c r="X28" i="42"/>
  <c r="U28" i="42"/>
  <c r="U54" i="42" s="1"/>
  <c r="U60" i="42" s="1"/>
  <c r="Y28" i="42"/>
  <c r="Z28" i="42"/>
  <c r="K50" i="42"/>
  <c r="S28" i="42"/>
  <c r="K36" i="42"/>
  <c r="K40" i="42" s="1"/>
  <c r="AA28" i="42"/>
  <c r="V28" i="42"/>
  <c r="J45" i="42"/>
  <c r="J59" i="42" s="1"/>
  <c r="J63" i="42" s="1"/>
  <c r="B44" i="14"/>
  <c r="B84" i="14"/>
  <c r="E33" i="12"/>
  <c r="D35" i="12" s="1"/>
  <c r="C33" i="12"/>
  <c r="B51" i="14"/>
  <c r="F20" i="12"/>
  <c r="F21" i="12" s="1"/>
  <c r="D23" i="12" s="1"/>
  <c r="C39" i="14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67" i="14"/>
  <c r="C67" i="14" s="1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C12" i="2"/>
  <c r="C16" i="2"/>
  <c r="Y18" i="42"/>
  <c r="Z18" i="42"/>
  <c r="Y17" i="42"/>
  <c r="Z17" i="42"/>
  <c r="W17" i="42"/>
  <c r="X17" i="42"/>
  <c r="AA17" i="42"/>
  <c r="Z16" i="42"/>
  <c r="X16" i="42"/>
  <c r="Y16" i="42"/>
  <c r="AA16" i="42"/>
  <c r="E6" i="7"/>
  <c r="AB16" i="42"/>
  <c r="AH16" i="42"/>
  <c r="AH13" i="42" s="1"/>
  <c r="L51" i="14"/>
  <c r="AP55" i="14" s="1"/>
  <c r="AP88" i="14" s="1"/>
  <c r="K17" i="42"/>
  <c r="S16" i="42"/>
  <c r="T16" i="42"/>
  <c r="Q16" i="42"/>
  <c r="O17" i="42"/>
  <c r="N17" i="42"/>
  <c r="O16" i="42"/>
  <c r="N16" i="42"/>
  <c r="D36" i="8"/>
  <c r="C40" i="2" l="1"/>
  <c r="C41" i="2" s="1"/>
  <c r="H83" i="42"/>
  <c r="AG13" i="42"/>
  <c r="Y13" i="42"/>
  <c r="AA18" i="42"/>
  <c r="AC18" i="42"/>
  <c r="AC13" i="42" s="1"/>
  <c r="AE18" i="42"/>
  <c r="AE13" i="42" s="1"/>
  <c r="AE45" i="42" s="1"/>
  <c r="AB18" i="42"/>
  <c r="AB13" i="42" s="1"/>
  <c r="AB45" i="42" s="1"/>
  <c r="AD18" i="42"/>
  <c r="AD13" i="42" s="1"/>
  <c r="AF18" i="42"/>
  <c r="AF13" i="42" s="1"/>
  <c r="AF45" i="42" s="1"/>
  <c r="F7" i="10"/>
  <c r="H7" i="10" s="1"/>
  <c r="T14" i="42" s="1"/>
  <c r="X18" i="42"/>
  <c r="C7" i="10"/>
  <c r="E7" i="10" s="1"/>
  <c r="I14" i="42" s="1"/>
  <c r="I13" i="42" s="1"/>
  <c r="I45" i="42" s="1"/>
  <c r="I59" i="42" s="1"/>
  <c r="I63" i="42" s="1"/>
  <c r="W18" i="42"/>
  <c r="W13" i="42" s="1"/>
  <c r="W45" i="42" s="1"/>
  <c r="C33" i="2"/>
  <c r="E22" i="2" s="1"/>
  <c r="E23" i="2" s="1"/>
  <c r="E24" i="2" s="1"/>
  <c r="E25" i="2" s="1"/>
  <c r="E26" i="2" s="1"/>
  <c r="E27" i="2" s="1"/>
  <c r="U7" i="10"/>
  <c r="W7" i="10" s="1"/>
  <c r="AA13" i="42"/>
  <c r="AA45" i="42" s="1"/>
  <c r="R7" i="10"/>
  <c r="T7" i="10" s="1"/>
  <c r="L7" i="10"/>
  <c r="N7" i="10" s="1"/>
  <c r="H29" i="2"/>
  <c r="O7" i="10"/>
  <c r="Q7" i="10" s="1"/>
  <c r="B81" i="14"/>
  <c r="B88" i="14" s="1"/>
  <c r="H11" i="42" s="1"/>
  <c r="H45" i="42" s="1"/>
  <c r="H59" i="42" s="1"/>
  <c r="H63" i="42" s="1"/>
  <c r="C62" i="14"/>
  <c r="AD51" i="42"/>
  <c r="M51" i="42"/>
  <c r="M54" i="42"/>
  <c r="M60" i="42" s="1"/>
  <c r="AD45" i="42"/>
  <c r="AD36" i="42"/>
  <c r="AD40" i="42" s="1"/>
  <c r="AH45" i="42"/>
  <c r="AD54" i="42"/>
  <c r="AD60" i="42" s="1"/>
  <c r="B65" i="14"/>
  <c r="Y45" i="42"/>
  <c r="AG51" i="42"/>
  <c r="AG36" i="42"/>
  <c r="AG40" i="42" s="1"/>
  <c r="AG54" i="42"/>
  <c r="AG60" i="42" s="1"/>
  <c r="W36" i="42"/>
  <c r="W40" i="42" s="1"/>
  <c r="W54" i="42"/>
  <c r="W60" i="42" s="1"/>
  <c r="W51" i="42"/>
  <c r="W50" i="42"/>
  <c r="S51" i="42"/>
  <c r="S54" i="42"/>
  <c r="S60" i="42" s="1"/>
  <c r="S50" i="42"/>
  <c r="S36" i="42"/>
  <c r="S40" i="42" s="1"/>
  <c r="AC54" i="42"/>
  <c r="AC60" i="42" s="1"/>
  <c r="AC51" i="42"/>
  <c r="AC50" i="42"/>
  <c r="AC36" i="42"/>
  <c r="AC40" i="42" s="1"/>
  <c r="X51" i="42"/>
  <c r="X50" i="42"/>
  <c r="X54" i="42"/>
  <c r="X60" i="42" s="1"/>
  <c r="X36" i="42"/>
  <c r="X40" i="42" s="1"/>
  <c r="Y54" i="42"/>
  <c r="Y60" i="42" s="1"/>
  <c r="Y36" i="42"/>
  <c r="Y40" i="42" s="1"/>
  <c r="Y50" i="42"/>
  <c r="Y51" i="42"/>
  <c r="V51" i="42"/>
  <c r="V36" i="42"/>
  <c r="V40" i="42" s="1"/>
  <c r="V54" i="42"/>
  <c r="V60" i="42" s="1"/>
  <c r="V50" i="42"/>
  <c r="R54" i="42"/>
  <c r="R60" i="42" s="1"/>
  <c r="R50" i="42"/>
  <c r="R36" i="42"/>
  <c r="R40" i="42" s="1"/>
  <c r="R51" i="42"/>
  <c r="AH51" i="42"/>
  <c r="AH50" i="42"/>
  <c r="AH54" i="42"/>
  <c r="AH60" i="42" s="1"/>
  <c r="AH36" i="42"/>
  <c r="AH40" i="42" s="1"/>
  <c r="AB51" i="42"/>
  <c r="AB50" i="42"/>
  <c r="AB36" i="42"/>
  <c r="AB40" i="42" s="1"/>
  <c r="AB54" i="42"/>
  <c r="AB60" i="42" s="1"/>
  <c r="AF50" i="42"/>
  <c r="AF51" i="42"/>
  <c r="AF54" i="42"/>
  <c r="AF60" i="42" s="1"/>
  <c r="AF36" i="42"/>
  <c r="AF40" i="42" s="1"/>
  <c r="T51" i="42"/>
  <c r="T50" i="42"/>
  <c r="T36" i="42"/>
  <c r="T40" i="42" s="1"/>
  <c r="T54" i="42"/>
  <c r="T60" i="42" s="1"/>
  <c r="Z51" i="42"/>
  <c r="Z36" i="42"/>
  <c r="Z40" i="42" s="1"/>
  <c r="Z54" i="42"/>
  <c r="Z60" i="42" s="1"/>
  <c r="Z50" i="42"/>
  <c r="P51" i="42"/>
  <c r="P54" i="42"/>
  <c r="P60" i="42" s="1"/>
  <c r="P36" i="42"/>
  <c r="P40" i="42" s="1"/>
  <c r="P50" i="42"/>
  <c r="AG45" i="42"/>
  <c r="AA54" i="42"/>
  <c r="AA60" i="42" s="1"/>
  <c r="AA51" i="42"/>
  <c r="AA36" i="42"/>
  <c r="AA40" i="42" s="1"/>
  <c r="AA50" i="42"/>
  <c r="U51" i="42"/>
  <c r="U36" i="42"/>
  <c r="U40" i="42" s="1"/>
  <c r="U50" i="42"/>
  <c r="L50" i="42"/>
  <c r="L54" i="42"/>
  <c r="L60" i="42" s="1"/>
  <c r="L51" i="42"/>
  <c r="L36" i="42"/>
  <c r="L40" i="42" s="1"/>
  <c r="AE50" i="42"/>
  <c r="AE54" i="42"/>
  <c r="AE60" i="42" s="1"/>
  <c r="AE36" i="42"/>
  <c r="AE40" i="42" s="1"/>
  <c r="AE51" i="42"/>
  <c r="O36" i="42"/>
  <c r="O40" i="42" s="1"/>
  <c r="O51" i="42"/>
  <c r="O50" i="42"/>
  <c r="O54" i="42"/>
  <c r="O60" i="42" s="1"/>
  <c r="M36" i="42"/>
  <c r="M40" i="42" s="1"/>
  <c r="AG50" i="42"/>
  <c r="AC45" i="42"/>
  <c r="N54" i="42"/>
  <c r="N60" i="42" s="1"/>
  <c r="N36" i="42"/>
  <c r="N40" i="42" s="1"/>
  <c r="N50" i="42"/>
  <c r="N51" i="42"/>
  <c r="Q36" i="42"/>
  <c r="Q40" i="42" s="1"/>
  <c r="Q50" i="42"/>
  <c r="Q54" i="42"/>
  <c r="Q60" i="42" s="1"/>
  <c r="Q51" i="42"/>
  <c r="X13" i="42"/>
  <c r="X45" i="42" s="1"/>
  <c r="L21" i="42"/>
  <c r="T21" i="42"/>
  <c r="AB21" i="42"/>
  <c r="AJ21" i="42"/>
  <c r="M21" i="42"/>
  <c r="U21" i="42"/>
  <c r="AC21" i="42"/>
  <c r="O21" i="42"/>
  <c r="W21" i="42"/>
  <c r="AE21" i="42"/>
  <c r="P21" i="42"/>
  <c r="X21" i="42"/>
  <c r="AF21" i="42"/>
  <c r="Q21" i="42"/>
  <c r="Y21" i="42"/>
  <c r="AG21" i="42"/>
  <c r="J21" i="42"/>
  <c r="R21" i="42"/>
  <c r="Z21" i="42"/>
  <c r="AH21" i="42"/>
  <c r="K21" i="42"/>
  <c r="S21" i="42"/>
  <c r="AA21" i="42"/>
  <c r="AI21" i="42"/>
  <c r="N21" i="42"/>
  <c r="V21" i="42"/>
  <c r="AD21" i="42"/>
  <c r="Z13" i="42"/>
  <c r="Z45" i="42" s="1"/>
  <c r="K18" i="42"/>
  <c r="K13" i="42" s="1"/>
  <c r="K45" i="42" s="1"/>
  <c r="K59" i="42" s="1"/>
  <c r="K63" i="42" s="1"/>
  <c r="L18" i="42"/>
  <c r="L13" i="42" s="1"/>
  <c r="L45" i="42" s="1"/>
  <c r="P18" i="42"/>
  <c r="P13" i="42" s="1"/>
  <c r="P45" i="42" s="1"/>
  <c r="S18" i="42"/>
  <c r="S13" i="42" s="1"/>
  <c r="S45" i="42" s="1"/>
  <c r="T18" i="42"/>
  <c r="U18" i="42"/>
  <c r="U13" i="42" s="1"/>
  <c r="U45" i="42" s="1"/>
  <c r="V18" i="42"/>
  <c r="V13" i="42" s="1"/>
  <c r="V45" i="42" s="1"/>
  <c r="M18" i="42"/>
  <c r="M13" i="42" s="1"/>
  <c r="M45" i="42" s="1"/>
  <c r="N18" i="42"/>
  <c r="N13" i="42" s="1"/>
  <c r="N45" i="42" s="1"/>
  <c r="R18" i="42"/>
  <c r="R13" i="42" s="1"/>
  <c r="R45" i="42" s="1"/>
  <c r="Q18" i="42"/>
  <c r="Q13" i="42" s="1"/>
  <c r="Q45" i="42" s="1"/>
  <c r="O18" i="42"/>
  <c r="O13" i="42" s="1"/>
  <c r="O45" i="42" s="1"/>
  <c r="T13" i="42" l="1"/>
  <c r="T45" i="42" s="1"/>
  <c r="T59" i="42" s="1"/>
  <c r="T63" i="42" s="1"/>
  <c r="M59" i="42"/>
  <c r="M63" i="42" s="1"/>
  <c r="AD59" i="42"/>
  <c r="AD63" i="42" s="1"/>
  <c r="AH59" i="42"/>
  <c r="AH63" i="42" s="1"/>
  <c r="V59" i="42"/>
  <c r="V63" i="42" s="1"/>
  <c r="O59" i="42"/>
  <c r="O63" i="42" s="1"/>
  <c r="AA59" i="42"/>
  <c r="AA63" i="42" s="1"/>
  <c r="Y59" i="42"/>
  <c r="Y63" i="42" s="1"/>
  <c r="AF59" i="42"/>
  <c r="AF63" i="42" s="1"/>
  <c r="AB59" i="42"/>
  <c r="AB63" i="42" s="1"/>
  <c r="U59" i="42"/>
  <c r="U63" i="42" s="1"/>
  <c r="AG59" i="42"/>
  <c r="AG63" i="42" s="1"/>
  <c r="W59" i="42"/>
  <c r="W63" i="42" s="1"/>
  <c r="Z59" i="42"/>
  <c r="Z63" i="42" s="1"/>
  <c r="S59" i="42"/>
  <c r="S63" i="42" s="1"/>
  <c r="P59" i="42"/>
  <c r="P63" i="42" s="1"/>
  <c r="AC59" i="42"/>
  <c r="AC63" i="42" s="1"/>
  <c r="N59" i="42"/>
  <c r="N63" i="42" s="1"/>
  <c r="Q59" i="42"/>
  <c r="Q63" i="42" s="1"/>
  <c r="R59" i="42"/>
  <c r="R63" i="42" s="1"/>
  <c r="L59" i="42"/>
  <c r="L63" i="42" s="1"/>
  <c r="X59" i="42"/>
  <c r="X63" i="42" s="1"/>
  <c r="AE59" i="42"/>
  <c r="AE63" i="42" s="1"/>
  <c r="H84" i="42"/>
  <c r="H85" i="42" s="1"/>
  <c r="H81" i="42"/>
  <c r="C42" i="2"/>
  <c r="D36" i="2" l="1"/>
  <c r="E36" i="2" s="1"/>
  <c r="H87" i="42"/>
  <c r="H89" i="42" s="1"/>
  <c r="H90" i="42" s="1"/>
  <c r="H93" i="42" l="1"/>
  <c r="H94" i="42"/>
  <c r="H92" i="42"/>
  <c r="H95" i="42" l="1"/>
  <c r="H96" i="42" s="1"/>
  <c r="AJ32" i="42" s="1"/>
  <c r="AJ63" i="42" s="1"/>
  <c r="AL63" i="42" l="1"/>
  <c r="H74" i="42"/>
  <c r="H72" i="42"/>
  <c r="AJ42" i="42"/>
  <c r="AJ60" i="42" s="1"/>
</calcChain>
</file>

<file path=xl/sharedStrings.xml><?xml version="1.0" encoding="utf-8"?>
<sst xmlns="http://schemas.openxmlformats.org/spreadsheetml/2006/main" count="487" uniqueCount="300">
  <si>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</si>
  <si>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</si>
  <si>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</si>
  <si>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</si>
  <si>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</si>
  <si>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</si>
  <si>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</si>
  <si>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</si>
  <si>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</si>
  <si>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</si>
  <si>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</si>
  <si>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</si>
  <si>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</si>
  <si>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</si>
  <si>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</si>
  <si>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</si>
  <si>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</si>
  <si>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</si>
  <si>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</si>
  <si>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</si>
  <si>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</si>
  <si>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</si>
  <si>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</si>
  <si>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</si>
  <si>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</si>
  <si>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</si>
  <si>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</si>
  <si>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</si>
  <si>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</si>
  <si>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</si>
  <si>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</si>
  <si>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</si>
  <si>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</si>
  <si>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</si>
  <si>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</si>
  <si>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</si>
  <si>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</si>
  <si>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</si>
  <si>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</si>
  <si>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</si>
  <si>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</si>
  <si>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</si>
  <si>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</si>
  <si>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</si>
  <si>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</si>
  <si>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</si>
  <si>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</si>
  <si>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</si>
  <si>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Comissão Dibracam Venda usado</t>
  </si>
  <si>
    <t>baú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</si>
  <si>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</si>
  <si>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</si>
  <si>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</si>
  <si>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</si>
  <si>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</si>
  <si>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</si>
  <si>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</si>
  <si>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</si>
  <si>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</si>
  <si>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</si>
  <si>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</si>
  <si>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</si>
  <si>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</si>
  <si>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</si>
  <si>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</si>
  <si>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</si>
  <si>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</si>
  <si>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</si>
  <si>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</si>
  <si>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</si>
  <si>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</si>
  <si>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</si>
  <si>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</si>
  <si>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</si>
  <si>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</si>
  <si>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</si>
  <si>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</si>
  <si>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</si>
  <si>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</si>
  <si>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</si>
  <si>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</si>
  <si>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</si>
  <si>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</si>
  <si>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</si>
  <si>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</si>
  <si>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</si>
  <si>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</si>
  <si>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</si>
  <si>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</si>
  <si>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</si>
  <si>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</si>
  <si>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</si>
  <si>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</si>
  <si>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</si>
  <si>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</si>
  <si>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</si>
  <si>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</si>
  <si>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</si>
  <si>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</si>
  <si>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</si>
  <si>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</si>
  <si>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</si>
  <si>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</si>
  <si>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</si>
  <si>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</si>
  <si>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</si>
  <si>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</si>
  <si>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</si>
  <si>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</si>
  <si>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</si>
  <si>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</si>
  <si>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</si>
  <si>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</si>
  <si>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</si>
  <si>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</si>
  <si>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</si>
  <si>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</si>
  <si>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</si>
  <si>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</si>
  <si>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</si>
  <si>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</si>
  <si>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</si>
  <si>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</si>
  <si>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</si>
  <si>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</si>
  <si>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</si>
  <si>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</si>
  <si>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</si>
  <si>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</si>
  <si>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</si>
  <si>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</si>
  <si>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</si>
  <si>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</si>
  <si>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</si>
  <si>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</si>
  <si>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</si>
  <si>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</si>
  <si>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</si>
  <si>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</si>
  <si>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</si>
  <si>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</si>
  <si>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</si>
  <si>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</si>
  <si>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</si>
  <si>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</si>
  <si>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</si>
  <si>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</si>
  <si>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</si>
  <si>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</si>
  <si>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</si>
  <si>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</si>
  <si>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</si>
  <si>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</si>
  <si>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</si>
  <si>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</si>
  <si>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</si>
  <si>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</si>
  <si>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</si>
  <si>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</si>
  <si>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</si>
  <si>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</si>
  <si>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</si>
  <si>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</si>
  <si>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</si>
  <si>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</si>
  <si>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</si>
  <si>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</si>
  <si>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</si>
  <si>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</si>
  <si>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</si>
  <si>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</si>
  <si>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</si>
  <si>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</si>
  <si>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</si>
  <si>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</si>
  <si>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</si>
  <si>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</si>
  <si>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</si>
  <si>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</si>
  <si>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</si>
  <si>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</si>
  <si>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</si>
  <si>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</si>
  <si>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</si>
  <si>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</si>
  <si>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</si>
  <si>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</si>
  <si>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</si>
  <si>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</si>
  <si>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</si>
  <si>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</si>
  <si>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</si>
  <si>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</si>
  <si>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</si>
  <si>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</si>
  <si>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</si>
  <si>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</si>
  <si>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</si>
  <si>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</si>
  <si>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</si>
  <si>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</si>
  <si>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</si>
  <si>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</si>
  <si>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</si>
  <si>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</si>
  <si>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</si>
  <si>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</si>
  <si>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</si>
  <si>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</si>
  <si>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</si>
  <si>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</si>
  <si>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</si>
  <si>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</si>
  <si>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</si>
  <si>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</si>
  <si>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</si>
  <si>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</si>
  <si>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</si>
  <si>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</si>
  <si>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</si>
  <si>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</si>
  <si>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</si>
  <si>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</si>
  <si>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</si>
  <si>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</si>
  <si>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</si>
  <si>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</si>
  <si>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</si>
  <si>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</si>
  <si>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</si>
  <si>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</si>
  <si>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</si>
  <si>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</si>
  <si>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</si>
  <si>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</si>
  <si>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</si>
  <si>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</si>
  <si>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</si>
  <si>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</si>
  <si>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</si>
  <si>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</si>
  <si>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</si>
  <si>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</si>
  <si>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2019</t>
  </si>
  <si>
    <t>Desp. 2019 (incide em Janeiro)</t>
  </si>
  <si>
    <t>Desp. 2020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</si>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</sst>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R$&quot;\ #,##0.00;[Red]\-&quot;R$&quot;\ #,##0.00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3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8" fontId="34" fillId="0" borderId="0" xfId="0" applyNumberFormat="1" applyFont="1"/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33" builtinId="8" hidden="1"/>
    <cellStyle name="Hiperlink" xfId="237" builtinId="8" hidden="1"/>
    <cellStyle name="Hiperlink" xfId="241" builtinId="8" hidden="1"/>
    <cellStyle name="Hiperlink" xfId="245" builtinId="8" hidden="1"/>
    <cellStyle name="Hiperlink" xfId="249" builtinId="8" hidden="1"/>
    <cellStyle name="Hiperlink" xfId="253" builtinId="8" hidden="1"/>
    <cellStyle name="Hiperlink" xfId="257" builtinId="8" hidden="1"/>
    <cellStyle name="Hiperlink" xfId="261" builtinId="8" hidden="1"/>
    <cellStyle name="Hiperlink" xfId="265" builtinId="8" hidden="1"/>
    <cellStyle name="Hiperlink" xfId="269" builtinId="8" hidden="1"/>
    <cellStyle name="Hiperlink" xfId="273" builtinId="8" hidden="1"/>
    <cellStyle name="Hiperlink" xfId="277" builtinId="8" hidden="1"/>
    <cellStyle name="Hiperlink" xfId="281" builtinId="8" hidden="1"/>
    <cellStyle name="Hiperlink" xfId="285" builtinId="8" hidden="1"/>
    <cellStyle name="Hiperlink" xfId="289" builtinId="8" hidden="1"/>
    <cellStyle name="Hiperlink" xfId="293" builtinId="8" hidden="1"/>
    <cellStyle name="Hiperlink" xfId="297" builtinId="8" hidden="1"/>
    <cellStyle name="Hiperlink" xfId="301" builtinId="8" hidden="1"/>
    <cellStyle name="Hiperlink" xfId="305" builtinId="8" hidden="1"/>
    <cellStyle name="Hiperlink" xfId="309" builtinId="8" hidden="1"/>
    <cellStyle name="Hiperlink" xfId="313" builtinId="8" hidden="1"/>
    <cellStyle name="Hiperlink" xfId="317" builtinId="8" hidden="1"/>
    <cellStyle name="Hiperlink" xfId="321" builtinId="8" hidden="1"/>
    <cellStyle name="Hiperlink" xfId="325" builtinId="8" hidden="1"/>
    <cellStyle name="Hiperlink" xfId="329" builtinId="8" hidden="1"/>
    <cellStyle name="Hiperlink" xfId="333" builtinId="8" hidden="1"/>
    <cellStyle name="Hiperlink" xfId="337" builtinId="8" hidden="1"/>
    <cellStyle name="Hiperlink" xfId="341" builtinId="8" hidden="1"/>
    <cellStyle name="Hiperlink" xfId="345" builtinId="8" hidden="1"/>
    <cellStyle name="Hiperlink" xfId="349" builtinId="8" hidden="1"/>
    <cellStyle name="Hiperlink" xfId="353" builtinId="8" hidden="1"/>
    <cellStyle name="Hiperlink" xfId="357" builtinId="8" hidden="1"/>
    <cellStyle name="Hiperlink" xfId="361" builtinId="8" hidden="1"/>
    <cellStyle name="Hiperlink" xfId="365" builtinId="8" hidden="1"/>
    <cellStyle name="Hiperlink" xfId="369" builtinId="8" hidden="1"/>
    <cellStyle name="Hiperlink" xfId="373" builtinId="8" hidden="1"/>
    <cellStyle name="Hiperlink" xfId="377" builtinId="8" hidden="1"/>
    <cellStyle name="Hiperlink" xfId="381" builtinId="8" hidden="1"/>
    <cellStyle name="Hiperlink" xfId="385" builtinId="8" hidden="1"/>
    <cellStyle name="Hiperlink" xfId="389" builtinId="8" hidden="1"/>
    <cellStyle name="Hiperlink" xfId="393" builtinId="8" hidden="1"/>
    <cellStyle name="Hiperlink" xfId="397" builtinId="8" hidden="1"/>
    <cellStyle name="Hiperlink" xfId="401" builtinId="8" hidden="1"/>
    <cellStyle name="Hiperlink" xfId="405" builtinId="8" hidden="1"/>
    <cellStyle name="Hiperlink" xfId="409" builtinId="8" hidden="1"/>
    <cellStyle name="Hiperlink" xfId="413" builtinId="8" hidden="1"/>
    <cellStyle name="Hiperlink" xfId="417" builtinId="8" hidden="1"/>
    <cellStyle name="Hiperlink" xfId="421" builtinId="8" hidden="1"/>
    <cellStyle name="Hiperlink" xfId="425" builtinId="8" hidden="1"/>
    <cellStyle name="Hiperlink" xfId="429" builtinId="8" hidden="1"/>
    <cellStyle name="Hiperlink" xfId="433" builtinId="8" hidden="1"/>
    <cellStyle name="Hiperlink" xfId="437" builtinId="8" hidden="1"/>
    <cellStyle name="Hiperlink" xfId="441" builtinId="8" hidden="1"/>
    <cellStyle name="Hiperlink" xfId="445" builtinId="8" hidden="1"/>
    <cellStyle name="Hiperlink" xfId="449" builtinId="8" hidden="1"/>
    <cellStyle name="Hiperlink" xfId="453" builtinId="8" hidden="1"/>
    <cellStyle name="Hiperlink" xfId="457" builtinId="8" hidden="1"/>
    <cellStyle name="Hiperlink" xfId="461" builtinId="8" hidden="1"/>
    <cellStyle name="Hiperlink" xfId="465" builtinId="8" hidden="1"/>
    <cellStyle name="Hiperlink" xfId="469" builtinId="8" hidden="1"/>
    <cellStyle name="Hiperlink" xfId="473" builtinId="8" hidden="1"/>
    <cellStyle name="Hiperlink" xfId="477" builtinId="8" hidden="1"/>
    <cellStyle name="Hiperlink" xfId="481" builtinId="8" hidden="1"/>
    <cellStyle name="Hiperlink" xfId="485" builtinId="8" hidden="1"/>
    <cellStyle name="Hiperlink" xfId="489" builtinId="8" hidden="1"/>
    <cellStyle name="Hiperlink" xfId="493" builtinId="8" hidden="1"/>
    <cellStyle name="Hiperlink" xfId="497" builtinId="8" hidden="1"/>
    <cellStyle name="Hiperlink" xfId="501" builtinId="8" hidden="1"/>
    <cellStyle name="Hiperlink" xfId="505" builtinId="8" hidden="1"/>
    <cellStyle name="Hiperlink" xfId="509" builtinId="8" hidden="1"/>
    <cellStyle name="Hiperlink" xfId="513" builtinId="8" hidden="1"/>
    <cellStyle name="Hiperlink" xfId="517" builtinId="8" hidden="1"/>
    <cellStyle name="Hiperlink" xfId="521" builtinId="8" hidden="1"/>
    <cellStyle name="Hiperlink" xfId="525" builtinId="8" hidden="1"/>
    <cellStyle name="Hiperlink" xfId="529" builtinId="8" hidden="1"/>
    <cellStyle name="Hiperlink" xfId="533" builtinId="8" hidden="1"/>
    <cellStyle name="Hiperlink" xfId="537" builtinId="8" hidden="1"/>
    <cellStyle name="Hiperlink" xfId="541" builtinId="8" hidden="1"/>
    <cellStyle name="Hiperlink" xfId="545" builtinId="8" hidden="1"/>
    <cellStyle name="Hiperlink" xfId="549" builtinId="8" hidden="1"/>
    <cellStyle name="Hiperlink" xfId="553" builtinId="8" hidden="1"/>
    <cellStyle name="Hiperlink" xfId="557" builtinId="8" hidden="1"/>
    <cellStyle name="Hiperlink" xfId="561" builtinId="8" hidden="1"/>
    <cellStyle name="Hiperlink" xfId="565" builtinId="8" hidden="1"/>
    <cellStyle name="Hiperlink" xfId="569" builtinId="8" hidden="1"/>
    <cellStyle name="Hiperlink" xfId="573" builtinId="8" hidden="1"/>
    <cellStyle name="Hiperlink" xfId="577" builtinId="8" hidden="1"/>
    <cellStyle name="Hiperlink" xfId="581" builtinId="8" hidden="1"/>
    <cellStyle name="Hiperlink" xfId="585" builtinId="8" hidden="1"/>
    <cellStyle name="Hiperlink" xfId="589" builtinId="8" hidden="1"/>
    <cellStyle name="Hiperlink" xfId="593" builtinId="8" hidden="1"/>
    <cellStyle name="Hiperlink" xfId="597" builtinId="8" hidden="1"/>
    <cellStyle name="Hiperlink" xfId="601" builtinId="8" hidden="1"/>
    <cellStyle name="Hiperlink" xfId="605" builtinId="8" hidden="1"/>
    <cellStyle name="Hiperlink" xfId="609" builtinId="8" hidden="1"/>
    <cellStyle name="Hiperlink" xfId="613" builtinId="8" hidden="1"/>
    <cellStyle name="Hiperlink" xfId="617" builtinId="8" hidden="1"/>
    <cellStyle name="Hiperlink" xfId="621" builtinId="8" hidden="1"/>
    <cellStyle name="Hiperlink" xfId="625" builtinId="8" hidden="1"/>
    <cellStyle name="Hiperlink" xfId="629" builtinId="8" hidden="1"/>
    <cellStyle name="Hiperlink" xfId="633" builtinId="8" hidden="1"/>
    <cellStyle name="Hiperlink" xfId="637" builtinId="8" hidden="1"/>
    <cellStyle name="Hiperlink" xfId="641" builtinId="8" hidden="1"/>
    <cellStyle name="Hiperlink" xfId="645" builtinId="8" hidden="1"/>
    <cellStyle name="Hiperlink" xfId="649" builtinId="8" hidden="1"/>
    <cellStyle name="Hiperlink" xfId="653" builtinId="8" hidden="1"/>
    <cellStyle name="Hiperlink" xfId="657" builtinId="8" hidden="1"/>
    <cellStyle name="Hiperlink" xfId="661" builtinId="8" hidden="1"/>
    <cellStyle name="Hiperlink" xfId="665" builtinId="8" hidden="1"/>
    <cellStyle name="Hiperlink" xfId="669" builtinId="8" hidden="1"/>
    <cellStyle name="Hiperlink" xfId="673" builtinId="8" hidden="1"/>
    <cellStyle name="Hiperlink" xfId="677" builtinId="8" hidden="1"/>
    <cellStyle name="Hiperlink" xfId="681" builtinId="8" hidden="1"/>
    <cellStyle name="Hiperlink" xfId="685" builtinId="8" hidden="1"/>
    <cellStyle name="Hiperlink" xfId="689" builtinId="8" hidden="1"/>
    <cellStyle name="Hiperlink" xfId="693" builtinId="8" hidden="1"/>
    <cellStyle name="Hiperlink" xfId="697" builtinId="8" hidden="1"/>
    <cellStyle name="Hiperlink" xfId="701" builtinId="8" hidden="1"/>
    <cellStyle name="Hiperlink" xfId="705" builtinId="8" hidden="1"/>
    <cellStyle name="Hiperlink" xfId="709" builtinId="8" hidden="1"/>
    <cellStyle name="Hiperlink" xfId="713" builtinId="8" hidden="1"/>
    <cellStyle name="Hiperlink" xfId="717" builtinId="8" hidden="1"/>
    <cellStyle name="Hiperlink" xfId="721" builtinId="8" hidden="1"/>
    <cellStyle name="Hiperlink" xfId="725" builtinId="8" hidden="1"/>
    <cellStyle name="Hiperlink" xfId="729" builtinId="8" hidden="1"/>
    <cellStyle name="Hiperlink" xfId="733" builtinId="8" hidden="1"/>
    <cellStyle name="Hiperlink" xfId="737" builtinId="8" hidden="1"/>
    <cellStyle name="Hiperlink" xfId="741" builtinId="8" hidden="1"/>
    <cellStyle name="Hiperlink" xfId="745" builtinId="8" hidden="1"/>
    <cellStyle name="Hiperlink" xfId="749" builtinId="8" hidden="1"/>
    <cellStyle name="Hiperlink" xfId="753" builtinId="8" hidden="1"/>
    <cellStyle name="Hiperlink" xfId="757" builtinId="8" hidden="1"/>
    <cellStyle name="Hiperlink" xfId="761" builtinId="8" hidden="1"/>
    <cellStyle name="Hiperlink" xfId="765" builtinId="8" hidden="1"/>
    <cellStyle name="Hiperlink" xfId="767" builtinId="8" hidden="1"/>
    <cellStyle name="Hiperlink" xfId="763" builtinId="8" hidden="1"/>
    <cellStyle name="Hiperlink" xfId="759" builtinId="8" hidden="1"/>
    <cellStyle name="Hiperlink" xfId="755" builtinId="8" hidden="1"/>
    <cellStyle name="Hiperlink" xfId="751" builtinId="8" hidden="1"/>
    <cellStyle name="Hiperlink" xfId="747" builtinId="8" hidden="1"/>
    <cellStyle name="Hiperlink" xfId="743" builtinId="8" hidden="1"/>
    <cellStyle name="Hiperlink" xfId="739" builtinId="8" hidden="1"/>
    <cellStyle name="Hiperlink" xfId="735" builtinId="8" hidden="1"/>
    <cellStyle name="Hiperlink" xfId="731" builtinId="8" hidden="1"/>
    <cellStyle name="Hiperlink" xfId="727" builtinId="8" hidden="1"/>
    <cellStyle name="Hiperlink" xfId="723" builtinId="8" hidden="1"/>
    <cellStyle name="Hiperlink" xfId="719" builtinId="8" hidden="1"/>
    <cellStyle name="Hiperlink" xfId="715" builtinId="8" hidden="1"/>
    <cellStyle name="Hiperlink" xfId="711" builtinId="8" hidden="1"/>
    <cellStyle name="Hiperlink" xfId="707" builtinId="8" hidden="1"/>
    <cellStyle name="Hiperlink" xfId="703" builtinId="8" hidden="1"/>
    <cellStyle name="Hiperlink" xfId="699" builtinId="8" hidden="1"/>
    <cellStyle name="Hiperlink" xfId="695" builtinId="8" hidden="1"/>
    <cellStyle name="Hiperlink" xfId="691" builtinId="8" hidden="1"/>
    <cellStyle name="Hiperlink" xfId="687" builtinId="8" hidden="1"/>
    <cellStyle name="Hiperlink" xfId="683" builtinId="8" hidden="1"/>
    <cellStyle name="Hiperlink" xfId="679" builtinId="8" hidden="1"/>
    <cellStyle name="Hiperlink" xfId="675" builtinId="8" hidden="1"/>
    <cellStyle name="Hiperlink" xfId="671" builtinId="8" hidden="1"/>
    <cellStyle name="Hiperlink" xfId="667" builtinId="8" hidden="1"/>
    <cellStyle name="Hiperlink" xfId="663" builtinId="8" hidden="1"/>
    <cellStyle name="Hiperlink" xfId="659" builtinId="8" hidden="1"/>
    <cellStyle name="Hiperlink" xfId="655" builtinId="8" hidden="1"/>
    <cellStyle name="Hiperlink" xfId="651" builtinId="8" hidden="1"/>
    <cellStyle name="Hiperlink" xfId="647" builtinId="8" hidden="1"/>
    <cellStyle name="Hiperlink" xfId="643" builtinId="8" hidden="1"/>
    <cellStyle name="Hiperlink" xfId="639" builtinId="8" hidden="1"/>
    <cellStyle name="Hiperlink" xfId="635" builtinId="8" hidden="1"/>
    <cellStyle name="Hiperlink" xfId="631" builtinId="8" hidden="1"/>
    <cellStyle name="Hiperlink" xfId="627" builtinId="8" hidden="1"/>
    <cellStyle name="Hiperlink" xfId="623" builtinId="8" hidden="1"/>
    <cellStyle name="Hiperlink" xfId="619" builtinId="8" hidden="1"/>
    <cellStyle name="Hiperlink" xfId="615" builtinId="8" hidden="1"/>
    <cellStyle name="Hiperlink" xfId="611" builtinId="8" hidden="1"/>
    <cellStyle name="Hiperlink" xfId="607" builtinId="8" hidden="1"/>
    <cellStyle name="Hiperlink" xfId="603" builtinId="8" hidden="1"/>
    <cellStyle name="Hiperlink" xfId="599" builtinId="8" hidden="1"/>
    <cellStyle name="Hiperlink" xfId="595" builtinId="8" hidden="1"/>
    <cellStyle name="Hiperlink" xfId="591" builtinId="8" hidden="1"/>
    <cellStyle name="Hiperlink" xfId="587" builtinId="8" hidden="1"/>
    <cellStyle name="Hiperlink" xfId="583" builtinId="8" hidden="1"/>
    <cellStyle name="Hiperlink" xfId="579" builtinId="8" hidden="1"/>
    <cellStyle name="Hiperlink" xfId="575" builtinId="8" hidden="1"/>
    <cellStyle name="Hiperlink" xfId="571" builtinId="8" hidden="1"/>
    <cellStyle name="Hiperlink" xfId="567" builtinId="8" hidden="1"/>
    <cellStyle name="Hiperlink" xfId="563" builtinId="8" hidden="1"/>
    <cellStyle name="Hiperlink" xfId="559" builtinId="8" hidden="1"/>
    <cellStyle name="Hiperlink" xfId="555" builtinId="8" hidden="1"/>
    <cellStyle name="Hiperlink" xfId="551" builtinId="8" hidden="1"/>
    <cellStyle name="Hiperlink" xfId="547" builtinId="8" hidden="1"/>
    <cellStyle name="Hiperlink" xfId="543" builtinId="8" hidden="1"/>
    <cellStyle name="Hiperlink" xfId="539" builtinId="8" hidden="1"/>
    <cellStyle name="Hiperlink" xfId="535" builtinId="8" hidden="1"/>
    <cellStyle name="Hiperlink" xfId="531" builtinId="8" hidden="1"/>
    <cellStyle name="Hiperlink" xfId="527" builtinId="8" hidden="1"/>
    <cellStyle name="Hiperlink" xfId="523" builtinId="8" hidden="1"/>
    <cellStyle name="Hiperlink" xfId="519" builtinId="8" hidden="1"/>
    <cellStyle name="Hiperlink" xfId="515" builtinId="8" hidden="1"/>
    <cellStyle name="Hiperlink" xfId="511" builtinId="8" hidden="1"/>
    <cellStyle name="Hiperlink" xfId="507" builtinId="8" hidden="1"/>
    <cellStyle name="Hiperlink" xfId="503" builtinId="8" hidden="1"/>
    <cellStyle name="Hiperlink" xfId="499" builtinId="8" hidden="1"/>
    <cellStyle name="Hiperlink" xfId="495" builtinId="8" hidden="1"/>
    <cellStyle name="Hiperlink" xfId="491" builtinId="8" hidden="1"/>
    <cellStyle name="Hiperlink" xfId="487" builtinId="8" hidden="1"/>
    <cellStyle name="Hiperlink" xfId="483" builtinId="8" hidden="1"/>
    <cellStyle name="Hiperlink" xfId="479" builtinId="8" hidden="1"/>
    <cellStyle name="Hiperlink" xfId="475" builtinId="8" hidden="1"/>
    <cellStyle name="Hiperlink" xfId="471" builtinId="8" hidden="1"/>
    <cellStyle name="Hiperlink" xfId="467" builtinId="8" hidden="1"/>
    <cellStyle name="Hiperlink" xfId="463" builtinId="8" hidden="1"/>
    <cellStyle name="Hiperlink" xfId="459" builtinId="8" hidden="1"/>
    <cellStyle name="Hiperlink" xfId="455" builtinId="8" hidden="1"/>
    <cellStyle name="Hiperlink" xfId="451" builtinId="8" hidden="1"/>
    <cellStyle name="Hiperlink" xfId="447" builtinId="8" hidden="1"/>
    <cellStyle name="Hiperlink" xfId="443" builtinId="8" hidden="1"/>
    <cellStyle name="Hiperlink" xfId="439" builtinId="8" hidden="1"/>
    <cellStyle name="Hiperlink" xfId="435" builtinId="8" hidden="1"/>
    <cellStyle name="Hiperlink" xfId="431" builtinId="8" hidden="1"/>
    <cellStyle name="Hiperlink" xfId="427" builtinId="8" hidden="1"/>
    <cellStyle name="Hiperlink" xfId="423" builtinId="8" hidden="1"/>
    <cellStyle name="Hiperlink" xfId="419" builtinId="8" hidden="1"/>
    <cellStyle name="Hiperlink" xfId="415" builtinId="8" hidden="1"/>
    <cellStyle name="Hiperlink" xfId="411" builtinId="8" hidden="1"/>
    <cellStyle name="Hiperlink" xfId="407" builtinId="8" hidden="1"/>
    <cellStyle name="Hiperlink" xfId="403" builtinId="8" hidden="1"/>
    <cellStyle name="Hiperlink" xfId="399" builtinId="8" hidden="1"/>
    <cellStyle name="Hiperlink" xfId="395" builtinId="8" hidden="1"/>
    <cellStyle name="Hiperlink" xfId="391" builtinId="8" hidden="1"/>
    <cellStyle name="Hiperlink" xfId="387" builtinId="8" hidden="1"/>
    <cellStyle name="Hiperlink" xfId="383" builtinId="8" hidden="1"/>
    <cellStyle name="Hiperlink" xfId="379" builtinId="8" hidden="1"/>
    <cellStyle name="Hiperlink" xfId="375" builtinId="8" hidden="1"/>
    <cellStyle name="Hiperlink" xfId="371" builtinId="8" hidden="1"/>
    <cellStyle name="Hiperlink" xfId="367" builtinId="8" hidden="1"/>
    <cellStyle name="Hiperlink" xfId="363" builtinId="8" hidden="1"/>
    <cellStyle name="Hiperlink" xfId="359" builtinId="8" hidden="1"/>
    <cellStyle name="Hiperlink" xfId="355" builtinId="8" hidden="1"/>
    <cellStyle name="Hiperlink" xfId="351" builtinId="8" hidden="1"/>
    <cellStyle name="Hiperlink" xfId="347" builtinId="8" hidden="1"/>
    <cellStyle name="Hiperlink" xfId="343" builtinId="8" hidden="1"/>
    <cellStyle name="Hiperlink" xfId="339" builtinId="8" hidden="1"/>
    <cellStyle name="Hiperlink" xfId="335" builtinId="8" hidden="1"/>
    <cellStyle name="Hiperlink" xfId="331" builtinId="8" hidden="1"/>
    <cellStyle name="Hiperlink" xfId="327" builtinId="8" hidden="1"/>
    <cellStyle name="Hiperlink" xfId="323" builtinId="8" hidden="1"/>
    <cellStyle name="Hiperlink" xfId="319" builtinId="8" hidden="1"/>
    <cellStyle name="Hiperlink" xfId="315" builtinId="8" hidden="1"/>
    <cellStyle name="Hiperlink" xfId="311" builtinId="8" hidden="1"/>
    <cellStyle name="Hiperlink" xfId="307" builtinId="8" hidden="1"/>
    <cellStyle name="Hiperlink" xfId="303" builtinId="8" hidden="1"/>
    <cellStyle name="Hiperlink" xfId="299" builtinId="8" hidden="1"/>
    <cellStyle name="Hiperlink" xfId="295" builtinId="8" hidden="1"/>
    <cellStyle name="Hiperlink" xfId="291" builtinId="8" hidden="1"/>
    <cellStyle name="Hiperlink" xfId="287" builtinId="8" hidden="1"/>
    <cellStyle name="Hiperlink" xfId="283" builtinId="8" hidden="1"/>
    <cellStyle name="Hiperlink" xfId="279" builtinId="8" hidden="1"/>
    <cellStyle name="Hiperlink" xfId="275" builtinId="8" hidden="1"/>
    <cellStyle name="Hiperlink" xfId="271" builtinId="8" hidden="1"/>
    <cellStyle name="Hiperlink" xfId="267" builtinId="8" hidden="1"/>
    <cellStyle name="Hiperlink" xfId="263" builtinId="8" hidden="1"/>
    <cellStyle name="Hiperlink" xfId="259" builtinId="8" hidden="1"/>
    <cellStyle name="Hiperlink" xfId="255" builtinId="8" hidden="1"/>
    <cellStyle name="Hiperlink" xfId="251" builtinId="8" hidden="1"/>
    <cellStyle name="Hiperlink" xfId="247" builtinId="8" hidden="1"/>
    <cellStyle name="Hiperlink" xfId="243" builtinId="8" hidden="1"/>
    <cellStyle name="Hiperlink" xfId="239" builtinId="8" hidden="1"/>
    <cellStyle name="Hiperlink" xfId="235" builtinId="8" hidden="1"/>
    <cellStyle name="Hiperlink" xfId="231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61" builtinId="8" hidden="1"/>
    <cellStyle name="Hiperlink" xfId="59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21" builtinId="8" hidden="1"/>
    <cellStyle name="Hiperlink" xfId="19" builtinId="8" hidden="1"/>
    <cellStyle name="Hiperlink" xfId="7" builtinId="8" hidden="1"/>
    <cellStyle name="Hiperlink" xfId="9" builtinId="8" hidden="1"/>
    <cellStyle name="Hiperlink" xfId="5" builtinId="8" hidden="1"/>
    <cellStyle name="Hiperlink" xfId="3" builtinId="8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8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26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94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62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30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8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66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34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502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70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8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406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74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42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10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278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30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66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177800</xdr:colOff>
      <xdr:row>24</xdr:row>
      <xdr:rowOff>114300</xdr:rowOff>
    </xdr:from>
    <xdr:to>
      <xdr:col>12</xdr:col>
      <xdr:colOff>647700</xdr:colOff>
      <xdr:row>39</xdr:row>
      <xdr:rowOff>88900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523C15-A598-8D0E-2B7F-753DC4DE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1727200"/>
          <a:ext cx="64770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2" workbookViewId="0">
      <selection activeCell="D32" sqref="D32"/>
    </sheetView>
  </sheetViews>
  <sheetFormatPr defaultColWidth="11" defaultRowHeight="15.7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>
      <c r="A1" s="241" t="s">
        <v>0</v>
      </c>
      <c r="B1" s="241"/>
      <c r="C1" s="241"/>
    </row>
    <row r="2" spans="1:15" ht="15" customHeight="1">
      <c r="A2" s="241"/>
      <c r="B2" s="241"/>
      <c r="C2" s="241"/>
      <c r="F2" t="s">
        <v>1</v>
      </c>
      <c r="H2" s="214">
        <v>125000</v>
      </c>
    </row>
    <row r="3" spans="1:15" ht="15" customHeight="1">
      <c r="A3" s="241"/>
      <c r="B3" s="241"/>
      <c r="C3" s="241"/>
      <c r="F3" t="s">
        <v>2</v>
      </c>
      <c r="H3" s="84">
        <v>137000</v>
      </c>
    </row>
    <row r="4" spans="1:15" ht="15" customHeight="1">
      <c r="A4" s="241"/>
      <c r="B4" s="241"/>
      <c r="C4" s="241"/>
      <c r="F4" t="s">
        <v>3</v>
      </c>
    </row>
    <row r="5" spans="1:15" ht="15" customHeight="1">
      <c r="A5" s="242" t="s">
        <v>4</v>
      </c>
      <c r="B5" s="242"/>
      <c r="C5" s="242"/>
    </row>
    <row r="6" spans="1:15" ht="15" customHeight="1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>
      <c r="B11" t="s">
        <v>19</v>
      </c>
      <c r="C11">
        <v>2</v>
      </c>
    </row>
    <row r="12" spans="1:15" ht="15" customHeight="1">
      <c r="B12" t="s">
        <v>20</v>
      </c>
      <c r="C12" s="3">
        <f>EDATE(C15,C11)</f>
        <v>43556</v>
      </c>
      <c r="F12" t="s">
        <v>21</v>
      </c>
      <c r="G12" s="211">
        <v>600</v>
      </c>
    </row>
    <row r="13" spans="1:15" ht="15" customHeight="1">
      <c r="A13" s="246" t="s">
        <v>22</v>
      </c>
      <c r="B13" s="55" t="s">
        <v>23</v>
      </c>
      <c r="C13" s="55">
        <v>24</v>
      </c>
      <c r="F13" s="55" t="s">
        <v>24</v>
      </c>
      <c r="G13" s="211">
        <v>500</v>
      </c>
    </row>
    <row r="14" spans="1:15" ht="15" customHeight="1">
      <c r="A14" s="246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>
      <c r="A15" s="246"/>
      <c r="B15" s="55" t="s">
        <v>27</v>
      </c>
      <c r="C15" s="167">
        <f>EDATE(C10,C13)</f>
        <v>43497</v>
      </c>
    </row>
    <row r="16" spans="1:15" ht="15" customHeight="1">
      <c r="A16" s="246"/>
      <c r="B16" s="55" t="s">
        <v>20</v>
      </c>
      <c r="C16" s="167">
        <f>EDATE(C15,2)</f>
        <v>43556</v>
      </c>
    </row>
    <row r="17" spans="1:8">
      <c r="A17" s="246"/>
      <c r="B17" s="55" t="s">
        <v>28</v>
      </c>
      <c r="C17" s="181"/>
    </row>
    <row r="18" spans="1:8">
      <c r="A18" s="242" t="s">
        <v>29</v>
      </c>
      <c r="B18" s="242"/>
      <c r="C18" s="242"/>
    </row>
    <row r="19" spans="1:8">
      <c r="B19" t="s">
        <v>30</v>
      </c>
      <c r="C19">
        <v>12</v>
      </c>
      <c r="E19" s="245" t="s">
        <v>31</v>
      </c>
      <c r="F19" s="245"/>
    </row>
    <row r="20" spans="1:8">
      <c r="B20" t="s">
        <v>32</v>
      </c>
      <c r="C20" s="3">
        <f>EDATE(C10,C19)</f>
        <v>43132</v>
      </c>
      <c r="E20" s="245"/>
      <c r="F20" s="245"/>
    </row>
    <row r="21" spans="1:8">
      <c r="B21" t="s">
        <v>33</v>
      </c>
      <c r="C21" t="s">
        <v>34</v>
      </c>
      <c r="E21" s="55" t="s">
        <v>35</v>
      </c>
      <c r="F21" s="55" t="s">
        <v>36</v>
      </c>
    </row>
    <row r="22" spans="1:8" ht="23.25">
      <c r="B22" s="59" t="s">
        <v>37</v>
      </c>
      <c r="C22" s="60">
        <v>0.03</v>
      </c>
      <c r="D22" s="223" t="s">
        <v>38</v>
      </c>
      <c r="E22" s="222">
        <f>C33</f>
        <v>297000</v>
      </c>
      <c r="F22" s="224">
        <v>0</v>
      </c>
    </row>
    <row r="23" spans="1:8">
      <c r="A23" s="242" t="s">
        <v>39</v>
      </c>
      <c r="B23" s="242"/>
      <c r="C23" s="242"/>
      <c r="D23" s="195">
        <v>0.25</v>
      </c>
      <c r="E23" s="177">
        <f>E22*(1-D23)</f>
        <v>222750</v>
      </c>
      <c r="F23" s="209">
        <v>1</v>
      </c>
    </row>
    <row r="24" spans="1:8">
      <c r="A24" s="95" t="s">
        <v>40</v>
      </c>
      <c r="B24" s="95" t="s">
        <v>41</v>
      </c>
      <c r="C24" s="143" t="s">
        <v>42</v>
      </c>
      <c r="D24" s="215">
        <v>0.12</v>
      </c>
      <c r="E24" s="154">
        <f>E23*(1-D24)</f>
        <v>196020</v>
      </c>
      <c r="F24" s="224">
        <v>2</v>
      </c>
    </row>
    <row r="25" spans="1:8">
      <c r="A25" s="95" t="s">
        <v>43</v>
      </c>
      <c r="B25" s="95" t="s">
        <v>41</v>
      </c>
      <c r="C25" s="143" t="s">
        <v>42</v>
      </c>
      <c r="D25" s="195">
        <v>0.12</v>
      </c>
      <c r="E25" s="177">
        <f>E24*(1-D25)</f>
        <v>172497.6</v>
      </c>
      <c r="F25" s="209">
        <v>3</v>
      </c>
    </row>
    <row r="26" spans="1:8">
      <c r="A26" s="225" t="s">
        <v>22</v>
      </c>
      <c r="B26" s="55" t="s">
        <v>44</v>
      </c>
      <c r="C26" s="94"/>
      <c r="D26" s="195">
        <v>0.12</v>
      </c>
      <c r="E26" s="176">
        <f>E25*(1-D26)</f>
        <v>151797.88800000001</v>
      </c>
      <c r="F26" s="224">
        <v>4</v>
      </c>
    </row>
    <row r="27" spans="1:8">
      <c r="A27" s="225"/>
      <c r="B27" s="55"/>
      <c r="C27" s="94"/>
      <c r="D27" s="195">
        <v>0.12</v>
      </c>
      <c r="E27" s="176">
        <f>E26*(1-D27)</f>
        <v>133582.14144000001</v>
      </c>
      <c r="F27" s="209">
        <v>5</v>
      </c>
    </row>
    <row r="28" spans="1:8" ht="16.5" thickBot="1">
      <c r="A28" s="242" t="s">
        <v>45</v>
      </c>
      <c r="B28" s="242"/>
      <c r="C28" s="242"/>
      <c r="E28" s="154">
        <f>1*0.8*0.85</f>
        <v>0.68</v>
      </c>
    </row>
    <row r="29" spans="1:8" ht="16.5" thickBot="1">
      <c r="A29" s="221" t="s">
        <v>46</v>
      </c>
      <c r="B29" s="92" t="s">
        <v>47</v>
      </c>
      <c r="C29" s="93">
        <v>275000</v>
      </c>
      <c r="E29" s="217" t="s">
        <v>48</v>
      </c>
      <c r="F29" s="219">
        <v>5.8000000000000003E-2</v>
      </c>
      <c r="H29" s="176">
        <f>C32</f>
        <v>297000</v>
      </c>
    </row>
    <row r="30" spans="1:8" ht="16.5" thickBot="1">
      <c r="A30" s="91" t="s">
        <v>49</v>
      </c>
      <c r="B30" s="92" t="s">
        <v>47</v>
      </c>
      <c r="C30" s="93">
        <v>22000</v>
      </c>
      <c r="D30" s="176">
        <f>C30*0.3</f>
        <v>6600</v>
      </c>
      <c r="E30" s="154"/>
      <c r="F30" s="176"/>
    </row>
    <row r="31" spans="1:8" ht="16.5" thickBot="1">
      <c r="A31" s="91" t="s">
        <v>50</v>
      </c>
      <c r="B31" s="92" t="s">
        <v>51</v>
      </c>
      <c r="C31" s="93"/>
      <c r="D31" s="176" t="s">
        <v>52</v>
      </c>
      <c r="E31" s="154"/>
      <c r="F31" s="176"/>
    </row>
    <row r="32" spans="1:8" ht="30" customHeight="1" thickBot="1">
      <c r="A32" s="185" t="s">
        <v>53</v>
      </c>
      <c r="B32" s="92" t="s">
        <v>47</v>
      </c>
      <c r="C32" s="93">
        <f>C29+C30</f>
        <v>297000</v>
      </c>
      <c r="E32" s="154"/>
      <c r="F32" s="176"/>
    </row>
    <row r="33" spans="1:5" ht="30" customHeight="1">
      <c r="A33" s="166" t="s">
        <v>54</v>
      </c>
      <c r="B33" t="s">
        <v>47</v>
      </c>
      <c r="C33" s="90">
        <f>SUM(C31:C32)</f>
        <v>297000</v>
      </c>
      <c r="E33" s="154"/>
    </row>
    <row r="34" spans="1:5" ht="16.5" thickBot="1">
      <c r="A34" s="242" t="s">
        <v>55</v>
      </c>
      <c r="B34" s="242"/>
      <c r="C34" s="242"/>
      <c r="D34" s="242"/>
      <c r="E34" s="242"/>
    </row>
    <row r="35" spans="1:5" ht="33" customHeight="1" thickBot="1">
      <c r="A35" s="186" t="s">
        <v>56</v>
      </c>
      <c r="B35" s="168"/>
      <c r="C35" s="169">
        <v>2</v>
      </c>
      <c r="D35" s="170" t="s">
        <v>57</v>
      </c>
      <c r="E35" s="171" t="s">
        <v>58</v>
      </c>
    </row>
    <row r="36" spans="1:5" ht="30.95" customHeight="1" thickBot="1">
      <c r="A36" s="91" t="str">
        <f>A29</f>
        <v>express</v>
      </c>
      <c r="B36" s="92" t="s">
        <v>47</v>
      </c>
      <c r="C36" s="93">
        <v>184650.84</v>
      </c>
      <c r="D36" s="179">
        <f>C36/(C29+C30)</f>
        <v>0.62171999999999994</v>
      </c>
      <c r="E36" s="179">
        <f>1-D36</f>
        <v>0.37828000000000006</v>
      </c>
    </row>
    <row r="37" spans="1:5">
      <c r="A37" s="242" t="s">
        <v>59</v>
      </c>
      <c r="B37" s="242"/>
      <c r="C37" s="242"/>
    </row>
    <row r="38" spans="1:5">
      <c r="A38" s="243" t="s">
        <v>60</v>
      </c>
      <c r="B38" s="243"/>
      <c r="C38" s="42">
        <v>0.25</v>
      </c>
    </row>
    <row r="39" spans="1:5">
      <c r="A39" s="243" t="s">
        <v>61</v>
      </c>
      <c r="B39" s="244"/>
      <c r="C39" s="159">
        <f>C38/12</f>
        <v>2.0833333333333332E-2</v>
      </c>
    </row>
    <row r="40" spans="1:5" ht="16.5" thickBot="1">
      <c r="A40" s="243" t="s">
        <v>62</v>
      </c>
      <c r="B40" s="243"/>
      <c r="C40" s="187">
        <f>C32</f>
        <v>297000</v>
      </c>
    </row>
    <row r="41" spans="1:5" ht="16.5" thickBot="1">
      <c r="A41" s="247" t="s">
        <v>63</v>
      </c>
      <c r="B41" s="248"/>
      <c r="C41" s="188">
        <f>C40*C39</f>
        <v>6187.5</v>
      </c>
    </row>
    <row r="42" spans="1:5" ht="16.5" thickBot="1">
      <c r="A42" s="248" t="s">
        <v>64</v>
      </c>
      <c r="B42" s="248"/>
      <c r="C42" s="201">
        <f>SUM(Cashflow!H21:CU21)</f>
        <v>167062.5</v>
      </c>
    </row>
    <row r="43" spans="1:5" ht="16.5" thickBot="1">
      <c r="A43" s="248"/>
      <c r="B43" s="248"/>
      <c r="C43" s="201"/>
    </row>
    <row r="44" spans="1:5">
      <c r="A44" s="240" t="s">
        <v>65</v>
      </c>
      <c r="B44" s="240"/>
      <c r="C44" s="240"/>
    </row>
    <row r="45" spans="1:5">
      <c r="B45" s="5"/>
      <c r="C45" s="5" t="s">
        <v>66</v>
      </c>
    </row>
    <row r="46" spans="1:5">
      <c r="B46" s="5" t="s">
        <v>67</v>
      </c>
      <c r="C46" s="35">
        <v>6.4999999999999997E-3</v>
      </c>
    </row>
    <row r="47" spans="1:5">
      <c r="B47" s="5" t="s">
        <v>68</v>
      </c>
      <c r="C47" s="36">
        <v>0.03</v>
      </c>
    </row>
    <row r="48" spans="1:5">
      <c r="B48" s="5" t="s">
        <v>69</v>
      </c>
      <c r="C48" s="36">
        <v>3.6999999999999998E-2</v>
      </c>
    </row>
    <row r="54" ht="27" customHeight="1"/>
  </sheetData>
  <mergeCells count="16"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34:E34"/>
    <mergeCell ref="E19:F20"/>
    <mergeCell ref="A13:A17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DT96"/>
  <sheetViews>
    <sheetView showGridLines="0" topLeftCell="F1" zoomScale="90" zoomScaleNormal="90" zoomScalePageLayoutView="90" workbookViewId="0">
      <pane xSplit="5" ySplit="9" topLeftCell="K10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36">
      <c r="G1" s="249" t="s">
        <v>70</v>
      </c>
      <c r="H1" s="250"/>
    </row>
    <row r="2" spans="1:36" ht="15.95" customHeight="1">
      <c r="G2" s="85" t="s">
        <v>71</v>
      </c>
      <c r="H2" s="86">
        <f>Dados!C13</f>
        <v>24</v>
      </c>
    </row>
    <row r="3" spans="1:36" ht="32.1" customHeight="1">
      <c r="G3" s="85" t="s">
        <v>72</v>
      </c>
      <c r="H3" s="207" t="str">
        <f>Dados!A29</f>
        <v>express</v>
      </c>
    </row>
    <row r="4" spans="1:36">
      <c r="G4" s="85" t="s">
        <v>73</v>
      </c>
      <c r="H4" s="86">
        <f>Dados!C14</f>
        <v>0</v>
      </c>
    </row>
    <row r="5" spans="1:36">
      <c r="G5" s="251"/>
      <c r="H5" s="251"/>
      <c r="I5" s="101"/>
      <c r="J5" s="252" t="s">
        <v>74</v>
      </c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3" t="s">
        <v>75</v>
      </c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08" t="s">
        <v>76</v>
      </c>
      <c r="AI5" s="208"/>
      <c r="AJ5" s="208"/>
    </row>
    <row r="6" spans="1:36">
      <c r="E6">
        <v>6</v>
      </c>
      <c r="AH6" s="102"/>
      <c r="AI6" s="102"/>
      <c r="AJ6" s="102"/>
    </row>
    <row r="7" spans="1:36">
      <c r="G7" s="5"/>
      <c r="H7" s="14">
        <v>43466</v>
      </c>
      <c r="I7" s="14">
        <f>EDATE(H7,1)</f>
        <v>43497</v>
      </c>
      <c r="J7" s="14">
        <f t="shared" ref="J7:T7" si="0">EDATE(I7,1)</f>
        <v>43525</v>
      </c>
      <c r="K7" s="14">
        <f t="shared" si="0"/>
        <v>43556</v>
      </c>
      <c r="L7" s="14">
        <f t="shared" si="0"/>
        <v>43586</v>
      </c>
      <c r="M7" s="14">
        <f t="shared" si="0"/>
        <v>43617</v>
      </c>
      <c r="N7" s="14">
        <f t="shared" si="0"/>
        <v>43647</v>
      </c>
      <c r="O7" s="14">
        <f t="shared" si="0"/>
        <v>43678</v>
      </c>
      <c r="P7" s="14">
        <f t="shared" si="0"/>
        <v>43709</v>
      </c>
      <c r="Q7" s="14">
        <f t="shared" si="0"/>
        <v>43739</v>
      </c>
      <c r="R7" s="14">
        <f t="shared" si="0"/>
        <v>43770</v>
      </c>
      <c r="S7" s="14">
        <f t="shared" si="0"/>
        <v>43800</v>
      </c>
      <c r="T7" s="14">
        <f t="shared" si="0"/>
        <v>43831</v>
      </c>
      <c r="U7" s="14">
        <f>EDATE(T7,1)</f>
        <v>43862</v>
      </c>
      <c r="V7" s="14">
        <f t="shared" ref="V7:AG7" si="1">EDATE(U7,1)</f>
        <v>43891</v>
      </c>
      <c r="W7" s="14">
        <f t="shared" si="1"/>
        <v>43922</v>
      </c>
      <c r="X7" s="14">
        <f t="shared" si="1"/>
        <v>43952</v>
      </c>
      <c r="Y7" s="14">
        <f t="shared" si="1"/>
        <v>43983</v>
      </c>
      <c r="Z7" s="14">
        <f t="shared" si="1"/>
        <v>44013</v>
      </c>
      <c r="AA7" s="14">
        <f t="shared" si="1"/>
        <v>44044</v>
      </c>
      <c r="AB7" s="14">
        <f t="shared" si="1"/>
        <v>44075</v>
      </c>
      <c r="AC7" s="14">
        <f t="shared" si="1"/>
        <v>44105</v>
      </c>
      <c r="AD7" s="14">
        <f t="shared" si="1"/>
        <v>44136</v>
      </c>
      <c r="AE7" s="14">
        <f t="shared" si="1"/>
        <v>44166</v>
      </c>
      <c r="AF7" s="14">
        <f t="shared" si="1"/>
        <v>44197</v>
      </c>
      <c r="AG7" s="14">
        <f t="shared" si="1"/>
        <v>44228</v>
      </c>
      <c r="AH7" s="14">
        <f t="shared" ref="AH7" si="2">EDATE(AG7,1)</f>
        <v>44256</v>
      </c>
      <c r="AI7" s="14">
        <f t="shared" ref="AI7" si="3">EDATE(AH7,1)</f>
        <v>44287</v>
      </c>
      <c r="AJ7" s="14">
        <f t="shared" ref="AJ7" si="4">EDATE(AI7,1)</f>
        <v>44317</v>
      </c>
    </row>
    <row r="8" spans="1:36">
      <c r="G8" s="16" t="s">
        <v>77</v>
      </c>
      <c r="H8" s="15">
        <v>0</v>
      </c>
      <c r="I8" s="15">
        <f>H8+1</f>
        <v>1</v>
      </c>
      <c r="J8" s="15">
        <f>I8+1</f>
        <v>2</v>
      </c>
      <c r="K8" s="15">
        <f t="shared" ref="K8:T8" si="5">J8+1</f>
        <v>3</v>
      </c>
      <c r="L8" s="15">
        <f t="shared" si="5"/>
        <v>4</v>
      </c>
      <c r="M8" s="15">
        <f t="shared" si="5"/>
        <v>5</v>
      </c>
      <c r="N8" s="15">
        <f t="shared" si="5"/>
        <v>6</v>
      </c>
      <c r="O8" s="15">
        <f t="shared" si="5"/>
        <v>7</v>
      </c>
      <c r="P8" s="15">
        <f t="shared" si="5"/>
        <v>8</v>
      </c>
      <c r="Q8" s="15">
        <f t="shared" si="5"/>
        <v>9</v>
      </c>
      <c r="R8" s="15">
        <f t="shared" si="5"/>
        <v>10</v>
      </c>
      <c r="S8" s="15">
        <f t="shared" si="5"/>
        <v>11</v>
      </c>
      <c r="T8" s="15">
        <f t="shared" si="5"/>
        <v>12</v>
      </c>
      <c r="U8" s="15">
        <f>T8+1</f>
        <v>13</v>
      </c>
      <c r="V8" s="15">
        <f t="shared" ref="V8:AG8" si="6">U8+1</f>
        <v>14</v>
      </c>
      <c r="W8" s="15">
        <f t="shared" si="6"/>
        <v>15</v>
      </c>
      <c r="X8" s="15">
        <f t="shared" si="6"/>
        <v>16</v>
      </c>
      <c r="Y8" s="15">
        <f t="shared" si="6"/>
        <v>17</v>
      </c>
      <c r="Z8" s="15">
        <f t="shared" si="6"/>
        <v>18</v>
      </c>
      <c r="AA8" s="15">
        <f t="shared" si="6"/>
        <v>19</v>
      </c>
      <c r="AB8" s="15">
        <f t="shared" si="6"/>
        <v>20</v>
      </c>
      <c r="AC8" s="15">
        <f t="shared" si="6"/>
        <v>21</v>
      </c>
      <c r="AD8" s="15">
        <f t="shared" si="6"/>
        <v>22</v>
      </c>
      <c r="AE8" s="15">
        <f t="shared" si="6"/>
        <v>23</v>
      </c>
      <c r="AF8" s="15">
        <f t="shared" si="6"/>
        <v>24</v>
      </c>
      <c r="AG8" s="15">
        <f t="shared" si="6"/>
        <v>25</v>
      </c>
      <c r="AH8" s="15">
        <f t="shared" ref="AH8" si="7">AG8+1</f>
        <v>26</v>
      </c>
      <c r="AI8" s="15">
        <f t="shared" ref="AI8" si="8">AH8+1</f>
        <v>27</v>
      </c>
      <c r="AJ8" s="15">
        <f t="shared" ref="AJ8" si="9">AI8+1</f>
        <v>28</v>
      </c>
    </row>
    <row r="9" spans="1:36">
      <c r="A9" t="s">
        <v>78</v>
      </c>
      <c r="G9" s="107" t="s">
        <v>79</v>
      </c>
      <c r="H9" s="21"/>
      <c r="I9" s="21"/>
      <c r="J9" s="115">
        <v>1</v>
      </c>
      <c r="K9" s="107">
        <f>J9+1</f>
        <v>2</v>
      </c>
      <c r="L9" s="107">
        <f t="shared" ref="L9:T9" si="10">K9+1</f>
        <v>3</v>
      </c>
      <c r="M9" s="107">
        <f t="shared" si="10"/>
        <v>4</v>
      </c>
      <c r="N9" s="107">
        <f t="shared" si="10"/>
        <v>5</v>
      </c>
      <c r="O9" s="107">
        <f t="shared" si="10"/>
        <v>6</v>
      </c>
      <c r="P9" s="107">
        <f t="shared" si="10"/>
        <v>7</v>
      </c>
      <c r="Q9" s="107">
        <f t="shared" si="10"/>
        <v>8</v>
      </c>
      <c r="R9" s="107">
        <f t="shared" si="10"/>
        <v>9</v>
      </c>
      <c r="S9" s="107">
        <f t="shared" si="10"/>
        <v>10</v>
      </c>
      <c r="T9" s="107">
        <f t="shared" si="10"/>
        <v>11</v>
      </c>
      <c r="U9" s="107">
        <f>T9+1</f>
        <v>12</v>
      </c>
      <c r="V9" s="107">
        <f t="shared" ref="V9:AG9" si="11">U9+1</f>
        <v>13</v>
      </c>
      <c r="W9" s="107">
        <f t="shared" si="11"/>
        <v>14</v>
      </c>
      <c r="X9" s="107">
        <f t="shared" si="11"/>
        <v>15</v>
      </c>
      <c r="Y9" s="107">
        <f t="shared" si="11"/>
        <v>16</v>
      </c>
      <c r="Z9" s="107">
        <f t="shared" si="11"/>
        <v>17</v>
      </c>
      <c r="AA9" s="107">
        <f t="shared" si="11"/>
        <v>18</v>
      </c>
      <c r="AB9" s="107">
        <f t="shared" si="11"/>
        <v>19</v>
      </c>
      <c r="AC9" s="107">
        <f t="shared" si="11"/>
        <v>20</v>
      </c>
      <c r="AD9" s="107">
        <f t="shared" si="11"/>
        <v>21</v>
      </c>
      <c r="AE9" s="107">
        <f t="shared" si="11"/>
        <v>22</v>
      </c>
      <c r="AF9" s="107">
        <f t="shared" si="11"/>
        <v>23</v>
      </c>
      <c r="AG9" s="107">
        <f t="shared" si="11"/>
        <v>24</v>
      </c>
      <c r="AH9" s="208" t="s">
        <v>76</v>
      </c>
      <c r="AI9" s="208"/>
      <c r="AJ9" s="208"/>
    </row>
    <row r="10" spans="1:36">
      <c r="A10" t="s">
        <v>42</v>
      </c>
      <c r="F10" s="17">
        <v>1</v>
      </c>
      <c r="G10" s="16" t="s">
        <v>80</v>
      </c>
      <c r="J10" s="116"/>
      <c r="AJ10" s="111"/>
    </row>
    <row r="11" spans="1:36">
      <c r="F11" s="17">
        <f>F10+1</f>
        <v>2</v>
      </c>
      <c r="G11" s="12" t="s">
        <v>69</v>
      </c>
      <c r="H11" s="13">
        <f>'Financ '!B88</f>
        <v>0</v>
      </c>
      <c r="I11" s="13">
        <f>'Financ '!C88</f>
        <v>13997.470695524729</v>
      </c>
      <c r="J11" s="13">
        <f>'Financ '!D88</f>
        <v>13997.470695524729</v>
      </c>
      <c r="K11" s="13">
        <f>'Financ '!E88</f>
        <v>13997.470695524729</v>
      </c>
      <c r="L11" s="13">
        <f>'Financ '!F88</f>
        <v>13997.470695524729</v>
      </c>
      <c r="M11" s="13">
        <f>'Financ '!G88</f>
        <v>13997.470695524729</v>
      </c>
      <c r="N11" s="13">
        <f>'Financ '!H88</f>
        <v>13997.470695524729</v>
      </c>
      <c r="O11" s="13">
        <f>'Financ '!I88</f>
        <v>13997.470695524729</v>
      </c>
      <c r="P11" s="13">
        <f>'Financ '!J88</f>
        <v>13997.470695524729</v>
      </c>
      <c r="Q11" s="13">
        <f>'Financ '!K88</f>
        <v>13997.470695524729</v>
      </c>
      <c r="R11" s="13">
        <f>'Financ '!L88</f>
        <v>13997.470695524729</v>
      </c>
      <c r="S11" s="13">
        <f>'Financ '!M88</f>
        <v>13997.470695524729</v>
      </c>
      <c r="T11" s="13">
        <f>'Financ '!N88</f>
        <v>13997.470695524729</v>
      </c>
      <c r="U11" s="13">
        <f>'Financ '!O88</f>
        <v>13997.470695524729</v>
      </c>
      <c r="V11" s="13">
        <f>'Financ '!P88</f>
        <v>13997.470695524729</v>
      </c>
      <c r="W11" s="13">
        <f>'Financ '!Q88</f>
        <v>13997.470695524729</v>
      </c>
      <c r="X11" s="13">
        <f>'Financ '!R88</f>
        <v>13997.470695524729</v>
      </c>
      <c r="Y11" s="13">
        <f>'Financ '!S88</f>
        <v>13997.470695524729</v>
      </c>
      <c r="Z11" s="13">
        <f>'Financ '!T88</f>
        <v>13997.470695524729</v>
      </c>
      <c r="AA11" s="13">
        <f>'Financ '!U88</f>
        <v>13997.470695524729</v>
      </c>
      <c r="AB11" s="13">
        <f>'Financ '!V88</f>
        <v>13997.470695524729</v>
      </c>
      <c r="AC11" s="13">
        <f>'Financ '!W88</f>
        <v>13997.470695524729</v>
      </c>
      <c r="AD11" s="13">
        <f>'Financ '!X88</f>
        <v>13997.470695524729</v>
      </c>
      <c r="AE11" s="13">
        <f>'Financ '!Y88</f>
        <v>13997.470695524729</v>
      </c>
      <c r="AF11" s="13">
        <f>'Financ '!Z88</f>
        <v>13997.470695524729</v>
      </c>
      <c r="AG11" s="13">
        <f>'Financ '!AA88</f>
        <v>0</v>
      </c>
      <c r="AH11" s="13">
        <f>'Financ '!AB88</f>
        <v>0</v>
      </c>
      <c r="AI11" s="13">
        <f>'Financ '!AC88</f>
        <v>0</v>
      </c>
      <c r="AJ11" s="13">
        <f>'Financ '!AD88</f>
        <v>0</v>
      </c>
    </row>
    <row r="12" spans="1:36">
      <c r="F12" s="17">
        <f t="shared" ref="F12:F76" si="12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12"/>
    </row>
    <row r="13" spans="1:36">
      <c r="F13" s="17">
        <f t="shared" si="12"/>
        <v>4</v>
      </c>
      <c r="G13" s="16" t="s">
        <v>81</v>
      </c>
      <c r="H13" s="24">
        <f>SUM(H14:H18)</f>
        <v>0</v>
      </c>
      <c r="I13" s="24">
        <f>SUM(I14:I18)</f>
        <v>4921.3499999999995</v>
      </c>
      <c r="J13" s="205">
        <f t="shared" ref="J13:AF13" si="13">SUM(J14:J18)</f>
        <v>0</v>
      </c>
      <c r="K13" s="24">
        <f>SUM(K14:K18)</f>
        <v>0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0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>SUM(T14:T18)</f>
        <v>4471.3499999999995</v>
      </c>
      <c r="U13" s="24">
        <f>SUM(U14:U18)</f>
        <v>0</v>
      </c>
      <c r="V13" s="24">
        <f t="shared" si="13"/>
        <v>0</v>
      </c>
      <c r="W13" s="24">
        <f>SUM(W14:W18)</f>
        <v>0</v>
      </c>
      <c r="X13" s="24">
        <f t="shared" si="13"/>
        <v>0</v>
      </c>
      <c r="Y13" s="24">
        <f t="shared" si="13"/>
        <v>0</v>
      </c>
      <c r="Z13" s="24">
        <f t="shared" si="13"/>
        <v>0</v>
      </c>
      <c r="AA13" s="24">
        <f t="shared" si="13"/>
        <v>0</v>
      </c>
      <c r="AB13" s="24">
        <f t="shared" si="13"/>
        <v>0</v>
      </c>
      <c r="AC13" s="24">
        <f t="shared" si="13"/>
        <v>0</v>
      </c>
      <c r="AD13" s="24">
        <f t="shared" si="13"/>
        <v>0</v>
      </c>
      <c r="AE13" s="24">
        <f t="shared" si="13"/>
        <v>0</v>
      </c>
      <c r="AF13" s="24">
        <f t="shared" si="13"/>
        <v>0</v>
      </c>
      <c r="AG13" s="24">
        <f>SUM(AG14:AG18)</f>
        <v>3823.1475</v>
      </c>
      <c r="AH13" s="24">
        <f t="shared" ref="AH13:AJ13" si="14">SUM(AH14:AH18)</f>
        <v>0</v>
      </c>
      <c r="AI13" s="24">
        <f t="shared" si="14"/>
        <v>0</v>
      </c>
      <c r="AJ13" s="24">
        <f t="shared" si="14"/>
        <v>0</v>
      </c>
    </row>
    <row r="14" spans="1:36">
      <c r="F14" s="17">
        <f t="shared" si="12"/>
        <v>5</v>
      </c>
      <c r="G14" t="s">
        <v>82</v>
      </c>
      <c r="H14" s="24"/>
      <c r="I14" s="197">
        <f>Licenciamento!E7</f>
        <v>4921.3499999999995</v>
      </c>
      <c r="J14" s="119"/>
      <c r="L14" s="11"/>
      <c r="M14" s="11"/>
      <c r="N14" s="11"/>
      <c r="O14" s="11"/>
      <c r="P14" s="11"/>
      <c r="Q14" s="11"/>
      <c r="S14" s="11"/>
      <c r="T14" s="197">
        <f>Licenciamento!H7</f>
        <v>4471.3499999999995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Licenciamento!K7</f>
        <v>3823.1475</v>
      </c>
      <c r="AH14" s="11"/>
      <c r="AI14" s="11"/>
      <c r="AJ14" s="45"/>
    </row>
    <row r="15" spans="1:36" s="95" customFormat="1">
      <c r="F15" s="17">
        <f t="shared" si="12"/>
        <v>6</v>
      </c>
      <c r="G15" s="96" t="s">
        <v>83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</row>
    <row r="16" spans="1:36">
      <c r="F16" s="17">
        <f t="shared" si="12"/>
        <v>7</v>
      </c>
      <c r="G16" t="s">
        <v>84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/>
      <c r="AJ16" s="113"/>
    </row>
    <row r="17" spans="1:16348">
      <c r="F17" s="17">
        <f t="shared" si="12"/>
        <v>8</v>
      </c>
      <c r="G17" s="20" t="s">
        <v>85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5"/>
      <c r="AI17" s="25"/>
      <c r="AJ17" s="75"/>
    </row>
    <row r="18" spans="1:16348" s="95" customFormat="1">
      <c r="F18" s="17">
        <f t="shared" si="12"/>
        <v>9</v>
      </c>
      <c r="G18" s="96" t="s">
        <v>86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Manutenção!$J$36</f>
        <v>0</v>
      </c>
      <c r="AI18" s="97"/>
      <c r="AJ18" s="97"/>
    </row>
    <row r="19" spans="1:16348">
      <c r="F19" s="17">
        <f t="shared" si="12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spans="1:16348" ht="29.1" customHeight="1">
      <c r="F20" s="17">
        <f t="shared" si="12"/>
        <v>11</v>
      </c>
      <c r="G20" s="172" t="s">
        <v>87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1:16348">
      <c r="F21" s="17">
        <f t="shared" si="12"/>
        <v>12</v>
      </c>
      <c r="G21" s="12" t="s">
        <v>88</v>
      </c>
      <c r="H21" s="13"/>
      <c r="I21" s="13"/>
      <c r="J21" s="13">
        <f>Dados!$C$41</f>
        <v>6187.5</v>
      </c>
      <c r="K21" s="13">
        <f>Dados!$C$41</f>
        <v>6187.5</v>
      </c>
      <c r="L21" s="13">
        <f>Dados!$C$41</f>
        <v>6187.5</v>
      </c>
      <c r="M21" s="13">
        <f>Dados!$C$41</f>
        <v>6187.5</v>
      </c>
      <c r="N21" s="13">
        <f>Dados!$C$41</f>
        <v>6187.5</v>
      </c>
      <c r="O21" s="13">
        <f>Dados!$C$41</f>
        <v>6187.5</v>
      </c>
      <c r="P21" s="13">
        <f>Dados!$C$41</f>
        <v>6187.5</v>
      </c>
      <c r="Q21" s="13">
        <f>Dados!$C$41</f>
        <v>6187.5</v>
      </c>
      <c r="R21" s="13">
        <f>Dados!$C$41</f>
        <v>6187.5</v>
      </c>
      <c r="S21" s="13">
        <f>Dados!$C$41</f>
        <v>6187.5</v>
      </c>
      <c r="T21" s="13">
        <f>Dados!$C$41</f>
        <v>6187.5</v>
      </c>
      <c r="U21" s="13">
        <f>Dados!$C$41</f>
        <v>6187.5</v>
      </c>
      <c r="V21" s="13">
        <f>Dados!$C$41</f>
        <v>6187.5</v>
      </c>
      <c r="W21" s="13">
        <f>Dados!$C$41</f>
        <v>6187.5</v>
      </c>
      <c r="X21" s="13">
        <f>Dados!$C$41</f>
        <v>6187.5</v>
      </c>
      <c r="Y21" s="13">
        <f>Dados!$C$41</f>
        <v>6187.5</v>
      </c>
      <c r="Z21" s="13">
        <f>Dados!$C$41</f>
        <v>6187.5</v>
      </c>
      <c r="AA21" s="13">
        <f>Dados!$C$41</f>
        <v>6187.5</v>
      </c>
      <c r="AB21" s="13">
        <f>Dados!$C$41</f>
        <v>6187.5</v>
      </c>
      <c r="AC21" s="13">
        <f>Dados!$C$41</f>
        <v>6187.5</v>
      </c>
      <c r="AD21" s="13">
        <f>Dados!$C$41</f>
        <v>6187.5</v>
      </c>
      <c r="AE21" s="13">
        <f>Dados!$C$41</f>
        <v>6187.5</v>
      </c>
      <c r="AF21" s="13">
        <f>Dados!$C$41</f>
        <v>6187.5</v>
      </c>
      <c r="AG21" s="13">
        <f>Dados!$C$41</f>
        <v>6187.5</v>
      </c>
      <c r="AH21" s="13">
        <f>Dados!$C$41</f>
        <v>6187.5</v>
      </c>
      <c r="AI21" s="13">
        <f>Dados!$C$41</f>
        <v>6187.5</v>
      </c>
      <c r="AJ21" s="13">
        <f>Dados!$C$41</f>
        <v>6187.5</v>
      </c>
    </row>
    <row r="22" spans="1:16348">
      <c r="F22" s="17">
        <f t="shared" si="12"/>
        <v>13</v>
      </c>
    </row>
    <row r="23" spans="1:16348">
      <c r="F23" s="17">
        <f t="shared" si="12"/>
        <v>14</v>
      </c>
    </row>
    <row r="24" spans="1:16348">
      <c r="F24" s="17">
        <f t="shared" si="12"/>
        <v>15</v>
      </c>
      <c r="G24" s="16" t="s">
        <v>89</v>
      </c>
    </row>
    <row r="25" spans="1:16348">
      <c r="A25" s="5"/>
      <c r="B25" s="4"/>
      <c r="C25" s="28"/>
      <c r="D25" s="28"/>
      <c r="E25" s="28"/>
      <c r="F25" s="17">
        <f t="shared" si="12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76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5"/>
      <c r="AV25" s="4"/>
      <c r="AW25" s="28"/>
      <c r="AX25" s="28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5"/>
      <c r="BW25" s="4"/>
      <c r="BX25" s="28"/>
      <c r="BY25" s="28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5"/>
      <c r="CX25" s="4"/>
      <c r="CY25" s="28"/>
      <c r="CZ25" s="28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5"/>
      <c r="DY25" s="4"/>
      <c r="DZ25" s="28"/>
      <c r="EA25" s="28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5"/>
      <c r="EZ25" s="4"/>
      <c r="FA25" s="28"/>
      <c r="FB25" s="28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5"/>
      <c r="GA25" s="4"/>
      <c r="GB25" s="28"/>
      <c r="GC25" s="28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5"/>
      <c r="HB25" s="4"/>
      <c r="HC25" s="28"/>
      <c r="HD25" s="28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5"/>
      <c r="IC25" s="4"/>
      <c r="ID25" s="28"/>
      <c r="IE25" s="28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5"/>
      <c r="JD25" s="4"/>
      <c r="JE25" s="28"/>
      <c r="JF25" s="28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5"/>
      <c r="KE25" s="4"/>
      <c r="KF25" s="28"/>
      <c r="KG25" s="28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5"/>
      <c r="LF25" s="4"/>
      <c r="LG25" s="28"/>
      <c r="LH25" s="28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5"/>
      <c r="MG25" s="4"/>
      <c r="MH25" s="28"/>
      <c r="MI25" s="28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5"/>
      <c r="NH25" s="4"/>
      <c r="NI25" s="28"/>
      <c r="NJ25" s="28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5"/>
      <c r="OI25" s="4"/>
      <c r="OJ25" s="28"/>
      <c r="OK25" s="28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5"/>
      <c r="PJ25" s="4"/>
      <c r="PK25" s="28"/>
      <c r="PL25" s="28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5"/>
      <c r="QK25" s="4"/>
      <c r="QL25" s="28"/>
      <c r="QM25" s="28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5"/>
      <c r="RL25" s="4"/>
      <c r="RM25" s="28"/>
      <c r="RN25" s="28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5"/>
      <c r="SM25" s="4"/>
      <c r="SN25" s="28"/>
      <c r="SO25" s="28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5"/>
      <c r="TN25" s="4"/>
      <c r="TO25" s="28"/>
      <c r="TP25" s="28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5"/>
      <c r="UO25" s="4"/>
      <c r="UP25" s="28"/>
      <c r="UQ25" s="28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5"/>
      <c r="VP25" s="4"/>
      <c r="VQ25" s="28"/>
      <c r="VR25" s="28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5"/>
      <c r="WQ25" s="4"/>
      <c r="WR25" s="28"/>
      <c r="WS25" s="28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5"/>
      <c r="XR25" s="4"/>
      <c r="XS25" s="28"/>
      <c r="XT25" s="28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5"/>
      <c r="YS25" s="4"/>
      <c r="YT25" s="28"/>
      <c r="YU25" s="28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5"/>
      <c r="ZT25" s="4"/>
      <c r="ZU25" s="28"/>
      <c r="ZV25" s="28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5"/>
      <c r="AAU25" s="4"/>
      <c r="AAV25" s="28"/>
      <c r="AAW25" s="28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5"/>
      <c r="ABV25" s="4"/>
      <c r="ABW25" s="28"/>
      <c r="ABX25" s="28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5"/>
      <c r="ACW25" s="4"/>
      <c r="ACX25" s="28"/>
      <c r="ACY25" s="28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5"/>
      <c r="ADX25" s="4"/>
      <c r="ADY25" s="28"/>
      <c r="ADZ25" s="28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5"/>
      <c r="AEY25" s="4"/>
      <c r="AEZ25" s="28"/>
      <c r="AFA25" s="28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5"/>
      <c r="AFZ25" s="4"/>
      <c r="AGA25" s="28"/>
      <c r="AGB25" s="28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5"/>
      <c r="AHA25" s="4"/>
      <c r="AHB25" s="28"/>
      <c r="AHC25" s="28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5"/>
      <c r="AIB25" s="4"/>
      <c r="AIC25" s="28"/>
      <c r="AID25" s="28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5"/>
      <c r="AJC25" s="4"/>
      <c r="AJD25" s="28"/>
      <c r="AJE25" s="28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5"/>
      <c r="AKD25" s="4"/>
      <c r="AKE25" s="28"/>
      <c r="AKF25" s="28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5"/>
      <c r="ALE25" s="4"/>
      <c r="ALF25" s="28"/>
      <c r="ALG25" s="28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5"/>
      <c r="AMF25" s="4"/>
      <c r="AMG25" s="28"/>
      <c r="AMH25" s="28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5"/>
      <c r="ANG25" s="4"/>
      <c r="ANH25" s="28"/>
      <c r="ANI25" s="28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5"/>
      <c r="AOH25" s="4"/>
      <c r="AOI25" s="28"/>
      <c r="AOJ25" s="28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5"/>
      <c r="API25" s="4"/>
      <c r="APJ25" s="28"/>
      <c r="APK25" s="28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5"/>
      <c r="AQJ25" s="4"/>
      <c r="AQK25" s="28"/>
      <c r="AQL25" s="28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5"/>
      <c r="ARK25" s="4"/>
      <c r="ARL25" s="28"/>
      <c r="ARM25" s="28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5"/>
      <c r="ASL25" s="4"/>
      <c r="ASM25" s="28"/>
      <c r="ASN25" s="28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5"/>
      <c r="ATM25" s="4"/>
      <c r="ATN25" s="28"/>
      <c r="ATO25" s="28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5"/>
      <c r="AUN25" s="4"/>
      <c r="AUO25" s="28"/>
      <c r="AUP25" s="28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5"/>
      <c r="AVO25" s="4"/>
      <c r="AVP25" s="28"/>
      <c r="AVQ25" s="28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5"/>
      <c r="AWP25" s="4"/>
      <c r="AWQ25" s="28"/>
      <c r="AWR25" s="28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5"/>
      <c r="AXQ25" s="4"/>
      <c r="AXR25" s="28"/>
      <c r="AXS25" s="28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5"/>
      <c r="AYR25" s="4"/>
      <c r="AYS25" s="28"/>
      <c r="AYT25" s="28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5"/>
      <c r="AZS25" s="4"/>
      <c r="AZT25" s="28"/>
      <c r="AZU25" s="28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5"/>
      <c r="BAT25" s="4"/>
      <c r="BAU25" s="28"/>
      <c r="BAV25" s="28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5"/>
      <c r="BBU25" s="4"/>
      <c r="BBV25" s="28"/>
      <c r="BBW25" s="28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5"/>
      <c r="BCV25" s="4"/>
      <c r="BCW25" s="28"/>
      <c r="BCX25" s="28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5"/>
      <c r="BDW25" s="4"/>
      <c r="BDX25" s="28"/>
      <c r="BDY25" s="28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5"/>
      <c r="BEX25" s="4"/>
      <c r="BEY25" s="28"/>
      <c r="BEZ25" s="28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5"/>
      <c r="BFY25" s="4"/>
      <c r="BFZ25" s="28"/>
      <c r="BGA25" s="28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5"/>
      <c r="BGZ25" s="4"/>
      <c r="BHA25" s="28"/>
      <c r="BHB25" s="28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5"/>
      <c r="BIA25" s="4"/>
      <c r="BIB25" s="28"/>
      <c r="BIC25" s="28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5"/>
      <c r="BJB25" s="4"/>
      <c r="BJC25" s="28"/>
      <c r="BJD25" s="28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5"/>
      <c r="BKC25" s="4"/>
      <c r="BKD25" s="28"/>
      <c r="BKE25" s="28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5"/>
      <c r="BLD25" s="4"/>
      <c r="BLE25" s="28"/>
      <c r="BLF25" s="28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5"/>
      <c r="BME25" s="4"/>
      <c r="BMF25" s="28"/>
      <c r="BMG25" s="28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5"/>
      <c r="BNF25" s="4"/>
      <c r="BNG25" s="28"/>
      <c r="BNH25" s="28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5"/>
      <c r="BOG25" s="4"/>
      <c r="BOH25" s="28"/>
      <c r="BOI25" s="28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5"/>
      <c r="BPH25" s="4"/>
      <c r="BPI25" s="28"/>
      <c r="BPJ25" s="28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5"/>
      <c r="BQI25" s="4"/>
      <c r="BQJ25" s="28"/>
      <c r="BQK25" s="28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5"/>
      <c r="BRJ25" s="4"/>
      <c r="BRK25" s="28"/>
      <c r="BRL25" s="28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5"/>
      <c r="BSK25" s="4"/>
      <c r="BSL25" s="28"/>
      <c r="BSM25" s="28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5"/>
      <c r="BTL25" s="4"/>
      <c r="BTM25" s="28"/>
      <c r="BTN25" s="28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5"/>
      <c r="BUM25" s="4"/>
      <c r="BUN25" s="28"/>
      <c r="BUO25" s="28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5"/>
      <c r="BVN25" s="4"/>
      <c r="BVO25" s="28"/>
      <c r="BVP25" s="28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5"/>
      <c r="BWO25" s="4"/>
      <c r="BWP25" s="28"/>
      <c r="BWQ25" s="28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5"/>
      <c r="BXP25" s="4"/>
      <c r="BXQ25" s="28"/>
      <c r="BXR25" s="28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5"/>
      <c r="BYQ25" s="4"/>
      <c r="BYR25" s="28"/>
      <c r="BYS25" s="28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5"/>
      <c r="BZR25" s="4"/>
      <c r="BZS25" s="28"/>
      <c r="BZT25" s="28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5"/>
      <c r="CAS25" s="4"/>
      <c r="CAT25" s="28"/>
      <c r="CAU25" s="28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5"/>
      <c r="CBT25" s="4"/>
      <c r="CBU25" s="28"/>
      <c r="CBV25" s="28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5"/>
      <c r="CCU25" s="4"/>
      <c r="CCV25" s="28"/>
      <c r="CCW25" s="28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5"/>
      <c r="CDV25" s="4"/>
      <c r="CDW25" s="28"/>
      <c r="CDX25" s="28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5"/>
      <c r="CEW25" s="4"/>
      <c r="CEX25" s="28"/>
      <c r="CEY25" s="28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5"/>
      <c r="CFX25" s="4"/>
      <c r="CFY25" s="28"/>
      <c r="CFZ25" s="28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5"/>
      <c r="CGY25" s="4"/>
      <c r="CGZ25" s="28"/>
      <c r="CHA25" s="28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5"/>
      <c r="CHZ25" s="4"/>
      <c r="CIA25" s="28"/>
      <c r="CIB25" s="28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5"/>
      <c r="CJA25" s="4"/>
      <c r="CJB25" s="28"/>
      <c r="CJC25" s="28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5"/>
      <c r="CKB25" s="4"/>
      <c r="CKC25" s="28"/>
      <c r="CKD25" s="28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5"/>
      <c r="CLC25" s="4"/>
      <c r="CLD25" s="28"/>
      <c r="CLE25" s="28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5"/>
      <c r="CMD25" s="4"/>
      <c r="CME25" s="28"/>
      <c r="CMF25" s="28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5"/>
      <c r="CNE25" s="4"/>
      <c r="CNF25" s="28"/>
      <c r="CNG25" s="28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5"/>
      <c r="COF25" s="4"/>
      <c r="COG25" s="28"/>
      <c r="COH25" s="28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5"/>
      <c r="CPG25" s="4"/>
      <c r="CPH25" s="28"/>
      <c r="CPI25" s="28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5"/>
      <c r="CQH25" s="4"/>
      <c r="CQI25" s="28"/>
      <c r="CQJ25" s="28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5"/>
      <c r="CRI25" s="4"/>
      <c r="CRJ25" s="28"/>
      <c r="CRK25" s="28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5"/>
      <c r="CSJ25" s="4"/>
      <c r="CSK25" s="28"/>
      <c r="CSL25" s="28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5"/>
      <c r="CTK25" s="4"/>
      <c r="CTL25" s="28"/>
      <c r="CTM25" s="28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5"/>
      <c r="CUL25" s="4"/>
      <c r="CUM25" s="28"/>
      <c r="CUN25" s="28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5"/>
      <c r="CVM25" s="4"/>
      <c r="CVN25" s="28"/>
      <c r="CVO25" s="28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5"/>
      <c r="CWN25" s="4"/>
      <c r="CWO25" s="28"/>
      <c r="CWP25" s="28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5"/>
      <c r="CXO25" s="4"/>
      <c r="CXP25" s="28"/>
      <c r="CXQ25" s="28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5"/>
      <c r="CYP25" s="4"/>
      <c r="CYQ25" s="28"/>
      <c r="CYR25" s="28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5"/>
      <c r="CZQ25" s="4"/>
      <c r="CZR25" s="28"/>
      <c r="CZS25" s="28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5"/>
      <c r="DAR25" s="4"/>
      <c r="DAS25" s="28"/>
      <c r="DAT25" s="28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5"/>
      <c r="DBS25" s="4"/>
      <c r="DBT25" s="28"/>
      <c r="DBU25" s="28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5"/>
      <c r="DCT25" s="4"/>
      <c r="DCU25" s="28"/>
      <c r="DCV25" s="28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5"/>
      <c r="DDU25" s="4"/>
      <c r="DDV25" s="28"/>
      <c r="DDW25" s="28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5"/>
      <c r="DEV25" s="4"/>
      <c r="DEW25" s="28"/>
      <c r="DEX25" s="28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5"/>
      <c r="DFW25" s="4"/>
      <c r="DFX25" s="28"/>
      <c r="DFY25" s="28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5"/>
      <c r="DGX25" s="4"/>
      <c r="DGY25" s="28"/>
      <c r="DGZ25" s="28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5"/>
      <c r="DHY25" s="4"/>
      <c r="DHZ25" s="28"/>
      <c r="DIA25" s="28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5"/>
      <c r="DIZ25" s="4"/>
      <c r="DJA25" s="28"/>
      <c r="DJB25" s="28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5"/>
      <c r="DKA25" s="4"/>
      <c r="DKB25" s="28"/>
      <c r="DKC25" s="28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5"/>
      <c r="DLB25" s="4"/>
      <c r="DLC25" s="28"/>
      <c r="DLD25" s="28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5"/>
      <c r="DMC25" s="4"/>
      <c r="DMD25" s="28"/>
      <c r="DME25" s="28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5"/>
      <c r="DND25" s="4"/>
      <c r="DNE25" s="28"/>
      <c r="DNF25" s="28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5"/>
      <c r="DOE25" s="4"/>
      <c r="DOF25" s="28"/>
      <c r="DOG25" s="28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5"/>
      <c r="DPF25" s="4"/>
      <c r="DPG25" s="28"/>
      <c r="DPH25" s="28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5"/>
      <c r="DQG25" s="4"/>
      <c r="DQH25" s="28"/>
      <c r="DQI25" s="28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5"/>
      <c r="DRH25" s="4"/>
      <c r="DRI25" s="28"/>
      <c r="DRJ25" s="28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5"/>
      <c r="DSI25" s="4"/>
      <c r="DSJ25" s="28"/>
      <c r="DSK25" s="28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5"/>
      <c r="DTJ25" s="4"/>
      <c r="DTK25" s="28"/>
      <c r="DTL25" s="28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5"/>
      <c r="DUK25" s="4"/>
      <c r="DUL25" s="28"/>
      <c r="DUM25" s="28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5"/>
      <c r="DVL25" s="4"/>
      <c r="DVM25" s="28"/>
      <c r="DVN25" s="28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5"/>
      <c r="DWM25" s="4"/>
      <c r="DWN25" s="28"/>
      <c r="DWO25" s="28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5"/>
      <c r="DXN25" s="4"/>
      <c r="DXO25" s="28"/>
      <c r="DXP25" s="28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5"/>
      <c r="DYO25" s="4"/>
      <c r="DYP25" s="28"/>
      <c r="DYQ25" s="28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5"/>
      <c r="DZP25" s="4"/>
      <c r="DZQ25" s="28"/>
      <c r="DZR25" s="28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5"/>
      <c r="EAQ25" s="4"/>
      <c r="EAR25" s="28"/>
      <c r="EAS25" s="28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5"/>
      <c r="EBR25" s="4"/>
      <c r="EBS25" s="28"/>
      <c r="EBT25" s="28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5"/>
      <c r="ECS25" s="4"/>
      <c r="ECT25" s="28"/>
      <c r="ECU25" s="28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5"/>
      <c r="EDT25" s="4"/>
      <c r="EDU25" s="28"/>
      <c r="EDV25" s="28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5"/>
      <c r="EEU25" s="4"/>
      <c r="EEV25" s="28"/>
      <c r="EEW25" s="28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5"/>
      <c r="EFV25" s="4"/>
      <c r="EFW25" s="28"/>
      <c r="EFX25" s="28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5"/>
      <c r="EGW25" s="4"/>
      <c r="EGX25" s="28"/>
      <c r="EGY25" s="28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5"/>
      <c r="EHX25" s="4"/>
      <c r="EHY25" s="28"/>
      <c r="EHZ25" s="28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5"/>
      <c r="EIY25" s="4"/>
      <c r="EIZ25" s="28"/>
      <c r="EJA25" s="28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5"/>
      <c r="EJZ25" s="4"/>
      <c r="EKA25" s="28"/>
      <c r="EKB25" s="28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5"/>
      <c r="ELA25" s="4"/>
      <c r="ELB25" s="28"/>
      <c r="ELC25" s="28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5"/>
      <c r="EMB25" s="4"/>
      <c r="EMC25" s="28"/>
      <c r="EMD25" s="28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5"/>
      <c r="ENC25" s="4"/>
      <c r="END25" s="28"/>
      <c r="ENE25" s="28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5"/>
      <c r="EOD25" s="4"/>
      <c r="EOE25" s="28"/>
      <c r="EOF25" s="28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5"/>
      <c r="EPE25" s="4"/>
      <c r="EPF25" s="28"/>
      <c r="EPG25" s="28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5"/>
      <c r="EQF25" s="4"/>
      <c r="EQG25" s="28"/>
      <c r="EQH25" s="28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5"/>
      <c r="ERG25" s="4"/>
      <c r="ERH25" s="28"/>
      <c r="ERI25" s="28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5"/>
      <c r="ESH25" s="4"/>
      <c r="ESI25" s="28"/>
      <c r="ESJ25" s="28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5"/>
      <c r="ETI25" s="4"/>
      <c r="ETJ25" s="28"/>
      <c r="ETK25" s="28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5"/>
      <c r="EUJ25" s="4"/>
      <c r="EUK25" s="28"/>
      <c r="EUL25" s="28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5"/>
      <c r="EVK25" s="4"/>
      <c r="EVL25" s="28"/>
      <c r="EVM25" s="28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5"/>
      <c r="EWL25" s="4"/>
      <c r="EWM25" s="28"/>
      <c r="EWN25" s="28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5"/>
      <c r="EXM25" s="4"/>
      <c r="EXN25" s="28"/>
      <c r="EXO25" s="28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5"/>
      <c r="EYN25" s="4"/>
      <c r="EYO25" s="28"/>
      <c r="EYP25" s="28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5"/>
      <c r="EZO25" s="4"/>
      <c r="EZP25" s="28"/>
      <c r="EZQ25" s="28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5"/>
      <c r="FAP25" s="4"/>
      <c r="FAQ25" s="28"/>
      <c r="FAR25" s="28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5"/>
      <c r="FBQ25" s="4"/>
      <c r="FBR25" s="28"/>
      <c r="FBS25" s="28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5"/>
      <c r="FCR25" s="4"/>
      <c r="FCS25" s="28"/>
      <c r="FCT25" s="28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5"/>
      <c r="FDS25" s="4"/>
      <c r="FDT25" s="28"/>
      <c r="FDU25" s="28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5"/>
      <c r="FET25" s="4"/>
      <c r="FEU25" s="28"/>
      <c r="FEV25" s="28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5"/>
      <c r="FFU25" s="4"/>
      <c r="FFV25" s="28"/>
      <c r="FFW25" s="28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5"/>
      <c r="FGV25" s="4"/>
      <c r="FGW25" s="28"/>
      <c r="FGX25" s="28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5"/>
      <c r="FHW25" s="4"/>
      <c r="FHX25" s="28"/>
      <c r="FHY25" s="28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5"/>
      <c r="FIX25" s="4"/>
      <c r="FIY25" s="28"/>
      <c r="FIZ25" s="28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5"/>
      <c r="FJY25" s="4"/>
      <c r="FJZ25" s="28"/>
      <c r="FKA25" s="28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5"/>
      <c r="FKZ25" s="4"/>
      <c r="FLA25" s="28"/>
      <c r="FLB25" s="28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5"/>
      <c r="FMA25" s="4"/>
      <c r="FMB25" s="28"/>
      <c r="FMC25" s="28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5"/>
      <c r="FNB25" s="4"/>
      <c r="FNC25" s="28"/>
      <c r="FND25" s="28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5"/>
      <c r="FOC25" s="4"/>
      <c r="FOD25" s="28"/>
      <c r="FOE25" s="28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5"/>
      <c r="FPD25" s="4"/>
      <c r="FPE25" s="28"/>
      <c r="FPF25" s="28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5"/>
      <c r="FQE25" s="4"/>
      <c r="FQF25" s="28"/>
      <c r="FQG25" s="28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5"/>
      <c r="FRF25" s="4"/>
      <c r="FRG25" s="28"/>
      <c r="FRH25" s="28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5"/>
      <c r="FSG25" s="4"/>
      <c r="FSH25" s="28"/>
      <c r="FSI25" s="28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5"/>
      <c r="FTH25" s="4"/>
      <c r="FTI25" s="28"/>
      <c r="FTJ25" s="28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5"/>
      <c r="FUI25" s="4"/>
      <c r="FUJ25" s="28"/>
      <c r="FUK25" s="28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5"/>
      <c r="FVJ25" s="4"/>
      <c r="FVK25" s="28"/>
      <c r="FVL25" s="28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5"/>
      <c r="FWK25" s="4"/>
      <c r="FWL25" s="28"/>
      <c r="FWM25" s="28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5"/>
      <c r="FXL25" s="4"/>
      <c r="FXM25" s="28"/>
      <c r="FXN25" s="28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5"/>
      <c r="FYM25" s="4"/>
      <c r="FYN25" s="28"/>
      <c r="FYO25" s="28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5"/>
      <c r="FZN25" s="4"/>
      <c r="FZO25" s="28"/>
      <c r="FZP25" s="28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5"/>
      <c r="GAO25" s="4"/>
      <c r="GAP25" s="28"/>
      <c r="GAQ25" s="28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5"/>
      <c r="GBP25" s="4"/>
      <c r="GBQ25" s="28"/>
      <c r="GBR25" s="28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5"/>
      <c r="GCQ25" s="4"/>
      <c r="GCR25" s="28"/>
      <c r="GCS25" s="28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5"/>
      <c r="GDR25" s="4"/>
      <c r="GDS25" s="28"/>
      <c r="GDT25" s="28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5"/>
      <c r="GES25" s="4"/>
      <c r="GET25" s="28"/>
      <c r="GEU25" s="28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5"/>
      <c r="GFT25" s="4"/>
      <c r="GFU25" s="28"/>
      <c r="GFV25" s="28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5"/>
      <c r="GGU25" s="4"/>
      <c r="GGV25" s="28"/>
      <c r="GGW25" s="28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5"/>
      <c r="GHV25" s="4"/>
      <c r="GHW25" s="28"/>
      <c r="GHX25" s="28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5"/>
      <c r="GIW25" s="4"/>
      <c r="GIX25" s="28"/>
      <c r="GIY25" s="28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5"/>
      <c r="GJX25" s="4"/>
      <c r="GJY25" s="28"/>
      <c r="GJZ25" s="28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5"/>
      <c r="GKY25" s="4"/>
      <c r="GKZ25" s="28"/>
      <c r="GLA25" s="28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5"/>
      <c r="GLZ25" s="4"/>
      <c r="GMA25" s="28"/>
      <c r="GMB25" s="28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5"/>
      <c r="GNA25" s="4"/>
      <c r="GNB25" s="28"/>
      <c r="GNC25" s="28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5"/>
      <c r="GOB25" s="4"/>
      <c r="GOC25" s="28"/>
      <c r="GOD25" s="28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5"/>
      <c r="GPC25" s="4"/>
      <c r="GPD25" s="28"/>
      <c r="GPE25" s="28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5"/>
      <c r="GQD25" s="4"/>
      <c r="GQE25" s="28"/>
      <c r="GQF25" s="28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5"/>
      <c r="GRE25" s="4"/>
      <c r="GRF25" s="28"/>
      <c r="GRG25" s="28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5"/>
      <c r="GSF25" s="4"/>
      <c r="GSG25" s="28"/>
      <c r="GSH25" s="28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5"/>
      <c r="GTG25" s="4"/>
      <c r="GTH25" s="28"/>
      <c r="GTI25" s="28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5"/>
      <c r="GUH25" s="4"/>
      <c r="GUI25" s="28"/>
      <c r="GUJ25" s="28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5"/>
      <c r="GVI25" s="4"/>
      <c r="GVJ25" s="28"/>
      <c r="GVK25" s="28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5"/>
      <c r="GWJ25" s="4"/>
      <c r="GWK25" s="28"/>
      <c r="GWL25" s="28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5"/>
      <c r="GXK25" s="4"/>
      <c r="GXL25" s="28"/>
      <c r="GXM25" s="28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5"/>
      <c r="GYL25" s="4"/>
      <c r="GYM25" s="28"/>
      <c r="GYN25" s="28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5"/>
      <c r="GZM25" s="4"/>
      <c r="GZN25" s="28"/>
      <c r="GZO25" s="28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5"/>
      <c r="HAN25" s="4"/>
      <c r="HAO25" s="28"/>
      <c r="HAP25" s="28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5"/>
      <c r="HBO25" s="4"/>
      <c r="HBP25" s="28"/>
      <c r="HBQ25" s="28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5"/>
      <c r="HCP25" s="4"/>
      <c r="HCQ25" s="28"/>
      <c r="HCR25" s="28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5"/>
      <c r="HDQ25" s="4"/>
      <c r="HDR25" s="28"/>
      <c r="HDS25" s="28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5"/>
      <c r="HER25" s="4"/>
      <c r="HES25" s="28"/>
      <c r="HET25" s="28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5"/>
      <c r="HFS25" s="4"/>
      <c r="HFT25" s="28"/>
      <c r="HFU25" s="28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5"/>
      <c r="HGT25" s="4"/>
      <c r="HGU25" s="28"/>
      <c r="HGV25" s="28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5"/>
      <c r="HHU25" s="4"/>
      <c r="HHV25" s="28"/>
      <c r="HHW25" s="28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5"/>
      <c r="HIV25" s="4"/>
      <c r="HIW25" s="28"/>
      <c r="HIX25" s="28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5"/>
      <c r="HJW25" s="4"/>
      <c r="HJX25" s="28"/>
      <c r="HJY25" s="28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5"/>
      <c r="HKX25" s="4"/>
      <c r="HKY25" s="28"/>
      <c r="HKZ25" s="28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5"/>
      <c r="HLY25" s="4"/>
      <c r="HLZ25" s="28"/>
      <c r="HMA25" s="28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5"/>
      <c r="HMZ25" s="4"/>
      <c r="HNA25" s="28"/>
      <c r="HNB25" s="28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5"/>
      <c r="HOA25" s="4"/>
      <c r="HOB25" s="28"/>
      <c r="HOC25" s="28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5"/>
      <c r="HPB25" s="4"/>
      <c r="HPC25" s="28"/>
      <c r="HPD25" s="28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5"/>
      <c r="HQC25" s="4"/>
      <c r="HQD25" s="28"/>
      <c r="HQE25" s="28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5"/>
      <c r="HRD25" s="4"/>
      <c r="HRE25" s="28"/>
      <c r="HRF25" s="28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5"/>
      <c r="HSE25" s="4"/>
      <c r="HSF25" s="28"/>
      <c r="HSG25" s="28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5"/>
      <c r="HTF25" s="4"/>
      <c r="HTG25" s="28"/>
      <c r="HTH25" s="28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5"/>
      <c r="HUG25" s="4"/>
      <c r="HUH25" s="28"/>
      <c r="HUI25" s="28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5"/>
      <c r="HVH25" s="4"/>
      <c r="HVI25" s="28"/>
      <c r="HVJ25" s="28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5"/>
      <c r="HWI25" s="4"/>
      <c r="HWJ25" s="28"/>
      <c r="HWK25" s="28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5"/>
      <c r="HXJ25" s="4"/>
      <c r="HXK25" s="28"/>
      <c r="HXL25" s="28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5"/>
      <c r="HYK25" s="4"/>
      <c r="HYL25" s="28"/>
      <c r="HYM25" s="28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5"/>
      <c r="HZL25" s="4"/>
      <c r="HZM25" s="28"/>
      <c r="HZN25" s="28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5"/>
      <c r="IAM25" s="4"/>
      <c r="IAN25" s="28"/>
      <c r="IAO25" s="28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5"/>
      <c r="IBN25" s="4"/>
      <c r="IBO25" s="28"/>
      <c r="IBP25" s="28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5"/>
      <c r="ICO25" s="4"/>
      <c r="ICP25" s="28"/>
      <c r="ICQ25" s="28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5"/>
      <c r="IDP25" s="4"/>
      <c r="IDQ25" s="28"/>
      <c r="IDR25" s="28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5"/>
      <c r="IEQ25" s="4"/>
      <c r="IER25" s="28"/>
      <c r="IES25" s="28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5"/>
      <c r="IFR25" s="4"/>
      <c r="IFS25" s="28"/>
      <c r="IFT25" s="28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5"/>
      <c r="IGS25" s="4"/>
      <c r="IGT25" s="28"/>
      <c r="IGU25" s="28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5"/>
      <c r="IHT25" s="4"/>
      <c r="IHU25" s="28"/>
      <c r="IHV25" s="28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5"/>
      <c r="IIU25" s="4"/>
      <c r="IIV25" s="28"/>
      <c r="IIW25" s="28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5"/>
      <c r="IJV25" s="4"/>
      <c r="IJW25" s="28"/>
      <c r="IJX25" s="28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5"/>
      <c r="IKW25" s="4"/>
      <c r="IKX25" s="28"/>
      <c r="IKY25" s="28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5"/>
      <c r="ILX25" s="4"/>
      <c r="ILY25" s="28"/>
      <c r="ILZ25" s="28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5"/>
      <c r="IMY25" s="4"/>
      <c r="IMZ25" s="28"/>
      <c r="INA25" s="28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5"/>
      <c r="INZ25" s="4"/>
      <c r="IOA25" s="28"/>
      <c r="IOB25" s="28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5"/>
      <c r="IPA25" s="4"/>
      <c r="IPB25" s="28"/>
      <c r="IPC25" s="28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5"/>
      <c r="IQB25" s="4"/>
      <c r="IQC25" s="28"/>
      <c r="IQD25" s="28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5"/>
      <c r="IRC25" s="4"/>
      <c r="IRD25" s="28"/>
      <c r="IRE25" s="28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5"/>
      <c r="ISD25" s="4"/>
      <c r="ISE25" s="28"/>
      <c r="ISF25" s="28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5"/>
      <c r="ITE25" s="4"/>
      <c r="ITF25" s="28"/>
      <c r="ITG25" s="28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5"/>
      <c r="IUF25" s="4"/>
      <c r="IUG25" s="28"/>
      <c r="IUH25" s="28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5"/>
      <c r="IVG25" s="4"/>
      <c r="IVH25" s="28"/>
      <c r="IVI25" s="28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5"/>
      <c r="IWH25" s="4"/>
      <c r="IWI25" s="28"/>
      <c r="IWJ25" s="28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5"/>
      <c r="IXI25" s="4"/>
      <c r="IXJ25" s="28"/>
      <c r="IXK25" s="28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5"/>
      <c r="IYJ25" s="4"/>
      <c r="IYK25" s="28"/>
      <c r="IYL25" s="28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5"/>
      <c r="IZK25" s="4"/>
      <c r="IZL25" s="28"/>
      <c r="IZM25" s="28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5"/>
      <c r="JAL25" s="4"/>
      <c r="JAM25" s="28"/>
      <c r="JAN25" s="28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5"/>
      <c r="JBM25" s="4"/>
      <c r="JBN25" s="28"/>
      <c r="JBO25" s="28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5"/>
      <c r="JCN25" s="4"/>
      <c r="JCO25" s="28"/>
      <c r="JCP25" s="28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5"/>
      <c r="JDO25" s="4"/>
      <c r="JDP25" s="28"/>
      <c r="JDQ25" s="28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5"/>
      <c r="JEP25" s="4"/>
      <c r="JEQ25" s="28"/>
      <c r="JER25" s="28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5"/>
      <c r="JFQ25" s="4"/>
      <c r="JFR25" s="28"/>
      <c r="JFS25" s="28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5"/>
      <c r="JGR25" s="4"/>
      <c r="JGS25" s="28"/>
      <c r="JGT25" s="28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5"/>
      <c r="JHS25" s="4"/>
      <c r="JHT25" s="28"/>
      <c r="JHU25" s="28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5"/>
      <c r="JIT25" s="4"/>
      <c r="JIU25" s="28"/>
      <c r="JIV25" s="28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5"/>
      <c r="JJU25" s="4"/>
      <c r="JJV25" s="28"/>
      <c r="JJW25" s="28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5"/>
      <c r="JKV25" s="4"/>
      <c r="JKW25" s="28"/>
      <c r="JKX25" s="28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5"/>
      <c r="JLW25" s="4"/>
      <c r="JLX25" s="28"/>
      <c r="JLY25" s="28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5"/>
      <c r="JMX25" s="4"/>
      <c r="JMY25" s="28"/>
      <c r="JMZ25" s="28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5"/>
      <c r="JNY25" s="4"/>
      <c r="JNZ25" s="28"/>
      <c r="JOA25" s="28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5"/>
      <c r="JOZ25" s="4"/>
      <c r="JPA25" s="28"/>
      <c r="JPB25" s="28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5"/>
      <c r="JQA25" s="4"/>
      <c r="JQB25" s="28"/>
      <c r="JQC25" s="28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5"/>
      <c r="JRB25" s="4"/>
      <c r="JRC25" s="28"/>
      <c r="JRD25" s="28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5"/>
      <c r="JSC25" s="4"/>
      <c r="JSD25" s="28"/>
      <c r="JSE25" s="28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5"/>
      <c r="JTD25" s="4"/>
      <c r="JTE25" s="28"/>
      <c r="JTF25" s="28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5"/>
      <c r="JUE25" s="4"/>
      <c r="JUF25" s="28"/>
      <c r="JUG25" s="28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5"/>
      <c r="JVF25" s="4"/>
      <c r="JVG25" s="28"/>
      <c r="JVH25" s="28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5"/>
      <c r="JWG25" s="4"/>
      <c r="JWH25" s="28"/>
      <c r="JWI25" s="28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5"/>
      <c r="JXH25" s="4"/>
      <c r="JXI25" s="28"/>
      <c r="JXJ25" s="28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5"/>
      <c r="JYI25" s="4"/>
      <c r="JYJ25" s="28"/>
      <c r="JYK25" s="28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5"/>
      <c r="JZJ25" s="4"/>
      <c r="JZK25" s="28"/>
      <c r="JZL25" s="28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5"/>
      <c r="KAK25" s="4"/>
      <c r="KAL25" s="28"/>
      <c r="KAM25" s="28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5"/>
      <c r="KBL25" s="4"/>
      <c r="KBM25" s="28"/>
      <c r="KBN25" s="28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5"/>
      <c r="KCM25" s="4"/>
      <c r="KCN25" s="28"/>
      <c r="KCO25" s="28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5"/>
      <c r="KDN25" s="4"/>
      <c r="KDO25" s="28"/>
      <c r="KDP25" s="28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5"/>
      <c r="KEO25" s="4"/>
      <c r="KEP25" s="28"/>
      <c r="KEQ25" s="28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5"/>
      <c r="KFP25" s="4"/>
      <c r="KFQ25" s="28"/>
      <c r="KFR25" s="28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5"/>
      <c r="KGQ25" s="4"/>
      <c r="KGR25" s="28"/>
      <c r="KGS25" s="28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5"/>
      <c r="KHR25" s="4"/>
      <c r="KHS25" s="28"/>
      <c r="KHT25" s="28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5"/>
      <c r="KIS25" s="4"/>
      <c r="KIT25" s="28"/>
      <c r="KIU25" s="28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5"/>
      <c r="KJT25" s="4"/>
      <c r="KJU25" s="28"/>
      <c r="KJV25" s="28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5"/>
      <c r="KKU25" s="4"/>
      <c r="KKV25" s="28"/>
      <c r="KKW25" s="28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5"/>
      <c r="KLV25" s="4"/>
      <c r="KLW25" s="28"/>
      <c r="KLX25" s="28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5"/>
      <c r="KMW25" s="4"/>
      <c r="KMX25" s="28"/>
      <c r="KMY25" s="28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5"/>
      <c r="KNX25" s="4"/>
      <c r="KNY25" s="28"/>
      <c r="KNZ25" s="28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5"/>
      <c r="KOY25" s="4"/>
      <c r="KOZ25" s="28"/>
      <c r="KPA25" s="28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5"/>
      <c r="KPZ25" s="4"/>
      <c r="KQA25" s="28"/>
      <c r="KQB25" s="28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5"/>
      <c r="KRA25" s="4"/>
      <c r="KRB25" s="28"/>
      <c r="KRC25" s="28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5"/>
      <c r="KSB25" s="4"/>
      <c r="KSC25" s="28"/>
      <c r="KSD25" s="28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5"/>
      <c r="KTC25" s="4"/>
      <c r="KTD25" s="28"/>
      <c r="KTE25" s="28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5"/>
      <c r="KUD25" s="4"/>
      <c r="KUE25" s="28"/>
      <c r="KUF25" s="28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5"/>
      <c r="KVE25" s="4"/>
      <c r="KVF25" s="28"/>
      <c r="KVG25" s="28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5"/>
      <c r="KWF25" s="4"/>
      <c r="KWG25" s="28"/>
      <c r="KWH25" s="28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5"/>
      <c r="KXG25" s="4"/>
      <c r="KXH25" s="28"/>
      <c r="KXI25" s="28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5"/>
      <c r="KYH25" s="4"/>
      <c r="KYI25" s="28"/>
      <c r="KYJ25" s="28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5"/>
      <c r="KZI25" s="4"/>
      <c r="KZJ25" s="28"/>
      <c r="KZK25" s="28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5"/>
      <c r="LAJ25" s="4"/>
      <c r="LAK25" s="28"/>
      <c r="LAL25" s="28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5"/>
      <c r="LBK25" s="4"/>
      <c r="LBL25" s="28"/>
      <c r="LBM25" s="28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5"/>
      <c r="LCL25" s="4"/>
      <c r="LCM25" s="28"/>
      <c r="LCN25" s="28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5"/>
      <c r="LDM25" s="4"/>
      <c r="LDN25" s="28"/>
      <c r="LDO25" s="28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5"/>
      <c r="LEN25" s="4"/>
      <c r="LEO25" s="28"/>
      <c r="LEP25" s="28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5"/>
      <c r="LFO25" s="4"/>
      <c r="LFP25" s="28"/>
      <c r="LFQ25" s="28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5"/>
      <c r="LGP25" s="4"/>
      <c r="LGQ25" s="28"/>
      <c r="LGR25" s="28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5"/>
      <c r="LHQ25" s="4"/>
      <c r="LHR25" s="28"/>
      <c r="LHS25" s="28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5"/>
      <c r="LIR25" s="4"/>
      <c r="LIS25" s="28"/>
      <c r="LIT25" s="28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5"/>
      <c r="LJS25" s="4"/>
      <c r="LJT25" s="28"/>
      <c r="LJU25" s="28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5"/>
      <c r="LKT25" s="4"/>
      <c r="LKU25" s="28"/>
      <c r="LKV25" s="28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5"/>
      <c r="LLU25" s="4"/>
      <c r="LLV25" s="28"/>
      <c r="LLW25" s="28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5"/>
      <c r="LMV25" s="4"/>
      <c r="LMW25" s="28"/>
      <c r="LMX25" s="28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5"/>
      <c r="LNW25" s="4"/>
      <c r="LNX25" s="28"/>
      <c r="LNY25" s="28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5"/>
      <c r="LOX25" s="4"/>
      <c r="LOY25" s="28"/>
      <c r="LOZ25" s="28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5"/>
      <c r="LPY25" s="4"/>
      <c r="LPZ25" s="28"/>
      <c r="LQA25" s="28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5"/>
      <c r="LQZ25" s="4"/>
      <c r="LRA25" s="28"/>
      <c r="LRB25" s="28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5"/>
      <c r="LSA25" s="4"/>
      <c r="LSB25" s="28"/>
      <c r="LSC25" s="28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5"/>
      <c r="LTB25" s="4"/>
      <c r="LTC25" s="28"/>
      <c r="LTD25" s="28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5"/>
      <c r="LUC25" s="4"/>
      <c r="LUD25" s="28"/>
      <c r="LUE25" s="28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5"/>
      <c r="LVD25" s="4"/>
      <c r="LVE25" s="28"/>
      <c r="LVF25" s="28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5"/>
      <c r="LWE25" s="4"/>
      <c r="LWF25" s="28"/>
      <c r="LWG25" s="28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5"/>
      <c r="LXF25" s="4"/>
      <c r="LXG25" s="28"/>
      <c r="LXH25" s="28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5"/>
      <c r="LYG25" s="4"/>
      <c r="LYH25" s="28"/>
      <c r="LYI25" s="28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5"/>
      <c r="LZH25" s="4"/>
      <c r="LZI25" s="28"/>
      <c r="LZJ25" s="28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5"/>
      <c r="MAI25" s="4"/>
      <c r="MAJ25" s="28"/>
      <c r="MAK25" s="28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5"/>
      <c r="MBJ25" s="4"/>
      <c r="MBK25" s="28"/>
      <c r="MBL25" s="28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5"/>
      <c r="MCK25" s="4"/>
      <c r="MCL25" s="28"/>
      <c r="MCM25" s="28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5"/>
      <c r="MDL25" s="4"/>
      <c r="MDM25" s="28"/>
      <c r="MDN25" s="28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5"/>
      <c r="MEM25" s="4"/>
      <c r="MEN25" s="28"/>
      <c r="MEO25" s="28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5"/>
      <c r="MFN25" s="4"/>
      <c r="MFO25" s="28"/>
      <c r="MFP25" s="28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5"/>
      <c r="MGO25" s="4"/>
      <c r="MGP25" s="28"/>
      <c r="MGQ25" s="28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5"/>
      <c r="MHP25" s="4"/>
      <c r="MHQ25" s="28"/>
      <c r="MHR25" s="28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5"/>
      <c r="MIQ25" s="4"/>
      <c r="MIR25" s="28"/>
      <c r="MIS25" s="28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5"/>
      <c r="MJR25" s="4"/>
      <c r="MJS25" s="28"/>
      <c r="MJT25" s="28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5"/>
      <c r="MKS25" s="4"/>
      <c r="MKT25" s="28"/>
      <c r="MKU25" s="28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5"/>
      <c r="MLT25" s="4"/>
      <c r="MLU25" s="28"/>
      <c r="MLV25" s="28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5"/>
      <c r="MMU25" s="4"/>
      <c r="MMV25" s="28"/>
      <c r="MMW25" s="28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5"/>
      <c r="MNV25" s="4"/>
      <c r="MNW25" s="28"/>
      <c r="MNX25" s="28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5"/>
      <c r="MOW25" s="4"/>
      <c r="MOX25" s="28"/>
      <c r="MOY25" s="28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5"/>
      <c r="MPX25" s="4"/>
      <c r="MPY25" s="28"/>
      <c r="MPZ25" s="28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5"/>
      <c r="MQY25" s="4"/>
      <c r="MQZ25" s="28"/>
      <c r="MRA25" s="28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5"/>
      <c r="MRZ25" s="4"/>
      <c r="MSA25" s="28"/>
      <c r="MSB25" s="28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5"/>
      <c r="MTA25" s="4"/>
      <c r="MTB25" s="28"/>
      <c r="MTC25" s="28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5"/>
      <c r="MUB25" s="4"/>
      <c r="MUC25" s="28"/>
      <c r="MUD25" s="28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5"/>
      <c r="MVC25" s="4"/>
      <c r="MVD25" s="28"/>
      <c r="MVE25" s="28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5"/>
      <c r="MWD25" s="4"/>
      <c r="MWE25" s="28"/>
      <c r="MWF25" s="28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5"/>
      <c r="MXE25" s="4"/>
      <c r="MXF25" s="28"/>
      <c r="MXG25" s="28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5"/>
      <c r="MYF25" s="4"/>
      <c r="MYG25" s="28"/>
      <c r="MYH25" s="28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5"/>
      <c r="MZG25" s="4"/>
      <c r="MZH25" s="28"/>
      <c r="MZI25" s="28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5"/>
      <c r="NAH25" s="4"/>
      <c r="NAI25" s="28"/>
      <c r="NAJ25" s="28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5"/>
      <c r="NBI25" s="4"/>
      <c r="NBJ25" s="28"/>
      <c r="NBK25" s="28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5"/>
      <c r="NCJ25" s="4"/>
      <c r="NCK25" s="28"/>
      <c r="NCL25" s="28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5"/>
      <c r="NDK25" s="4"/>
      <c r="NDL25" s="28"/>
      <c r="NDM25" s="28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5"/>
      <c r="NEL25" s="4"/>
      <c r="NEM25" s="28"/>
      <c r="NEN25" s="28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5"/>
      <c r="NFM25" s="4"/>
      <c r="NFN25" s="28"/>
      <c r="NFO25" s="28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5"/>
      <c r="NGN25" s="4"/>
      <c r="NGO25" s="28"/>
      <c r="NGP25" s="28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5"/>
      <c r="NHO25" s="4"/>
      <c r="NHP25" s="28"/>
      <c r="NHQ25" s="28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5"/>
      <c r="NIP25" s="4"/>
      <c r="NIQ25" s="28"/>
      <c r="NIR25" s="28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5"/>
      <c r="NJQ25" s="4"/>
      <c r="NJR25" s="28"/>
      <c r="NJS25" s="28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5"/>
      <c r="NKR25" s="4"/>
      <c r="NKS25" s="28"/>
      <c r="NKT25" s="28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5"/>
      <c r="NLS25" s="4"/>
      <c r="NLT25" s="28"/>
      <c r="NLU25" s="28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5"/>
      <c r="NMT25" s="4"/>
      <c r="NMU25" s="28"/>
      <c r="NMV25" s="28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5"/>
      <c r="NNU25" s="4"/>
      <c r="NNV25" s="28"/>
      <c r="NNW25" s="28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5"/>
      <c r="NOV25" s="4"/>
      <c r="NOW25" s="28"/>
      <c r="NOX25" s="28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5"/>
      <c r="NPW25" s="4"/>
      <c r="NPX25" s="28"/>
      <c r="NPY25" s="28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5"/>
      <c r="NQX25" s="4"/>
      <c r="NQY25" s="28"/>
      <c r="NQZ25" s="28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5"/>
      <c r="NRY25" s="4"/>
      <c r="NRZ25" s="28"/>
      <c r="NSA25" s="28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5"/>
      <c r="NSZ25" s="4"/>
      <c r="NTA25" s="28"/>
      <c r="NTB25" s="28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5"/>
      <c r="NUA25" s="4"/>
      <c r="NUB25" s="28"/>
      <c r="NUC25" s="28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5"/>
      <c r="NVB25" s="4"/>
      <c r="NVC25" s="28"/>
      <c r="NVD25" s="28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5"/>
      <c r="NWC25" s="4"/>
      <c r="NWD25" s="28"/>
      <c r="NWE25" s="28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5"/>
      <c r="NXD25" s="4"/>
      <c r="NXE25" s="28"/>
      <c r="NXF25" s="28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5"/>
      <c r="NYE25" s="4"/>
      <c r="NYF25" s="28"/>
      <c r="NYG25" s="28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5"/>
      <c r="NZF25" s="4"/>
      <c r="NZG25" s="28"/>
      <c r="NZH25" s="28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5"/>
      <c r="OAG25" s="4"/>
      <c r="OAH25" s="28"/>
      <c r="OAI25" s="28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5"/>
      <c r="OBH25" s="4"/>
      <c r="OBI25" s="28"/>
      <c r="OBJ25" s="28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5"/>
      <c r="OCI25" s="4"/>
      <c r="OCJ25" s="28"/>
      <c r="OCK25" s="28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5"/>
      <c r="ODJ25" s="4"/>
      <c r="ODK25" s="28"/>
      <c r="ODL25" s="28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5"/>
      <c r="OEK25" s="4"/>
      <c r="OEL25" s="28"/>
      <c r="OEM25" s="28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5"/>
      <c r="OFL25" s="4"/>
      <c r="OFM25" s="28"/>
      <c r="OFN25" s="28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5"/>
      <c r="OGM25" s="4"/>
      <c r="OGN25" s="28"/>
      <c r="OGO25" s="28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5"/>
      <c r="OHN25" s="4"/>
      <c r="OHO25" s="28"/>
      <c r="OHP25" s="28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5"/>
      <c r="OIO25" s="4"/>
      <c r="OIP25" s="28"/>
      <c r="OIQ25" s="28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5"/>
      <c r="OJP25" s="4"/>
      <c r="OJQ25" s="28"/>
      <c r="OJR25" s="28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5"/>
      <c r="OKQ25" s="4"/>
      <c r="OKR25" s="28"/>
      <c r="OKS25" s="28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5"/>
      <c r="OLR25" s="4"/>
      <c r="OLS25" s="28"/>
      <c r="OLT25" s="28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5"/>
      <c r="OMS25" s="4"/>
      <c r="OMT25" s="28"/>
      <c r="OMU25" s="28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5"/>
      <c r="ONT25" s="4"/>
      <c r="ONU25" s="28"/>
      <c r="ONV25" s="28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5"/>
      <c r="OOU25" s="4"/>
      <c r="OOV25" s="28"/>
      <c r="OOW25" s="28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5"/>
      <c r="OPV25" s="4"/>
      <c r="OPW25" s="28"/>
      <c r="OPX25" s="28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5"/>
      <c r="OQW25" s="4"/>
      <c r="OQX25" s="28"/>
      <c r="OQY25" s="28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5"/>
      <c r="ORX25" s="4"/>
      <c r="ORY25" s="28"/>
      <c r="ORZ25" s="28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5"/>
      <c r="OSY25" s="4"/>
      <c r="OSZ25" s="28"/>
      <c r="OTA25" s="28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5"/>
      <c r="OTZ25" s="4"/>
      <c r="OUA25" s="28"/>
      <c r="OUB25" s="28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5"/>
      <c r="OVA25" s="4"/>
      <c r="OVB25" s="28"/>
      <c r="OVC25" s="28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5"/>
      <c r="OWB25" s="4"/>
      <c r="OWC25" s="28"/>
      <c r="OWD25" s="28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5"/>
      <c r="OXC25" s="4"/>
      <c r="OXD25" s="28"/>
      <c r="OXE25" s="28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5"/>
      <c r="OYD25" s="4"/>
      <c r="OYE25" s="28"/>
      <c r="OYF25" s="28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5"/>
      <c r="OZE25" s="4"/>
      <c r="OZF25" s="28"/>
      <c r="OZG25" s="28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5"/>
      <c r="PAF25" s="4"/>
      <c r="PAG25" s="28"/>
      <c r="PAH25" s="28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5"/>
      <c r="PBG25" s="4"/>
      <c r="PBH25" s="28"/>
      <c r="PBI25" s="28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5"/>
      <c r="PCH25" s="4"/>
      <c r="PCI25" s="28"/>
      <c r="PCJ25" s="28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5"/>
      <c r="PDI25" s="4"/>
      <c r="PDJ25" s="28"/>
      <c r="PDK25" s="28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5"/>
      <c r="PEJ25" s="4"/>
      <c r="PEK25" s="28"/>
      <c r="PEL25" s="28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5"/>
      <c r="PFK25" s="4"/>
      <c r="PFL25" s="28"/>
      <c r="PFM25" s="28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5"/>
      <c r="PGL25" s="4"/>
      <c r="PGM25" s="28"/>
      <c r="PGN25" s="28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5"/>
      <c r="PHM25" s="4"/>
      <c r="PHN25" s="28"/>
      <c r="PHO25" s="28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5"/>
      <c r="PIN25" s="4"/>
      <c r="PIO25" s="28"/>
      <c r="PIP25" s="28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5"/>
      <c r="PJO25" s="4"/>
      <c r="PJP25" s="28"/>
      <c r="PJQ25" s="28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5"/>
      <c r="PKP25" s="4"/>
      <c r="PKQ25" s="28"/>
      <c r="PKR25" s="28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5"/>
      <c r="PLQ25" s="4"/>
      <c r="PLR25" s="28"/>
      <c r="PLS25" s="28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5"/>
      <c r="PMR25" s="4"/>
      <c r="PMS25" s="28"/>
      <c r="PMT25" s="28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5"/>
      <c r="PNS25" s="4"/>
      <c r="PNT25" s="28"/>
      <c r="PNU25" s="28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5"/>
      <c r="POT25" s="4"/>
      <c r="POU25" s="28"/>
      <c r="POV25" s="28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5"/>
      <c r="PPU25" s="4"/>
      <c r="PPV25" s="28"/>
      <c r="PPW25" s="28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5"/>
      <c r="PQV25" s="4"/>
      <c r="PQW25" s="28"/>
      <c r="PQX25" s="28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5"/>
      <c r="PRW25" s="4"/>
      <c r="PRX25" s="28"/>
      <c r="PRY25" s="28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5"/>
      <c r="PSX25" s="4"/>
      <c r="PSY25" s="28"/>
      <c r="PSZ25" s="28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5"/>
      <c r="PTY25" s="4"/>
      <c r="PTZ25" s="28"/>
      <c r="PUA25" s="28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5"/>
      <c r="PUZ25" s="4"/>
      <c r="PVA25" s="28"/>
      <c r="PVB25" s="28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5"/>
      <c r="PWA25" s="4"/>
      <c r="PWB25" s="28"/>
      <c r="PWC25" s="28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5"/>
      <c r="PXB25" s="4"/>
      <c r="PXC25" s="28"/>
      <c r="PXD25" s="28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5"/>
      <c r="PYC25" s="4"/>
      <c r="PYD25" s="28"/>
      <c r="PYE25" s="28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5"/>
      <c r="PZD25" s="4"/>
      <c r="PZE25" s="28"/>
      <c r="PZF25" s="28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5"/>
      <c r="QAE25" s="4"/>
      <c r="QAF25" s="28"/>
      <c r="QAG25" s="28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5"/>
      <c r="QBF25" s="4"/>
      <c r="QBG25" s="28"/>
      <c r="QBH25" s="28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5"/>
      <c r="QCG25" s="4"/>
      <c r="QCH25" s="28"/>
      <c r="QCI25" s="28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5"/>
      <c r="QDH25" s="4"/>
      <c r="QDI25" s="28"/>
      <c r="QDJ25" s="28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5"/>
      <c r="QEI25" s="4"/>
      <c r="QEJ25" s="28"/>
      <c r="QEK25" s="28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5"/>
      <c r="QFJ25" s="4"/>
      <c r="QFK25" s="28"/>
      <c r="QFL25" s="28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5"/>
      <c r="QGK25" s="4"/>
      <c r="QGL25" s="28"/>
      <c r="QGM25" s="28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5"/>
      <c r="QHL25" s="4"/>
      <c r="QHM25" s="28"/>
      <c r="QHN25" s="28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5"/>
      <c r="QIM25" s="4"/>
      <c r="QIN25" s="28"/>
      <c r="QIO25" s="28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5"/>
      <c r="QJN25" s="4"/>
      <c r="QJO25" s="28"/>
      <c r="QJP25" s="28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5"/>
      <c r="QKO25" s="4"/>
      <c r="QKP25" s="28"/>
      <c r="QKQ25" s="28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5"/>
      <c r="QLP25" s="4"/>
      <c r="QLQ25" s="28"/>
      <c r="QLR25" s="28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5"/>
      <c r="QMQ25" s="4"/>
      <c r="QMR25" s="28"/>
      <c r="QMS25" s="28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5"/>
      <c r="QNR25" s="4"/>
      <c r="QNS25" s="28"/>
      <c r="QNT25" s="28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5"/>
      <c r="QOS25" s="4"/>
      <c r="QOT25" s="28"/>
      <c r="QOU25" s="28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5"/>
      <c r="QPT25" s="4"/>
      <c r="QPU25" s="28"/>
      <c r="QPV25" s="28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5"/>
      <c r="QQU25" s="4"/>
      <c r="QQV25" s="28"/>
      <c r="QQW25" s="28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5"/>
      <c r="QRV25" s="4"/>
      <c r="QRW25" s="28"/>
      <c r="QRX25" s="28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5"/>
      <c r="QSW25" s="4"/>
      <c r="QSX25" s="28"/>
      <c r="QSY25" s="28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5"/>
      <c r="QTX25" s="4"/>
      <c r="QTY25" s="28"/>
      <c r="QTZ25" s="28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5"/>
      <c r="QUY25" s="4"/>
      <c r="QUZ25" s="28"/>
      <c r="QVA25" s="28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5"/>
      <c r="QVZ25" s="4"/>
      <c r="QWA25" s="28"/>
      <c r="QWB25" s="28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5"/>
      <c r="QXA25" s="4"/>
      <c r="QXB25" s="28"/>
      <c r="QXC25" s="28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5"/>
      <c r="QYB25" s="4"/>
      <c r="QYC25" s="28"/>
      <c r="QYD25" s="28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5"/>
      <c r="QZC25" s="4"/>
      <c r="QZD25" s="28"/>
      <c r="QZE25" s="28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5"/>
      <c r="RAD25" s="4"/>
      <c r="RAE25" s="28"/>
      <c r="RAF25" s="28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5"/>
      <c r="RBE25" s="4"/>
      <c r="RBF25" s="28"/>
      <c r="RBG25" s="28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5"/>
      <c r="RCF25" s="4"/>
      <c r="RCG25" s="28"/>
      <c r="RCH25" s="28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5"/>
      <c r="RDG25" s="4"/>
      <c r="RDH25" s="28"/>
      <c r="RDI25" s="28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5"/>
      <c r="REH25" s="4"/>
      <c r="REI25" s="28"/>
      <c r="REJ25" s="28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5"/>
      <c r="RFI25" s="4"/>
      <c r="RFJ25" s="28"/>
      <c r="RFK25" s="28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5"/>
      <c r="RGJ25" s="4"/>
      <c r="RGK25" s="28"/>
      <c r="RGL25" s="28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5"/>
      <c r="RHK25" s="4"/>
      <c r="RHL25" s="28"/>
      <c r="RHM25" s="28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5"/>
      <c r="RIL25" s="4"/>
      <c r="RIM25" s="28"/>
      <c r="RIN25" s="28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5"/>
      <c r="RJM25" s="4"/>
      <c r="RJN25" s="28"/>
      <c r="RJO25" s="28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5"/>
      <c r="RKN25" s="4"/>
      <c r="RKO25" s="28"/>
      <c r="RKP25" s="28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5"/>
      <c r="RLO25" s="4"/>
      <c r="RLP25" s="28"/>
      <c r="RLQ25" s="28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5"/>
      <c r="RMP25" s="4"/>
      <c r="RMQ25" s="28"/>
      <c r="RMR25" s="28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5"/>
      <c r="RNQ25" s="4"/>
      <c r="RNR25" s="28"/>
      <c r="RNS25" s="28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5"/>
      <c r="ROR25" s="4"/>
      <c r="ROS25" s="28"/>
      <c r="ROT25" s="28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5"/>
      <c r="RPS25" s="4"/>
      <c r="RPT25" s="28"/>
      <c r="RPU25" s="28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5"/>
      <c r="RQT25" s="4"/>
      <c r="RQU25" s="28"/>
      <c r="RQV25" s="28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5"/>
      <c r="RRU25" s="4"/>
      <c r="RRV25" s="28"/>
      <c r="RRW25" s="28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5"/>
      <c r="RSV25" s="4"/>
      <c r="RSW25" s="28"/>
      <c r="RSX25" s="28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5"/>
      <c r="RTW25" s="4"/>
      <c r="RTX25" s="28"/>
      <c r="RTY25" s="28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5"/>
      <c r="RUX25" s="4"/>
      <c r="RUY25" s="28"/>
      <c r="RUZ25" s="28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5"/>
      <c r="RVY25" s="4"/>
      <c r="RVZ25" s="28"/>
      <c r="RWA25" s="28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5"/>
      <c r="RWZ25" s="4"/>
      <c r="RXA25" s="28"/>
      <c r="RXB25" s="28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5"/>
      <c r="RYA25" s="4"/>
      <c r="RYB25" s="28"/>
      <c r="RYC25" s="28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5"/>
      <c r="RZB25" s="4"/>
      <c r="RZC25" s="28"/>
      <c r="RZD25" s="28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5"/>
      <c r="SAC25" s="4"/>
      <c r="SAD25" s="28"/>
      <c r="SAE25" s="28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5"/>
      <c r="SBD25" s="4"/>
      <c r="SBE25" s="28"/>
      <c r="SBF25" s="28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5"/>
      <c r="SCE25" s="4"/>
      <c r="SCF25" s="28"/>
      <c r="SCG25" s="28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5"/>
      <c r="SDF25" s="4"/>
      <c r="SDG25" s="28"/>
      <c r="SDH25" s="28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5"/>
      <c r="SEG25" s="4"/>
      <c r="SEH25" s="28"/>
      <c r="SEI25" s="28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5"/>
      <c r="SFH25" s="4"/>
      <c r="SFI25" s="28"/>
      <c r="SFJ25" s="28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5"/>
      <c r="SGI25" s="4"/>
      <c r="SGJ25" s="28"/>
      <c r="SGK25" s="28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5"/>
      <c r="SHJ25" s="4"/>
      <c r="SHK25" s="28"/>
      <c r="SHL25" s="28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5"/>
      <c r="SIK25" s="4"/>
      <c r="SIL25" s="28"/>
      <c r="SIM25" s="28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5"/>
      <c r="SJL25" s="4"/>
      <c r="SJM25" s="28"/>
      <c r="SJN25" s="28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5"/>
      <c r="SKM25" s="4"/>
      <c r="SKN25" s="28"/>
      <c r="SKO25" s="28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5"/>
      <c r="SLN25" s="4"/>
      <c r="SLO25" s="28"/>
      <c r="SLP25" s="28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5"/>
      <c r="SMO25" s="4"/>
      <c r="SMP25" s="28"/>
      <c r="SMQ25" s="28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5"/>
      <c r="SNP25" s="4"/>
      <c r="SNQ25" s="28"/>
      <c r="SNR25" s="28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5"/>
      <c r="SOQ25" s="4"/>
      <c r="SOR25" s="28"/>
      <c r="SOS25" s="28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5"/>
      <c r="SPR25" s="4"/>
      <c r="SPS25" s="28"/>
      <c r="SPT25" s="28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5"/>
      <c r="SQS25" s="4"/>
      <c r="SQT25" s="28"/>
      <c r="SQU25" s="28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5"/>
      <c r="SRT25" s="4"/>
      <c r="SRU25" s="28"/>
      <c r="SRV25" s="28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5"/>
      <c r="SSU25" s="4"/>
      <c r="SSV25" s="28"/>
      <c r="SSW25" s="28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5"/>
      <c r="STV25" s="4"/>
      <c r="STW25" s="28"/>
      <c r="STX25" s="28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5"/>
      <c r="SUW25" s="4"/>
      <c r="SUX25" s="28"/>
      <c r="SUY25" s="28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5"/>
      <c r="SVX25" s="4"/>
      <c r="SVY25" s="28"/>
      <c r="SVZ25" s="28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5"/>
      <c r="SWY25" s="4"/>
      <c r="SWZ25" s="28"/>
      <c r="SXA25" s="28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5"/>
      <c r="SXZ25" s="4"/>
      <c r="SYA25" s="28"/>
      <c r="SYB25" s="28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5"/>
      <c r="SZA25" s="4"/>
      <c r="SZB25" s="28"/>
      <c r="SZC25" s="28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5"/>
      <c r="TAB25" s="4"/>
      <c r="TAC25" s="28"/>
      <c r="TAD25" s="28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5"/>
      <c r="TBC25" s="4"/>
      <c r="TBD25" s="28"/>
      <c r="TBE25" s="28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5"/>
      <c r="TCD25" s="4"/>
      <c r="TCE25" s="28"/>
      <c r="TCF25" s="28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5"/>
      <c r="TDE25" s="4"/>
      <c r="TDF25" s="28"/>
      <c r="TDG25" s="28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5"/>
      <c r="TEF25" s="4"/>
      <c r="TEG25" s="28"/>
      <c r="TEH25" s="28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5"/>
      <c r="TFG25" s="4"/>
      <c r="TFH25" s="28"/>
      <c r="TFI25" s="28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5"/>
      <c r="TGH25" s="4"/>
      <c r="TGI25" s="28"/>
      <c r="TGJ25" s="28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5"/>
      <c r="THI25" s="4"/>
      <c r="THJ25" s="28"/>
      <c r="THK25" s="28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5"/>
      <c r="TIJ25" s="4"/>
      <c r="TIK25" s="28"/>
      <c r="TIL25" s="28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5"/>
      <c r="TJK25" s="4"/>
      <c r="TJL25" s="28"/>
      <c r="TJM25" s="28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5"/>
      <c r="TKL25" s="4"/>
      <c r="TKM25" s="28"/>
      <c r="TKN25" s="28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5"/>
      <c r="TLM25" s="4"/>
      <c r="TLN25" s="28"/>
      <c r="TLO25" s="28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5"/>
      <c r="TMN25" s="4"/>
      <c r="TMO25" s="28"/>
      <c r="TMP25" s="28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5"/>
      <c r="TNO25" s="4"/>
      <c r="TNP25" s="28"/>
      <c r="TNQ25" s="28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5"/>
      <c r="TOP25" s="4"/>
      <c r="TOQ25" s="28"/>
      <c r="TOR25" s="28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5"/>
      <c r="TPQ25" s="4"/>
      <c r="TPR25" s="28"/>
      <c r="TPS25" s="28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5"/>
      <c r="TQR25" s="4"/>
      <c r="TQS25" s="28"/>
      <c r="TQT25" s="28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5"/>
      <c r="TRS25" s="4"/>
      <c r="TRT25" s="28"/>
      <c r="TRU25" s="28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5"/>
      <c r="TST25" s="4"/>
      <c r="TSU25" s="28"/>
      <c r="TSV25" s="28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5"/>
      <c r="TTU25" s="4"/>
      <c r="TTV25" s="28"/>
      <c r="TTW25" s="28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5"/>
      <c r="TUV25" s="4"/>
      <c r="TUW25" s="28"/>
      <c r="TUX25" s="28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5"/>
      <c r="TVW25" s="4"/>
      <c r="TVX25" s="28"/>
      <c r="TVY25" s="28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5"/>
      <c r="TWX25" s="4"/>
      <c r="TWY25" s="28"/>
      <c r="TWZ25" s="28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5"/>
      <c r="TXY25" s="4"/>
      <c r="TXZ25" s="28"/>
      <c r="TYA25" s="28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5"/>
      <c r="TYZ25" s="4"/>
      <c r="TZA25" s="28"/>
      <c r="TZB25" s="28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5"/>
      <c r="UAA25" s="4"/>
      <c r="UAB25" s="28"/>
      <c r="UAC25" s="28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5"/>
      <c r="UBB25" s="4"/>
      <c r="UBC25" s="28"/>
      <c r="UBD25" s="28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5"/>
      <c r="UCC25" s="4"/>
      <c r="UCD25" s="28"/>
      <c r="UCE25" s="28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5"/>
      <c r="UDD25" s="4"/>
      <c r="UDE25" s="28"/>
      <c r="UDF25" s="28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5"/>
      <c r="UEE25" s="4"/>
      <c r="UEF25" s="28"/>
      <c r="UEG25" s="28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5"/>
      <c r="UFF25" s="4"/>
      <c r="UFG25" s="28"/>
      <c r="UFH25" s="28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5"/>
      <c r="UGG25" s="4"/>
      <c r="UGH25" s="28"/>
      <c r="UGI25" s="28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5"/>
      <c r="UHH25" s="4"/>
      <c r="UHI25" s="28"/>
      <c r="UHJ25" s="28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5"/>
      <c r="UII25" s="4"/>
      <c r="UIJ25" s="28"/>
      <c r="UIK25" s="28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5"/>
      <c r="UJJ25" s="4"/>
      <c r="UJK25" s="28"/>
      <c r="UJL25" s="28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5"/>
      <c r="UKK25" s="4"/>
      <c r="UKL25" s="28"/>
      <c r="UKM25" s="28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5"/>
      <c r="ULL25" s="4"/>
      <c r="ULM25" s="28"/>
      <c r="ULN25" s="28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5"/>
      <c r="UMM25" s="4"/>
      <c r="UMN25" s="28"/>
      <c r="UMO25" s="28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5"/>
      <c r="UNN25" s="4"/>
      <c r="UNO25" s="28"/>
      <c r="UNP25" s="28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5"/>
      <c r="UOO25" s="4"/>
      <c r="UOP25" s="28"/>
      <c r="UOQ25" s="28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5"/>
      <c r="UPP25" s="4"/>
      <c r="UPQ25" s="28"/>
      <c r="UPR25" s="28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5"/>
      <c r="UQQ25" s="4"/>
      <c r="UQR25" s="28"/>
      <c r="UQS25" s="28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5"/>
      <c r="URR25" s="4"/>
      <c r="URS25" s="28"/>
      <c r="URT25" s="28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5"/>
      <c r="USS25" s="4"/>
      <c r="UST25" s="28"/>
      <c r="USU25" s="28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5"/>
      <c r="UTT25" s="4"/>
      <c r="UTU25" s="28"/>
      <c r="UTV25" s="28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5"/>
      <c r="UUU25" s="4"/>
      <c r="UUV25" s="28"/>
      <c r="UUW25" s="28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5"/>
      <c r="UVV25" s="4"/>
      <c r="UVW25" s="28"/>
      <c r="UVX25" s="28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5"/>
      <c r="UWW25" s="4"/>
      <c r="UWX25" s="28"/>
      <c r="UWY25" s="28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5"/>
      <c r="UXX25" s="4"/>
      <c r="UXY25" s="28"/>
      <c r="UXZ25" s="28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5"/>
      <c r="UYY25" s="4"/>
      <c r="UYZ25" s="28"/>
      <c r="UZA25" s="28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5"/>
      <c r="UZZ25" s="4"/>
      <c r="VAA25" s="28"/>
      <c r="VAB25" s="28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5"/>
      <c r="VBA25" s="4"/>
      <c r="VBB25" s="28"/>
      <c r="VBC25" s="28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5"/>
      <c r="VCB25" s="4"/>
      <c r="VCC25" s="28"/>
      <c r="VCD25" s="28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5"/>
      <c r="VDC25" s="4"/>
      <c r="VDD25" s="28"/>
      <c r="VDE25" s="28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5"/>
      <c r="VED25" s="4"/>
      <c r="VEE25" s="28"/>
      <c r="VEF25" s="28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5"/>
      <c r="VFE25" s="4"/>
      <c r="VFF25" s="28"/>
      <c r="VFG25" s="28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5"/>
      <c r="VGF25" s="4"/>
      <c r="VGG25" s="28"/>
      <c r="VGH25" s="28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5"/>
      <c r="VHG25" s="4"/>
      <c r="VHH25" s="28"/>
      <c r="VHI25" s="28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5"/>
      <c r="VIH25" s="4"/>
      <c r="VII25" s="28"/>
      <c r="VIJ25" s="28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5"/>
      <c r="VJI25" s="4"/>
      <c r="VJJ25" s="28"/>
      <c r="VJK25" s="28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5"/>
      <c r="VKJ25" s="4"/>
      <c r="VKK25" s="28"/>
      <c r="VKL25" s="28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5"/>
      <c r="VLK25" s="4"/>
      <c r="VLL25" s="28"/>
      <c r="VLM25" s="28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5"/>
      <c r="VML25" s="4"/>
      <c r="VMM25" s="28"/>
      <c r="VMN25" s="28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5"/>
      <c r="VNM25" s="4"/>
      <c r="VNN25" s="28"/>
      <c r="VNO25" s="28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5"/>
      <c r="VON25" s="4"/>
      <c r="VOO25" s="28"/>
      <c r="VOP25" s="28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5"/>
      <c r="VPO25" s="4"/>
      <c r="VPP25" s="28"/>
      <c r="VPQ25" s="28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5"/>
      <c r="VQP25" s="4"/>
      <c r="VQQ25" s="28"/>
      <c r="VQR25" s="28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5"/>
      <c r="VRQ25" s="4"/>
      <c r="VRR25" s="28"/>
      <c r="VRS25" s="28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5"/>
      <c r="VSR25" s="4"/>
      <c r="VSS25" s="28"/>
      <c r="VST25" s="28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5"/>
      <c r="VTS25" s="4"/>
      <c r="VTT25" s="28"/>
      <c r="VTU25" s="28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5"/>
      <c r="VUT25" s="4"/>
      <c r="VUU25" s="28"/>
      <c r="VUV25" s="28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5"/>
      <c r="VVU25" s="4"/>
      <c r="VVV25" s="28"/>
      <c r="VVW25" s="28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5"/>
      <c r="VWV25" s="4"/>
      <c r="VWW25" s="28"/>
      <c r="VWX25" s="28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5"/>
      <c r="VXW25" s="4"/>
      <c r="VXX25" s="28"/>
      <c r="VXY25" s="28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5"/>
      <c r="VYX25" s="4"/>
      <c r="VYY25" s="28"/>
      <c r="VYZ25" s="28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5"/>
      <c r="VZY25" s="4"/>
      <c r="VZZ25" s="28"/>
      <c r="WAA25" s="28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5"/>
      <c r="WAZ25" s="4"/>
      <c r="WBA25" s="28"/>
      <c r="WBB25" s="28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5"/>
      <c r="WCA25" s="4"/>
      <c r="WCB25" s="28"/>
      <c r="WCC25" s="28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5"/>
      <c r="WDB25" s="4"/>
      <c r="WDC25" s="28"/>
      <c r="WDD25" s="28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5"/>
      <c r="WEC25" s="4"/>
      <c r="WED25" s="28"/>
      <c r="WEE25" s="28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5"/>
      <c r="WFD25" s="4"/>
      <c r="WFE25" s="28"/>
      <c r="WFF25" s="28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5"/>
      <c r="WGE25" s="4"/>
      <c r="WGF25" s="28"/>
      <c r="WGG25" s="28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5"/>
      <c r="WHF25" s="4"/>
      <c r="WHG25" s="28"/>
      <c r="WHH25" s="28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5"/>
      <c r="WIG25" s="4"/>
      <c r="WIH25" s="28"/>
      <c r="WII25" s="28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5"/>
      <c r="WJH25" s="4"/>
      <c r="WJI25" s="28"/>
      <c r="WJJ25" s="28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5"/>
      <c r="WKI25" s="4"/>
      <c r="WKJ25" s="28"/>
      <c r="WKK25" s="28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5"/>
      <c r="WLJ25" s="4"/>
      <c r="WLK25" s="28"/>
      <c r="WLL25" s="28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5"/>
      <c r="WMK25" s="4"/>
      <c r="WML25" s="28"/>
      <c r="WMM25" s="28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5"/>
      <c r="WNL25" s="4"/>
      <c r="WNM25" s="28"/>
      <c r="WNN25" s="28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5"/>
      <c r="WOM25" s="4"/>
      <c r="WON25" s="28"/>
      <c r="WOO25" s="28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5"/>
      <c r="WPN25" s="4"/>
      <c r="WPO25" s="28"/>
      <c r="WPP25" s="28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5"/>
      <c r="WQO25" s="4"/>
      <c r="WQP25" s="28"/>
      <c r="WQQ25" s="28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5"/>
      <c r="WRP25" s="4"/>
      <c r="WRQ25" s="28"/>
      <c r="WRR25" s="28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5"/>
      <c r="WSQ25" s="4"/>
      <c r="WSR25" s="28"/>
      <c r="WSS25" s="28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5"/>
      <c r="WTR25" s="4"/>
      <c r="WTS25" s="28"/>
      <c r="WTT25" s="28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5"/>
      <c r="WUS25" s="4"/>
      <c r="WUT25" s="28"/>
      <c r="WUU25" s="28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5"/>
      <c r="WVT25" s="4"/>
      <c r="WVU25" s="28"/>
      <c r="WVV25" s="28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5"/>
      <c r="WWU25" s="4"/>
      <c r="WWV25" s="28"/>
      <c r="WWW25" s="28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5"/>
      <c r="WXV25" s="4"/>
      <c r="WXW25" s="28"/>
      <c r="WXX25" s="28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5"/>
      <c r="WYW25" s="4"/>
      <c r="WYX25" s="28"/>
      <c r="WYY25" s="28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5"/>
      <c r="WZX25" s="4"/>
      <c r="WZY25" s="28"/>
      <c r="WZZ25" s="28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5"/>
      <c r="XAY25" s="4"/>
      <c r="XAZ25" s="28"/>
      <c r="XBA25" s="28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5"/>
      <c r="XBZ25" s="4"/>
      <c r="XCA25" s="28"/>
      <c r="XCB25" s="28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5"/>
      <c r="XDA25" s="4"/>
      <c r="XDB25" s="28"/>
      <c r="XDC25" s="28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</row>
    <row r="26" spans="1:16348">
      <c r="A26" s="5"/>
      <c r="B26" s="4"/>
      <c r="C26" s="28"/>
      <c r="D26" s="28"/>
      <c r="E26" s="28"/>
      <c r="F26" s="17">
        <f t="shared" si="12"/>
        <v>17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5"/>
      <c r="AV26" s="4"/>
      <c r="AW26" s="28"/>
      <c r="AX26" s="28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5"/>
      <c r="BW26" s="4"/>
      <c r="BX26" s="28"/>
      <c r="BY26" s="28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5"/>
      <c r="CX26" s="4"/>
      <c r="CY26" s="28"/>
      <c r="CZ26" s="28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5"/>
      <c r="DY26" s="4"/>
      <c r="DZ26" s="28"/>
      <c r="EA26" s="28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5"/>
      <c r="EZ26" s="4"/>
      <c r="FA26" s="28"/>
      <c r="FB26" s="28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5"/>
      <c r="GA26" s="4"/>
      <c r="GB26" s="28"/>
      <c r="GC26" s="28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5"/>
      <c r="HB26" s="4"/>
      <c r="HC26" s="28"/>
      <c r="HD26" s="28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5"/>
      <c r="IC26" s="4"/>
      <c r="ID26" s="28"/>
      <c r="IE26" s="28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5"/>
      <c r="JD26" s="4"/>
      <c r="JE26" s="28"/>
      <c r="JF26" s="28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5"/>
      <c r="KE26" s="4"/>
      <c r="KF26" s="28"/>
      <c r="KG26" s="28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5"/>
      <c r="LF26" s="4"/>
      <c r="LG26" s="28"/>
      <c r="LH26" s="28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5"/>
      <c r="MG26" s="4"/>
      <c r="MH26" s="28"/>
      <c r="MI26" s="28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5"/>
      <c r="NH26" s="4"/>
      <c r="NI26" s="28"/>
      <c r="NJ26" s="28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5"/>
      <c r="OI26" s="4"/>
      <c r="OJ26" s="28"/>
      <c r="OK26" s="28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5"/>
      <c r="PJ26" s="4"/>
      <c r="PK26" s="28"/>
      <c r="PL26" s="28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5"/>
      <c r="QK26" s="4"/>
      <c r="QL26" s="28"/>
      <c r="QM26" s="28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5"/>
      <c r="RL26" s="4"/>
      <c r="RM26" s="28"/>
      <c r="RN26" s="28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5"/>
      <c r="SM26" s="4"/>
      <c r="SN26" s="28"/>
      <c r="SO26" s="28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5"/>
      <c r="TN26" s="4"/>
      <c r="TO26" s="28"/>
      <c r="TP26" s="28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5"/>
      <c r="UO26" s="4"/>
      <c r="UP26" s="28"/>
      <c r="UQ26" s="28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5"/>
      <c r="VP26" s="4"/>
      <c r="VQ26" s="28"/>
      <c r="VR26" s="28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5"/>
      <c r="WQ26" s="4"/>
      <c r="WR26" s="28"/>
      <c r="WS26" s="28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5"/>
      <c r="XR26" s="4"/>
      <c r="XS26" s="28"/>
      <c r="XT26" s="28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5"/>
      <c r="YS26" s="4"/>
      <c r="YT26" s="28"/>
      <c r="YU26" s="28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5"/>
      <c r="ZT26" s="4"/>
      <c r="ZU26" s="28"/>
      <c r="ZV26" s="28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5"/>
      <c r="AAU26" s="4"/>
      <c r="AAV26" s="28"/>
      <c r="AAW26" s="28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5"/>
      <c r="ABV26" s="4"/>
      <c r="ABW26" s="28"/>
      <c r="ABX26" s="28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5"/>
      <c r="ACW26" s="4"/>
      <c r="ACX26" s="28"/>
      <c r="ACY26" s="28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5"/>
      <c r="ADX26" s="4"/>
      <c r="ADY26" s="28"/>
      <c r="ADZ26" s="28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5"/>
      <c r="AEY26" s="4"/>
      <c r="AEZ26" s="28"/>
      <c r="AFA26" s="28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5"/>
      <c r="AFZ26" s="4"/>
      <c r="AGA26" s="28"/>
      <c r="AGB26" s="28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5"/>
      <c r="AHA26" s="4"/>
      <c r="AHB26" s="28"/>
      <c r="AHC26" s="28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5"/>
      <c r="AIB26" s="4"/>
      <c r="AIC26" s="28"/>
      <c r="AID26" s="28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5"/>
      <c r="AJC26" s="4"/>
      <c r="AJD26" s="28"/>
      <c r="AJE26" s="28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5"/>
      <c r="AKD26" s="4"/>
      <c r="AKE26" s="28"/>
      <c r="AKF26" s="28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5"/>
      <c r="ALE26" s="4"/>
      <c r="ALF26" s="28"/>
      <c r="ALG26" s="28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5"/>
      <c r="AMF26" s="4"/>
      <c r="AMG26" s="28"/>
      <c r="AMH26" s="28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5"/>
      <c r="ANG26" s="4"/>
      <c r="ANH26" s="28"/>
      <c r="ANI26" s="28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5"/>
      <c r="AOH26" s="4"/>
      <c r="AOI26" s="28"/>
      <c r="AOJ26" s="28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5"/>
      <c r="API26" s="4"/>
      <c r="APJ26" s="28"/>
      <c r="APK26" s="28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5"/>
      <c r="AQJ26" s="4"/>
      <c r="AQK26" s="28"/>
      <c r="AQL26" s="28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5"/>
      <c r="ARK26" s="4"/>
      <c r="ARL26" s="28"/>
      <c r="ARM26" s="28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5"/>
      <c r="ASL26" s="4"/>
      <c r="ASM26" s="28"/>
      <c r="ASN26" s="28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5"/>
      <c r="ATM26" s="4"/>
      <c r="ATN26" s="28"/>
      <c r="ATO26" s="28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5"/>
      <c r="AUN26" s="4"/>
      <c r="AUO26" s="28"/>
      <c r="AUP26" s="28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5"/>
      <c r="AVO26" s="4"/>
      <c r="AVP26" s="28"/>
      <c r="AVQ26" s="28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5"/>
      <c r="AWP26" s="4"/>
      <c r="AWQ26" s="28"/>
      <c r="AWR26" s="28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5"/>
      <c r="AXQ26" s="4"/>
      <c r="AXR26" s="28"/>
      <c r="AXS26" s="28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5"/>
      <c r="AYR26" s="4"/>
      <c r="AYS26" s="28"/>
      <c r="AYT26" s="28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5"/>
      <c r="AZS26" s="4"/>
      <c r="AZT26" s="28"/>
      <c r="AZU26" s="28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5"/>
      <c r="BAT26" s="4"/>
      <c r="BAU26" s="28"/>
      <c r="BAV26" s="28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5"/>
      <c r="BBU26" s="4"/>
      <c r="BBV26" s="28"/>
      <c r="BBW26" s="28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5"/>
      <c r="BCV26" s="4"/>
      <c r="BCW26" s="28"/>
      <c r="BCX26" s="28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5"/>
      <c r="BDW26" s="4"/>
      <c r="BDX26" s="28"/>
      <c r="BDY26" s="28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5"/>
      <c r="BEX26" s="4"/>
      <c r="BEY26" s="28"/>
      <c r="BEZ26" s="28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5"/>
      <c r="BFY26" s="4"/>
      <c r="BFZ26" s="28"/>
      <c r="BGA26" s="28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5"/>
      <c r="BGZ26" s="4"/>
      <c r="BHA26" s="28"/>
      <c r="BHB26" s="28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5"/>
      <c r="BIA26" s="4"/>
      <c r="BIB26" s="28"/>
      <c r="BIC26" s="28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5"/>
      <c r="BJB26" s="4"/>
      <c r="BJC26" s="28"/>
      <c r="BJD26" s="28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5"/>
      <c r="BKC26" s="4"/>
      <c r="BKD26" s="28"/>
      <c r="BKE26" s="28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5"/>
      <c r="BLD26" s="4"/>
      <c r="BLE26" s="28"/>
      <c r="BLF26" s="28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5"/>
      <c r="BME26" s="4"/>
      <c r="BMF26" s="28"/>
      <c r="BMG26" s="28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5"/>
      <c r="BNF26" s="4"/>
      <c r="BNG26" s="28"/>
      <c r="BNH26" s="28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5"/>
      <c r="BOG26" s="4"/>
      <c r="BOH26" s="28"/>
      <c r="BOI26" s="28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5"/>
      <c r="BPH26" s="4"/>
      <c r="BPI26" s="28"/>
      <c r="BPJ26" s="28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5"/>
      <c r="BQI26" s="4"/>
      <c r="BQJ26" s="28"/>
      <c r="BQK26" s="28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5"/>
      <c r="BRJ26" s="4"/>
      <c r="BRK26" s="28"/>
      <c r="BRL26" s="28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5"/>
      <c r="BSK26" s="4"/>
      <c r="BSL26" s="28"/>
      <c r="BSM26" s="28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5"/>
      <c r="BTL26" s="4"/>
      <c r="BTM26" s="28"/>
      <c r="BTN26" s="28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5"/>
      <c r="BUM26" s="4"/>
      <c r="BUN26" s="28"/>
      <c r="BUO26" s="28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5"/>
      <c r="BVN26" s="4"/>
      <c r="BVO26" s="28"/>
      <c r="BVP26" s="28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5"/>
      <c r="BWO26" s="4"/>
      <c r="BWP26" s="28"/>
      <c r="BWQ26" s="28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5"/>
      <c r="BXP26" s="4"/>
      <c r="BXQ26" s="28"/>
      <c r="BXR26" s="28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5"/>
      <c r="BYQ26" s="4"/>
      <c r="BYR26" s="28"/>
      <c r="BYS26" s="28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5"/>
      <c r="BZR26" s="4"/>
      <c r="BZS26" s="28"/>
      <c r="BZT26" s="28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5"/>
      <c r="CAS26" s="4"/>
      <c r="CAT26" s="28"/>
      <c r="CAU26" s="28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5"/>
      <c r="CBT26" s="4"/>
      <c r="CBU26" s="28"/>
      <c r="CBV26" s="28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5"/>
      <c r="CCU26" s="4"/>
      <c r="CCV26" s="28"/>
      <c r="CCW26" s="28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5"/>
      <c r="CDV26" s="4"/>
      <c r="CDW26" s="28"/>
      <c r="CDX26" s="28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5"/>
      <c r="CEW26" s="4"/>
      <c r="CEX26" s="28"/>
      <c r="CEY26" s="28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5"/>
      <c r="CFX26" s="4"/>
      <c r="CFY26" s="28"/>
      <c r="CFZ26" s="28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5"/>
      <c r="CGY26" s="4"/>
      <c r="CGZ26" s="28"/>
      <c r="CHA26" s="28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5"/>
      <c r="CHZ26" s="4"/>
      <c r="CIA26" s="28"/>
      <c r="CIB26" s="28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5"/>
      <c r="CJA26" s="4"/>
      <c r="CJB26" s="28"/>
      <c r="CJC26" s="28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5"/>
      <c r="CKB26" s="4"/>
      <c r="CKC26" s="28"/>
      <c r="CKD26" s="28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5"/>
      <c r="CLC26" s="4"/>
      <c r="CLD26" s="28"/>
      <c r="CLE26" s="28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5"/>
      <c r="CMD26" s="4"/>
      <c r="CME26" s="28"/>
      <c r="CMF26" s="28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5"/>
      <c r="CNE26" s="4"/>
      <c r="CNF26" s="28"/>
      <c r="CNG26" s="28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5"/>
      <c r="COF26" s="4"/>
      <c r="COG26" s="28"/>
      <c r="COH26" s="28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5"/>
      <c r="CPG26" s="4"/>
      <c r="CPH26" s="28"/>
      <c r="CPI26" s="28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5"/>
      <c r="CQH26" s="4"/>
      <c r="CQI26" s="28"/>
      <c r="CQJ26" s="28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5"/>
      <c r="CRI26" s="4"/>
      <c r="CRJ26" s="28"/>
      <c r="CRK26" s="28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5"/>
      <c r="CSJ26" s="4"/>
      <c r="CSK26" s="28"/>
      <c r="CSL26" s="28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5"/>
      <c r="CTK26" s="4"/>
      <c r="CTL26" s="28"/>
      <c r="CTM26" s="28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5"/>
      <c r="CUL26" s="4"/>
      <c r="CUM26" s="28"/>
      <c r="CUN26" s="28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5"/>
      <c r="CVM26" s="4"/>
      <c r="CVN26" s="28"/>
      <c r="CVO26" s="28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5"/>
      <c r="CWN26" s="4"/>
      <c r="CWO26" s="28"/>
      <c r="CWP26" s="28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5"/>
      <c r="CXO26" s="4"/>
      <c r="CXP26" s="28"/>
      <c r="CXQ26" s="28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5"/>
      <c r="CYP26" s="4"/>
      <c r="CYQ26" s="28"/>
      <c r="CYR26" s="28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5"/>
      <c r="CZQ26" s="4"/>
      <c r="CZR26" s="28"/>
      <c r="CZS26" s="28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5"/>
      <c r="DAR26" s="4"/>
      <c r="DAS26" s="28"/>
      <c r="DAT26" s="28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5"/>
      <c r="DBS26" s="4"/>
      <c r="DBT26" s="28"/>
      <c r="DBU26" s="28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5"/>
      <c r="DCT26" s="4"/>
      <c r="DCU26" s="28"/>
      <c r="DCV26" s="28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5"/>
      <c r="DDU26" s="4"/>
      <c r="DDV26" s="28"/>
      <c r="DDW26" s="28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5"/>
      <c r="DEV26" s="4"/>
      <c r="DEW26" s="28"/>
      <c r="DEX26" s="28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5"/>
      <c r="DFW26" s="4"/>
      <c r="DFX26" s="28"/>
      <c r="DFY26" s="28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5"/>
      <c r="DGX26" s="4"/>
      <c r="DGY26" s="28"/>
      <c r="DGZ26" s="28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5"/>
      <c r="DHY26" s="4"/>
      <c r="DHZ26" s="28"/>
      <c r="DIA26" s="28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5"/>
      <c r="DIZ26" s="4"/>
      <c r="DJA26" s="28"/>
      <c r="DJB26" s="28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5"/>
      <c r="DKA26" s="4"/>
      <c r="DKB26" s="28"/>
      <c r="DKC26" s="28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5"/>
      <c r="DLB26" s="4"/>
      <c r="DLC26" s="28"/>
      <c r="DLD26" s="28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5"/>
      <c r="DMC26" s="4"/>
      <c r="DMD26" s="28"/>
      <c r="DME26" s="28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5"/>
      <c r="DND26" s="4"/>
      <c r="DNE26" s="28"/>
      <c r="DNF26" s="28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5"/>
      <c r="DOE26" s="4"/>
      <c r="DOF26" s="28"/>
      <c r="DOG26" s="28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5"/>
      <c r="DPF26" s="4"/>
      <c r="DPG26" s="28"/>
      <c r="DPH26" s="28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5"/>
      <c r="DQG26" s="4"/>
      <c r="DQH26" s="28"/>
      <c r="DQI26" s="28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5"/>
      <c r="DRH26" s="4"/>
      <c r="DRI26" s="28"/>
      <c r="DRJ26" s="28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5"/>
      <c r="DSI26" s="4"/>
      <c r="DSJ26" s="28"/>
      <c r="DSK26" s="28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5"/>
      <c r="DTJ26" s="4"/>
      <c r="DTK26" s="28"/>
      <c r="DTL26" s="28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5"/>
      <c r="DUK26" s="4"/>
      <c r="DUL26" s="28"/>
      <c r="DUM26" s="28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5"/>
      <c r="DVL26" s="4"/>
      <c r="DVM26" s="28"/>
      <c r="DVN26" s="28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5"/>
      <c r="DWM26" s="4"/>
      <c r="DWN26" s="28"/>
      <c r="DWO26" s="28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5"/>
      <c r="DXN26" s="4"/>
      <c r="DXO26" s="28"/>
      <c r="DXP26" s="28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5"/>
      <c r="DYO26" s="4"/>
      <c r="DYP26" s="28"/>
      <c r="DYQ26" s="28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5"/>
      <c r="DZP26" s="4"/>
      <c r="DZQ26" s="28"/>
      <c r="DZR26" s="28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5"/>
      <c r="EAQ26" s="4"/>
      <c r="EAR26" s="28"/>
      <c r="EAS26" s="28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5"/>
      <c r="EBR26" s="4"/>
      <c r="EBS26" s="28"/>
      <c r="EBT26" s="28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5"/>
      <c r="ECS26" s="4"/>
      <c r="ECT26" s="28"/>
      <c r="ECU26" s="28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5"/>
      <c r="EDT26" s="4"/>
      <c r="EDU26" s="28"/>
      <c r="EDV26" s="28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5"/>
      <c r="EEU26" s="4"/>
      <c r="EEV26" s="28"/>
      <c r="EEW26" s="28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5"/>
      <c r="EFV26" s="4"/>
      <c r="EFW26" s="28"/>
      <c r="EFX26" s="28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5"/>
      <c r="EGW26" s="4"/>
      <c r="EGX26" s="28"/>
      <c r="EGY26" s="28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5"/>
      <c r="EHX26" s="4"/>
      <c r="EHY26" s="28"/>
      <c r="EHZ26" s="28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5"/>
      <c r="EIY26" s="4"/>
      <c r="EIZ26" s="28"/>
      <c r="EJA26" s="28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5"/>
      <c r="EJZ26" s="4"/>
      <c r="EKA26" s="28"/>
      <c r="EKB26" s="28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5"/>
      <c r="ELA26" s="4"/>
      <c r="ELB26" s="28"/>
      <c r="ELC26" s="28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5"/>
      <c r="EMB26" s="4"/>
      <c r="EMC26" s="28"/>
      <c r="EMD26" s="28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5"/>
      <c r="ENC26" s="4"/>
      <c r="END26" s="28"/>
      <c r="ENE26" s="28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5"/>
      <c r="EOD26" s="4"/>
      <c r="EOE26" s="28"/>
      <c r="EOF26" s="28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5"/>
      <c r="EPE26" s="4"/>
      <c r="EPF26" s="28"/>
      <c r="EPG26" s="28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5"/>
      <c r="EQF26" s="4"/>
      <c r="EQG26" s="28"/>
      <c r="EQH26" s="28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5"/>
      <c r="ERG26" s="4"/>
      <c r="ERH26" s="28"/>
      <c r="ERI26" s="28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5"/>
      <c r="ESH26" s="4"/>
      <c r="ESI26" s="28"/>
      <c r="ESJ26" s="28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5"/>
      <c r="ETI26" s="4"/>
      <c r="ETJ26" s="28"/>
      <c r="ETK26" s="28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5"/>
      <c r="EUJ26" s="4"/>
      <c r="EUK26" s="28"/>
      <c r="EUL26" s="28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5"/>
      <c r="EVK26" s="4"/>
      <c r="EVL26" s="28"/>
      <c r="EVM26" s="28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5"/>
      <c r="EWL26" s="4"/>
      <c r="EWM26" s="28"/>
      <c r="EWN26" s="28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5"/>
      <c r="EXM26" s="4"/>
      <c r="EXN26" s="28"/>
      <c r="EXO26" s="28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5"/>
      <c r="EYN26" s="4"/>
      <c r="EYO26" s="28"/>
      <c r="EYP26" s="28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5"/>
      <c r="EZO26" s="4"/>
      <c r="EZP26" s="28"/>
      <c r="EZQ26" s="28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5"/>
      <c r="FAP26" s="4"/>
      <c r="FAQ26" s="28"/>
      <c r="FAR26" s="28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5"/>
      <c r="FBQ26" s="4"/>
      <c r="FBR26" s="28"/>
      <c r="FBS26" s="28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5"/>
      <c r="FCR26" s="4"/>
      <c r="FCS26" s="28"/>
      <c r="FCT26" s="28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5"/>
      <c r="FDS26" s="4"/>
      <c r="FDT26" s="28"/>
      <c r="FDU26" s="28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5"/>
      <c r="FET26" s="4"/>
      <c r="FEU26" s="28"/>
      <c r="FEV26" s="28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5"/>
      <c r="FFU26" s="4"/>
      <c r="FFV26" s="28"/>
      <c r="FFW26" s="28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5"/>
      <c r="FGV26" s="4"/>
      <c r="FGW26" s="28"/>
      <c r="FGX26" s="28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5"/>
      <c r="FHW26" s="4"/>
      <c r="FHX26" s="28"/>
      <c r="FHY26" s="28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5"/>
      <c r="FIX26" s="4"/>
      <c r="FIY26" s="28"/>
      <c r="FIZ26" s="28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5"/>
      <c r="FJY26" s="4"/>
      <c r="FJZ26" s="28"/>
      <c r="FKA26" s="28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5"/>
      <c r="FKZ26" s="4"/>
      <c r="FLA26" s="28"/>
      <c r="FLB26" s="28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5"/>
      <c r="FMA26" s="4"/>
      <c r="FMB26" s="28"/>
      <c r="FMC26" s="28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5"/>
      <c r="FNB26" s="4"/>
      <c r="FNC26" s="28"/>
      <c r="FND26" s="28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5"/>
      <c r="FOC26" s="4"/>
      <c r="FOD26" s="28"/>
      <c r="FOE26" s="28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5"/>
      <c r="FPD26" s="4"/>
      <c r="FPE26" s="28"/>
      <c r="FPF26" s="28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5"/>
      <c r="FQE26" s="4"/>
      <c r="FQF26" s="28"/>
      <c r="FQG26" s="28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5"/>
      <c r="FRF26" s="4"/>
      <c r="FRG26" s="28"/>
      <c r="FRH26" s="28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5"/>
      <c r="FSG26" s="4"/>
      <c r="FSH26" s="28"/>
      <c r="FSI26" s="28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5"/>
      <c r="FTH26" s="4"/>
      <c r="FTI26" s="28"/>
      <c r="FTJ26" s="28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5"/>
      <c r="FUI26" s="4"/>
      <c r="FUJ26" s="28"/>
      <c r="FUK26" s="28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5"/>
      <c r="FVJ26" s="4"/>
      <c r="FVK26" s="28"/>
      <c r="FVL26" s="28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5"/>
      <c r="FWK26" s="4"/>
      <c r="FWL26" s="28"/>
      <c r="FWM26" s="28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5"/>
      <c r="FXL26" s="4"/>
      <c r="FXM26" s="28"/>
      <c r="FXN26" s="28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5"/>
      <c r="FYM26" s="4"/>
      <c r="FYN26" s="28"/>
      <c r="FYO26" s="28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5"/>
      <c r="FZN26" s="4"/>
      <c r="FZO26" s="28"/>
      <c r="FZP26" s="28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5"/>
      <c r="GAO26" s="4"/>
      <c r="GAP26" s="28"/>
      <c r="GAQ26" s="28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5"/>
      <c r="GBP26" s="4"/>
      <c r="GBQ26" s="28"/>
      <c r="GBR26" s="28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5"/>
      <c r="GCQ26" s="4"/>
      <c r="GCR26" s="28"/>
      <c r="GCS26" s="28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5"/>
      <c r="GDR26" s="4"/>
      <c r="GDS26" s="28"/>
      <c r="GDT26" s="28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5"/>
      <c r="GES26" s="4"/>
      <c r="GET26" s="28"/>
      <c r="GEU26" s="28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5"/>
      <c r="GFT26" s="4"/>
      <c r="GFU26" s="28"/>
      <c r="GFV26" s="28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5"/>
      <c r="GGU26" s="4"/>
      <c r="GGV26" s="28"/>
      <c r="GGW26" s="28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5"/>
      <c r="GHV26" s="4"/>
      <c r="GHW26" s="28"/>
      <c r="GHX26" s="28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5"/>
      <c r="GIW26" s="4"/>
      <c r="GIX26" s="28"/>
      <c r="GIY26" s="28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5"/>
      <c r="GJX26" s="4"/>
      <c r="GJY26" s="28"/>
      <c r="GJZ26" s="28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5"/>
      <c r="GKY26" s="4"/>
      <c r="GKZ26" s="28"/>
      <c r="GLA26" s="28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5"/>
      <c r="GLZ26" s="4"/>
      <c r="GMA26" s="28"/>
      <c r="GMB26" s="28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5"/>
      <c r="GNA26" s="4"/>
      <c r="GNB26" s="28"/>
      <c r="GNC26" s="28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5"/>
      <c r="GOB26" s="4"/>
      <c r="GOC26" s="28"/>
      <c r="GOD26" s="28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5"/>
      <c r="GPC26" s="4"/>
      <c r="GPD26" s="28"/>
      <c r="GPE26" s="28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5"/>
      <c r="GQD26" s="4"/>
      <c r="GQE26" s="28"/>
      <c r="GQF26" s="28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5"/>
      <c r="GRE26" s="4"/>
      <c r="GRF26" s="28"/>
      <c r="GRG26" s="28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5"/>
      <c r="GSF26" s="4"/>
      <c r="GSG26" s="28"/>
      <c r="GSH26" s="28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5"/>
      <c r="GTG26" s="4"/>
      <c r="GTH26" s="28"/>
      <c r="GTI26" s="28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5"/>
      <c r="GUH26" s="4"/>
      <c r="GUI26" s="28"/>
      <c r="GUJ26" s="28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5"/>
      <c r="GVI26" s="4"/>
      <c r="GVJ26" s="28"/>
      <c r="GVK26" s="28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5"/>
      <c r="GWJ26" s="4"/>
      <c r="GWK26" s="28"/>
      <c r="GWL26" s="28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5"/>
      <c r="GXK26" s="4"/>
      <c r="GXL26" s="28"/>
      <c r="GXM26" s="28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5"/>
      <c r="GYL26" s="4"/>
      <c r="GYM26" s="28"/>
      <c r="GYN26" s="28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5"/>
      <c r="GZM26" s="4"/>
      <c r="GZN26" s="28"/>
      <c r="GZO26" s="28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5"/>
      <c r="HAN26" s="4"/>
      <c r="HAO26" s="28"/>
      <c r="HAP26" s="28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5"/>
      <c r="HBO26" s="4"/>
      <c r="HBP26" s="28"/>
      <c r="HBQ26" s="28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5"/>
      <c r="HCP26" s="4"/>
      <c r="HCQ26" s="28"/>
      <c r="HCR26" s="28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5"/>
      <c r="HDQ26" s="4"/>
      <c r="HDR26" s="28"/>
      <c r="HDS26" s="28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5"/>
      <c r="HER26" s="4"/>
      <c r="HES26" s="28"/>
      <c r="HET26" s="28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5"/>
      <c r="HFS26" s="4"/>
      <c r="HFT26" s="28"/>
      <c r="HFU26" s="28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5"/>
      <c r="HGT26" s="4"/>
      <c r="HGU26" s="28"/>
      <c r="HGV26" s="28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5"/>
      <c r="HHU26" s="4"/>
      <c r="HHV26" s="28"/>
      <c r="HHW26" s="28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5"/>
      <c r="HIV26" s="4"/>
      <c r="HIW26" s="28"/>
      <c r="HIX26" s="28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5"/>
      <c r="HJW26" s="4"/>
      <c r="HJX26" s="28"/>
      <c r="HJY26" s="28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5"/>
      <c r="HKX26" s="4"/>
      <c r="HKY26" s="28"/>
      <c r="HKZ26" s="28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5"/>
      <c r="HLY26" s="4"/>
      <c r="HLZ26" s="28"/>
      <c r="HMA26" s="28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5"/>
      <c r="HMZ26" s="4"/>
      <c r="HNA26" s="28"/>
      <c r="HNB26" s="28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5"/>
      <c r="HOA26" s="4"/>
      <c r="HOB26" s="28"/>
      <c r="HOC26" s="28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5"/>
      <c r="HPB26" s="4"/>
      <c r="HPC26" s="28"/>
      <c r="HPD26" s="28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5"/>
      <c r="HQC26" s="4"/>
      <c r="HQD26" s="28"/>
      <c r="HQE26" s="28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5"/>
      <c r="HRD26" s="4"/>
      <c r="HRE26" s="28"/>
      <c r="HRF26" s="28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5"/>
      <c r="HSE26" s="4"/>
      <c r="HSF26" s="28"/>
      <c r="HSG26" s="28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5"/>
      <c r="HTF26" s="4"/>
      <c r="HTG26" s="28"/>
      <c r="HTH26" s="28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5"/>
      <c r="HUG26" s="4"/>
      <c r="HUH26" s="28"/>
      <c r="HUI26" s="28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5"/>
      <c r="HVH26" s="4"/>
      <c r="HVI26" s="28"/>
      <c r="HVJ26" s="28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5"/>
      <c r="HWI26" s="4"/>
      <c r="HWJ26" s="28"/>
      <c r="HWK26" s="28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5"/>
      <c r="HXJ26" s="4"/>
      <c r="HXK26" s="28"/>
      <c r="HXL26" s="28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5"/>
      <c r="HYK26" s="4"/>
      <c r="HYL26" s="28"/>
      <c r="HYM26" s="28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5"/>
      <c r="HZL26" s="4"/>
      <c r="HZM26" s="28"/>
      <c r="HZN26" s="28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5"/>
      <c r="IAM26" s="4"/>
      <c r="IAN26" s="28"/>
      <c r="IAO26" s="28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5"/>
      <c r="IBN26" s="4"/>
      <c r="IBO26" s="28"/>
      <c r="IBP26" s="28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5"/>
      <c r="ICO26" s="4"/>
      <c r="ICP26" s="28"/>
      <c r="ICQ26" s="28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5"/>
      <c r="IDP26" s="4"/>
      <c r="IDQ26" s="28"/>
      <c r="IDR26" s="28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5"/>
      <c r="IEQ26" s="4"/>
      <c r="IER26" s="28"/>
      <c r="IES26" s="28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5"/>
      <c r="IFR26" s="4"/>
      <c r="IFS26" s="28"/>
      <c r="IFT26" s="28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5"/>
      <c r="IGS26" s="4"/>
      <c r="IGT26" s="28"/>
      <c r="IGU26" s="28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5"/>
      <c r="IHT26" s="4"/>
      <c r="IHU26" s="28"/>
      <c r="IHV26" s="28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5"/>
      <c r="IIU26" s="4"/>
      <c r="IIV26" s="28"/>
      <c r="IIW26" s="28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5"/>
      <c r="IJV26" s="4"/>
      <c r="IJW26" s="28"/>
      <c r="IJX26" s="28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5"/>
      <c r="IKW26" s="4"/>
      <c r="IKX26" s="28"/>
      <c r="IKY26" s="28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5"/>
      <c r="ILX26" s="4"/>
      <c r="ILY26" s="28"/>
      <c r="ILZ26" s="28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5"/>
      <c r="IMY26" s="4"/>
      <c r="IMZ26" s="28"/>
      <c r="INA26" s="28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5"/>
      <c r="INZ26" s="4"/>
      <c r="IOA26" s="28"/>
      <c r="IOB26" s="28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5"/>
      <c r="IPA26" s="4"/>
      <c r="IPB26" s="28"/>
      <c r="IPC26" s="28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5"/>
      <c r="IQB26" s="4"/>
      <c r="IQC26" s="28"/>
      <c r="IQD26" s="28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5"/>
      <c r="IRC26" s="4"/>
      <c r="IRD26" s="28"/>
      <c r="IRE26" s="28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5"/>
      <c r="ISD26" s="4"/>
      <c r="ISE26" s="28"/>
      <c r="ISF26" s="28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5"/>
      <c r="ITE26" s="4"/>
      <c r="ITF26" s="28"/>
      <c r="ITG26" s="28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5"/>
      <c r="IUF26" s="4"/>
      <c r="IUG26" s="28"/>
      <c r="IUH26" s="28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5"/>
      <c r="IVG26" s="4"/>
      <c r="IVH26" s="28"/>
      <c r="IVI26" s="28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5"/>
      <c r="IWH26" s="4"/>
      <c r="IWI26" s="28"/>
      <c r="IWJ26" s="28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5"/>
      <c r="IXI26" s="4"/>
      <c r="IXJ26" s="28"/>
      <c r="IXK26" s="28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5"/>
      <c r="IYJ26" s="4"/>
      <c r="IYK26" s="28"/>
      <c r="IYL26" s="28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5"/>
      <c r="IZK26" s="4"/>
      <c r="IZL26" s="28"/>
      <c r="IZM26" s="28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5"/>
      <c r="JAL26" s="4"/>
      <c r="JAM26" s="28"/>
      <c r="JAN26" s="28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5"/>
      <c r="JBM26" s="4"/>
      <c r="JBN26" s="28"/>
      <c r="JBO26" s="28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5"/>
      <c r="JCN26" s="4"/>
      <c r="JCO26" s="28"/>
      <c r="JCP26" s="28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5"/>
      <c r="JDO26" s="4"/>
      <c r="JDP26" s="28"/>
      <c r="JDQ26" s="28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5"/>
      <c r="JEP26" s="4"/>
      <c r="JEQ26" s="28"/>
      <c r="JER26" s="28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5"/>
      <c r="JFQ26" s="4"/>
      <c r="JFR26" s="28"/>
      <c r="JFS26" s="28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5"/>
      <c r="JGR26" s="4"/>
      <c r="JGS26" s="28"/>
      <c r="JGT26" s="28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5"/>
      <c r="JHS26" s="4"/>
      <c r="JHT26" s="28"/>
      <c r="JHU26" s="28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5"/>
      <c r="JIT26" s="4"/>
      <c r="JIU26" s="28"/>
      <c r="JIV26" s="28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5"/>
      <c r="JJU26" s="4"/>
      <c r="JJV26" s="28"/>
      <c r="JJW26" s="28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5"/>
      <c r="JKV26" s="4"/>
      <c r="JKW26" s="28"/>
      <c r="JKX26" s="28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5"/>
      <c r="JLW26" s="4"/>
      <c r="JLX26" s="28"/>
      <c r="JLY26" s="28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5"/>
      <c r="JMX26" s="4"/>
      <c r="JMY26" s="28"/>
      <c r="JMZ26" s="28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5"/>
      <c r="JNY26" s="4"/>
      <c r="JNZ26" s="28"/>
      <c r="JOA26" s="28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5"/>
      <c r="JOZ26" s="4"/>
      <c r="JPA26" s="28"/>
      <c r="JPB26" s="28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5"/>
      <c r="JQA26" s="4"/>
      <c r="JQB26" s="28"/>
      <c r="JQC26" s="28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5"/>
      <c r="JRB26" s="4"/>
      <c r="JRC26" s="28"/>
      <c r="JRD26" s="28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5"/>
      <c r="JSC26" s="4"/>
      <c r="JSD26" s="28"/>
      <c r="JSE26" s="28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5"/>
      <c r="JTD26" s="4"/>
      <c r="JTE26" s="28"/>
      <c r="JTF26" s="28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5"/>
      <c r="JUE26" s="4"/>
      <c r="JUF26" s="28"/>
      <c r="JUG26" s="28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5"/>
      <c r="JVF26" s="4"/>
      <c r="JVG26" s="28"/>
      <c r="JVH26" s="28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5"/>
      <c r="JWG26" s="4"/>
      <c r="JWH26" s="28"/>
      <c r="JWI26" s="28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5"/>
      <c r="JXH26" s="4"/>
      <c r="JXI26" s="28"/>
      <c r="JXJ26" s="28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5"/>
      <c r="JYI26" s="4"/>
      <c r="JYJ26" s="28"/>
      <c r="JYK26" s="28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5"/>
      <c r="JZJ26" s="4"/>
      <c r="JZK26" s="28"/>
      <c r="JZL26" s="28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5"/>
      <c r="KAK26" s="4"/>
      <c r="KAL26" s="28"/>
      <c r="KAM26" s="28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5"/>
      <c r="KBL26" s="4"/>
      <c r="KBM26" s="28"/>
      <c r="KBN26" s="28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5"/>
      <c r="KCM26" s="4"/>
      <c r="KCN26" s="28"/>
      <c r="KCO26" s="28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5"/>
      <c r="KDN26" s="4"/>
      <c r="KDO26" s="28"/>
      <c r="KDP26" s="28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5"/>
      <c r="KEO26" s="4"/>
      <c r="KEP26" s="28"/>
      <c r="KEQ26" s="28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5"/>
      <c r="KFP26" s="4"/>
      <c r="KFQ26" s="28"/>
      <c r="KFR26" s="28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5"/>
      <c r="KGQ26" s="4"/>
      <c r="KGR26" s="28"/>
      <c r="KGS26" s="28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5"/>
      <c r="KHR26" s="4"/>
      <c r="KHS26" s="28"/>
      <c r="KHT26" s="28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5"/>
      <c r="KIS26" s="4"/>
      <c r="KIT26" s="28"/>
      <c r="KIU26" s="28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5"/>
      <c r="KJT26" s="4"/>
      <c r="KJU26" s="28"/>
      <c r="KJV26" s="28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5"/>
      <c r="KKU26" s="4"/>
      <c r="KKV26" s="28"/>
      <c r="KKW26" s="28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5"/>
      <c r="KLV26" s="4"/>
      <c r="KLW26" s="28"/>
      <c r="KLX26" s="28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5"/>
      <c r="KMW26" s="4"/>
      <c r="KMX26" s="28"/>
      <c r="KMY26" s="28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5"/>
      <c r="KNX26" s="4"/>
      <c r="KNY26" s="28"/>
      <c r="KNZ26" s="28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5"/>
      <c r="KOY26" s="4"/>
      <c r="KOZ26" s="28"/>
      <c r="KPA26" s="28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5"/>
      <c r="KPZ26" s="4"/>
      <c r="KQA26" s="28"/>
      <c r="KQB26" s="28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5"/>
      <c r="KRA26" s="4"/>
      <c r="KRB26" s="28"/>
      <c r="KRC26" s="28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5"/>
      <c r="KSB26" s="4"/>
      <c r="KSC26" s="28"/>
      <c r="KSD26" s="28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5"/>
      <c r="KTC26" s="4"/>
      <c r="KTD26" s="28"/>
      <c r="KTE26" s="28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5"/>
      <c r="KUD26" s="4"/>
      <c r="KUE26" s="28"/>
      <c r="KUF26" s="28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5"/>
      <c r="KVE26" s="4"/>
      <c r="KVF26" s="28"/>
      <c r="KVG26" s="28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5"/>
      <c r="KWF26" s="4"/>
      <c r="KWG26" s="28"/>
      <c r="KWH26" s="28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5"/>
      <c r="KXG26" s="4"/>
      <c r="KXH26" s="28"/>
      <c r="KXI26" s="28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5"/>
      <c r="KYH26" s="4"/>
      <c r="KYI26" s="28"/>
      <c r="KYJ26" s="28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5"/>
      <c r="KZI26" s="4"/>
      <c r="KZJ26" s="28"/>
      <c r="KZK26" s="28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5"/>
      <c r="LAJ26" s="4"/>
      <c r="LAK26" s="28"/>
      <c r="LAL26" s="28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5"/>
      <c r="LBK26" s="4"/>
      <c r="LBL26" s="28"/>
      <c r="LBM26" s="28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5"/>
      <c r="LCL26" s="4"/>
      <c r="LCM26" s="28"/>
      <c r="LCN26" s="28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5"/>
      <c r="LDM26" s="4"/>
      <c r="LDN26" s="28"/>
      <c r="LDO26" s="28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5"/>
      <c r="LEN26" s="4"/>
      <c r="LEO26" s="28"/>
      <c r="LEP26" s="28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5"/>
      <c r="LFO26" s="4"/>
      <c r="LFP26" s="28"/>
      <c r="LFQ26" s="28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5"/>
      <c r="LGP26" s="4"/>
      <c r="LGQ26" s="28"/>
      <c r="LGR26" s="28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5"/>
      <c r="LHQ26" s="4"/>
      <c r="LHR26" s="28"/>
      <c r="LHS26" s="28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5"/>
      <c r="LIR26" s="4"/>
      <c r="LIS26" s="28"/>
      <c r="LIT26" s="28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5"/>
      <c r="LJS26" s="4"/>
      <c r="LJT26" s="28"/>
      <c r="LJU26" s="28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5"/>
      <c r="LKT26" s="4"/>
      <c r="LKU26" s="28"/>
      <c r="LKV26" s="28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5"/>
      <c r="LLU26" s="4"/>
      <c r="LLV26" s="28"/>
      <c r="LLW26" s="28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5"/>
      <c r="LMV26" s="4"/>
      <c r="LMW26" s="28"/>
      <c r="LMX26" s="28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5"/>
      <c r="LNW26" s="4"/>
      <c r="LNX26" s="28"/>
      <c r="LNY26" s="28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5"/>
      <c r="LOX26" s="4"/>
      <c r="LOY26" s="28"/>
      <c r="LOZ26" s="28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5"/>
      <c r="LPY26" s="4"/>
      <c r="LPZ26" s="28"/>
      <c r="LQA26" s="28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5"/>
      <c r="LQZ26" s="4"/>
      <c r="LRA26" s="28"/>
      <c r="LRB26" s="28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5"/>
      <c r="LSA26" s="4"/>
      <c r="LSB26" s="28"/>
      <c r="LSC26" s="28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5"/>
      <c r="LTB26" s="4"/>
      <c r="LTC26" s="28"/>
      <c r="LTD26" s="28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5"/>
      <c r="LUC26" s="4"/>
      <c r="LUD26" s="28"/>
      <c r="LUE26" s="28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5"/>
      <c r="LVD26" s="4"/>
      <c r="LVE26" s="28"/>
      <c r="LVF26" s="28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5"/>
      <c r="LWE26" s="4"/>
      <c r="LWF26" s="28"/>
      <c r="LWG26" s="28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5"/>
      <c r="LXF26" s="4"/>
      <c r="LXG26" s="28"/>
      <c r="LXH26" s="28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5"/>
      <c r="LYG26" s="4"/>
      <c r="LYH26" s="28"/>
      <c r="LYI26" s="28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5"/>
      <c r="LZH26" s="4"/>
      <c r="LZI26" s="28"/>
      <c r="LZJ26" s="28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5"/>
      <c r="MAI26" s="4"/>
      <c r="MAJ26" s="28"/>
      <c r="MAK26" s="28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5"/>
      <c r="MBJ26" s="4"/>
      <c r="MBK26" s="28"/>
      <c r="MBL26" s="28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5"/>
      <c r="MCK26" s="4"/>
      <c r="MCL26" s="28"/>
      <c r="MCM26" s="28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5"/>
      <c r="MDL26" s="4"/>
      <c r="MDM26" s="28"/>
      <c r="MDN26" s="28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5"/>
      <c r="MEM26" s="4"/>
      <c r="MEN26" s="28"/>
      <c r="MEO26" s="28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5"/>
      <c r="MFN26" s="4"/>
      <c r="MFO26" s="28"/>
      <c r="MFP26" s="28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5"/>
      <c r="MGO26" s="4"/>
      <c r="MGP26" s="28"/>
      <c r="MGQ26" s="28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5"/>
      <c r="MHP26" s="4"/>
      <c r="MHQ26" s="28"/>
      <c r="MHR26" s="28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5"/>
      <c r="MIQ26" s="4"/>
      <c r="MIR26" s="28"/>
      <c r="MIS26" s="28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5"/>
      <c r="MJR26" s="4"/>
      <c r="MJS26" s="28"/>
      <c r="MJT26" s="28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5"/>
      <c r="MKS26" s="4"/>
      <c r="MKT26" s="28"/>
      <c r="MKU26" s="28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5"/>
      <c r="MLT26" s="4"/>
      <c r="MLU26" s="28"/>
      <c r="MLV26" s="28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5"/>
      <c r="MMU26" s="4"/>
      <c r="MMV26" s="28"/>
      <c r="MMW26" s="28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5"/>
      <c r="MNV26" s="4"/>
      <c r="MNW26" s="28"/>
      <c r="MNX26" s="28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5"/>
      <c r="MOW26" s="4"/>
      <c r="MOX26" s="28"/>
      <c r="MOY26" s="28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5"/>
      <c r="MPX26" s="4"/>
      <c r="MPY26" s="28"/>
      <c r="MPZ26" s="28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5"/>
      <c r="MQY26" s="4"/>
      <c r="MQZ26" s="28"/>
      <c r="MRA26" s="28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5"/>
      <c r="MRZ26" s="4"/>
      <c r="MSA26" s="28"/>
      <c r="MSB26" s="28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5"/>
      <c r="MTA26" s="4"/>
      <c r="MTB26" s="28"/>
      <c r="MTC26" s="28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5"/>
      <c r="MUB26" s="4"/>
      <c r="MUC26" s="28"/>
      <c r="MUD26" s="28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5"/>
      <c r="MVC26" s="4"/>
      <c r="MVD26" s="28"/>
      <c r="MVE26" s="28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5"/>
      <c r="MWD26" s="4"/>
      <c r="MWE26" s="28"/>
      <c r="MWF26" s="28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5"/>
      <c r="MXE26" s="4"/>
      <c r="MXF26" s="28"/>
      <c r="MXG26" s="28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5"/>
      <c r="MYF26" s="4"/>
      <c r="MYG26" s="28"/>
      <c r="MYH26" s="28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5"/>
      <c r="MZG26" s="4"/>
      <c r="MZH26" s="28"/>
      <c r="MZI26" s="28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5"/>
      <c r="NAH26" s="4"/>
      <c r="NAI26" s="28"/>
      <c r="NAJ26" s="28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5"/>
      <c r="NBI26" s="4"/>
      <c r="NBJ26" s="28"/>
      <c r="NBK26" s="28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5"/>
      <c r="NCJ26" s="4"/>
      <c r="NCK26" s="28"/>
      <c r="NCL26" s="28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5"/>
      <c r="NDK26" s="4"/>
      <c r="NDL26" s="28"/>
      <c r="NDM26" s="28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5"/>
      <c r="NEL26" s="4"/>
      <c r="NEM26" s="28"/>
      <c r="NEN26" s="28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5"/>
      <c r="NFM26" s="4"/>
      <c r="NFN26" s="28"/>
      <c r="NFO26" s="28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5"/>
      <c r="NGN26" s="4"/>
      <c r="NGO26" s="28"/>
      <c r="NGP26" s="28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5"/>
      <c r="NHO26" s="4"/>
      <c r="NHP26" s="28"/>
      <c r="NHQ26" s="28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5"/>
      <c r="NIP26" s="4"/>
      <c r="NIQ26" s="28"/>
      <c r="NIR26" s="28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5"/>
      <c r="NJQ26" s="4"/>
      <c r="NJR26" s="28"/>
      <c r="NJS26" s="28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5"/>
      <c r="NKR26" s="4"/>
      <c r="NKS26" s="28"/>
      <c r="NKT26" s="28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5"/>
      <c r="NLS26" s="4"/>
      <c r="NLT26" s="28"/>
      <c r="NLU26" s="28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5"/>
      <c r="NMT26" s="4"/>
      <c r="NMU26" s="28"/>
      <c r="NMV26" s="28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5"/>
      <c r="NNU26" s="4"/>
      <c r="NNV26" s="28"/>
      <c r="NNW26" s="28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5"/>
      <c r="NOV26" s="4"/>
      <c r="NOW26" s="28"/>
      <c r="NOX26" s="28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5"/>
      <c r="NPW26" s="4"/>
      <c r="NPX26" s="28"/>
      <c r="NPY26" s="28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5"/>
      <c r="NQX26" s="4"/>
      <c r="NQY26" s="28"/>
      <c r="NQZ26" s="28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5"/>
      <c r="NRY26" s="4"/>
      <c r="NRZ26" s="28"/>
      <c r="NSA26" s="28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5"/>
      <c r="NSZ26" s="4"/>
      <c r="NTA26" s="28"/>
      <c r="NTB26" s="28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5"/>
      <c r="NUA26" s="4"/>
      <c r="NUB26" s="28"/>
      <c r="NUC26" s="28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5"/>
      <c r="NVB26" s="4"/>
      <c r="NVC26" s="28"/>
      <c r="NVD26" s="28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5"/>
      <c r="NWC26" s="4"/>
      <c r="NWD26" s="28"/>
      <c r="NWE26" s="28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5"/>
      <c r="NXD26" s="4"/>
      <c r="NXE26" s="28"/>
      <c r="NXF26" s="28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5"/>
      <c r="NYE26" s="4"/>
      <c r="NYF26" s="28"/>
      <c r="NYG26" s="28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5"/>
      <c r="NZF26" s="4"/>
      <c r="NZG26" s="28"/>
      <c r="NZH26" s="28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5"/>
      <c r="OAG26" s="4"/>
      <c r="OAH26" s="28"/>
      <c r="OAI26" s="28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5"/>
      <c r="OBH26" s="4"/>
      <c r="OBI26" s="28"/>
      <c r="OBJ26" s="28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5"/>
      <c r="OCI26" s="4"/>
      <c r="OCJ26" s="28"/>
      <c r="OCK26" s="28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5"/>
      <c r="ODJ26" s="4"/>
      <c r="ODK26" s="28"/>
      <c r="ODL26" s="28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4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5"/>
      <c r="OEK26" s="4"/>
      <c r="OEL26" s="28"/>
      <c r="OEM26" s="28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4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5"/>
      <c r="OFL26" s="4"/>
      <c r="OFM26" s="28"/>
      <c r="OFN26" s="28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4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5"/>
      <c r="OGM26" s="4"/>
      <c r="OGN26" s="28"/>
      <c r="OGO26" s="28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4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5"/>
      <c r="OHN26" s="4"/>
      <c r="OHO26" s="28"/>
      <c r="OHP26" s="28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4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5"/>
      <c r="OIO26" s="4"/>
      <c r="OIP26" s="28"/>
      <c r="OIQ26" s="28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4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5"/>
      <c r="OJP26" s="4"/>
      <c r="OJQ26" s="28"/>
      <c r="OJR26" s="28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4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5"/>
      <c r="OKQ26" s="4"/>
      <c r="OKR26" s="28"/>
      <c r="OKS26" s="28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4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5"/>
      <c r="OLR26" s="4"/>
      <c r="OLS26" s="28"/>
      <c r="OLT26" s="28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4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5"/>
      <c r="OMS26" s="4"/>
      <c r="OMT26" s="28"/>
      <c r="OMU26" s="28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4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5"/>
      <c r="ONT26" s="4"/>
      <c r="ONU26" s="28"/>
      <c r="ONV26" s="28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4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5"/>
      <c r="OOU26" s="4"/>
      <c r="OOV26" s="28"/>
      <c r="OOW26" s="28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4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5"/>
      <c r="OPV26" s="4"/>
      <c r="OPW26" s="28"/>
      <c r="OPX26" s="28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4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5"/>
      <c r="OQW26" s="4"/>
      <c r="OQX26" s="28"/>
      <c r="OQY26" s="28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4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5"/>
      <c r="ORX26" s="4"/>
      <c r="ORY26" s="28"/>
      <c r="ORZ26" s="28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4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5"/>
      <c r="OSY26" s="4"/>
      <c r="OSZ26" s="28"/>
      <c r="OTA26" s="28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4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5"/>
      <c r="OTZ26" s="4"/>
      <c r="OUA26" s="28"/>
      <c r="OUB26" s="28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4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5"/>
      <c r="OVA26" s="4"/>
      <c r="OVB26" s="28"/>
      <c r="OVC26" s="28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4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5"/>
      <c r="OWB26" s="4"/>
      <c r="OWC26" s="28"/>
      <c r="OWD26" s="28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4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5"/>
      <c r="OXC26" s="4"/>
      <c r="OXD26" s="28"/>
      <c r="OXE26" s="28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4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5"/>
      <c r="OYD26" s="4"/>
      <c r="OYE26" s="28"/>
      <c r="OYF26" s="28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4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5"/>
      <c r="OZE26" s="4"/>
      <c r="OZF26" s="28"/>
      <c r="OZG26" s="28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4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5"/>
      <c r="PAF26" s="4"/>
      <c r="PAG26" s="28"/>
      <c r="PAH26" s="28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4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5"/>
      <c r="PBG26" s="4"/>
      <c r="PBH26" s="28"/>
      <c r="PBI26" s="28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4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5"/>
      <c r="PCH26" s="4"/>
      <c r="PCI26" s="28"/>
      <c r="PCJ26" s="28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4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5"/>
      <c r="PDI26" s="4"/>
      <c r="PDJ26" s="28"/>
      <c r="PDK26" s="28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4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5"/>
      <c r="PEJ26" s="4"/>
      <c r="PEK26" s="28"/>
      <c r="PEL26" s="28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4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5"/>
      <c r="PFK26" s="4"/>
      <c r="PFL26" s="28"/>
      <c r="PFM26" s="28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4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5"/>
      <c r="PGL26" s="4"/>
      <c r="PGM26" s="28"/>
      <c r="PGN26" s="28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4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5"/>
      <c r="PHM26" s="4"/>
      <c r="PHN26" s="28"/>
      <c r="PHO26" s="28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4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5"/>
      <c r="PIN26" s="4"/>
      <c r="PIO26" s="28"/>
      <c r="PIP26" s="28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4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5"/>
      <c r="PJO26" s="4"/>
      <c r="PJP26" s="28"/>
      <c r="PJQ26" s="28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4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5"/>
      <c r="PKP26" s="4"/>
      <c r="PKQ26" s="28"/>
      <c r="PKR26" s="28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4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5"/>
      <c r="PLQ26" s="4"/>
      <c r="PLR26" s="28"/>
      <c r="PLS26" s="28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4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5"/>
      <c r="PMR26" s="4"/>
      <c r="PMS26" s="28"/>
      <c r="PMT26" s="28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4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5"/>
      <c r="PNS26" s="4"/>
      <c r="PNT26" s="28"/>
      <c r="PNU26" s="28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4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5"/>
      <c r="POT26" s="4"/>
      <c r="POU26" s="28"/>
      <c r="POV26" s="28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4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5"/>
      <c r="PPU26" s="4"/>
      <c r="PPV26" s="28"/>
      <c r="PPW26" s="28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4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5"/>
      <c r="PQV26" s="4"/>
      <c r="PQW26" s="28"/>
      <c r="PQX26" s="28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4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5"/>
      <c r="PRW26" s="4"/>
      <c r="PRX26" s="28"/>
      <c r="PRY26" s="28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4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5"/>
      <c r="PSX26" s="4"/>
      <c r="PSY26" s="28"/>
      <c r="PSZ26" s="28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4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5"/>
      <c r="PTY26" s="4"/>
      <c r="PTZ26" s="28"/>
      <c r="PUA26" s="28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4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5"/>
      <c r="PUZ26" s="4"/>
      <c r="PVA26" s="28"/>
      <c r="PVB26" s="28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4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5"/>
      <c r="PWA26" s="4"/>
      <c r="PWB26" s="28"/>
      <c r="PWC26" s="28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4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5"/>
      <c r="PXB26" s="4"/>
      <c r="PXC26" s="28"/>
      <c r="PXD26" s="28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4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5"/>
      <c r="PYC26" s="4"/>
      <c r="PYD26" s="28"/>
      <c r="PYE26" s="28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4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5"/>
      <c r="PZD26" s="4"/>
      <c r="PZE26" s="28"/>
      <c r="PZF26" s="28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4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5"/>
      <c r="QAE26" s="4"/>
      <c r="QAF26" s="28"/>
      <c r="QAG26" s="28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4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5"/>
      <c r="QBF26" s="4"/>
      <c r="QBG26" s="28"/>
      <c r="QBH26" s="28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4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5"/>
      <c r="QCG26" s="4"/>
      <c r="QCH26" s="28"/>
      <c r="QCI26" s="28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4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5"/>
      <c r="QDH26" s="4"/>
      <c r="QDI26" s="28"/>
      <c r="QDJ26" s="28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4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5"/>
      <c r="QEI26" s="4"/>
      <c r="QEJ26" s="28"/>
      <c r="QEK26" s="28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4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5"/>
      <c r="QFJ26" s="4"/>
      <c r="QFK26" s="28"/>
      <c r="QFL26" s="28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4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5"/>
      <c r="QGK26" s="4"/>
      <c r="QGL26" s="28"/>
      <c r="QGM26" s="28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4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5"/>
      <c r="QHL26" s="4"/>
      <c r="QHM26" s="28"/>
      <c r="QHN26" s="28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4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5"/>
      <c r="QIM26" s="4"/>
      <c r="QIN26" s="28"/>
      <c r="QIO26" s="28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4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5"/>
      <c r="QJN26" s="4"/>
      <c r="QJO26" s="28"/>
      <c r="QJP26" s="28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4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5"/>
      <c r="QKO26" s="4"/>
      <c r="QKP26" s="28"/>
      <c r="QKQ26" s="28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4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5"/>
      <c r="QLP26" s="4"/>
      <c r="QLQ26" s="28"/>
      <c r="QLR26" s="28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4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5"/>
      <c r="QMQ26" s="4"/>
      <c r="QMR26" s="28"/>
      <c r="QMS26" s="28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4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5"/>
      <c r="QNR26" s="4"/>
      <c r="QNS26" s="28"/>
      <c r="QNT26" s="28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4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5"/>
      <c r="QOS26" s="4"/>
      <c r="QOT26" s="28"/>
      <c r="QOU26" s="28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4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5"/>
      <c r="QPT26" s="4"/>
      <c r="QPU26" s="28"/>
      <c r="QPV26" s="28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4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5"/>
      <c r="QQU26" s="4"/>
      <c r="QQV26" s="28"/>
      <c r="QQW26" s="28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4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5"/>
      <c r="QRV26" s="4"/>
      <c r="QRW26" s="28"/>
      <c r="QRX26" s="28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4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5"/>
      <c r="QSW26" s="4"/>
      <c r="QSX26" s="28"/>
      <c r="QSY26" s="28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4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5"/>
      <c r="QTX26" s="4"/>
      <c r="QTY26" s="28"/>
      <c r="QTZ26" s="28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4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5"/>
      <c r="QUY26" s="4"/>
      <c r="QUZ26" s="28"/>
      <c r="QVA26" s="28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4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5"/>
      <c r="QVZ26" s="4"/>
      <c r="QWA26" s="28"/>
      <c r="QWB26" s="28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4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5"/>
      <c r="QXA26" s="4"/>
      <c r="QXB26" s="28"/>
      <c r="QXC26" s="28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4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5"/>
      <c r="QYB26" s="4"/>
      <c r="QYC26" s="28"/>
      <c r="QYD26" s="28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4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5"/>
      <c r="QZC26" s="4"/>
      <c r="QZD26" s="28"/>
      <c r="QZE26" s="28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4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5"/>
      <c r="RAD26" s="4"/>
      <c r="RAE26" s="28"/>
      <c r="RAF26" s="28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4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5"/>
      <c r="RBE26" s="4"/>
      <c r="RBF26" s="28"/>
      <c r="RBG26" s="28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4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5"/>
      <c r="RCF26" s="4"/>
      <c r="RCG26" s="28"/>
      <c r="RCH26" s="28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4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5"/>
      <c r="RDG26" s="4"/>
      <c r="RDH26" s="28"/>
      <c r="RDI26" s="28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4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5"/>
      <c r="REH26" s="4"/>
      <c r="REI26" s="28"/>
      <c r="REJ26" s="28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4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5"/>
      <c r="RFI26" s="4"/>
      <c r="RFJ26" s="28"/>
      <c r="RFK26" s="28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4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5"/>
      <c r="RGJ26" s="4"/>
      <c r="RGK26" s="28"/>
      <c r="RGL26" s="28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4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5"/>
      <c r="RHK26" s="4"/>
      <c r="RHL26" s="28"/>
      <c r="RHM26" s="28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4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5"/>
      <c r="RIL26" s="4"/>
      <c r="RIM26" s="28"/>
      <c r="RIN26" s="28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4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5"/>
      <c r="RJM26" s="4"/>
      <c r="RJN26" s="28"/>
      <c r="RJO26" s="28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4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5"/>
      <c r="RKN26" s="4"/>
      <c r="RKO26" s="28"/>
      <c r="RKP26" s="28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4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5"/>
      <c r="RLO26" s="4"/>
      <c r="RLP26" s="28"/>
      <c r="RLQ26" s="28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4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5"/>
      <c r="RMP26" s="4"/>
      <c r="RMQ26" s="28"/>
      <c r="RMR26" s="28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4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5"/>
      <c r="RNQ26" s="4"/>
      <c r="RNR26" s="28"/>
      <c r="RNS26" s="28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4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5"/>
      <c r="ROR26" s="4"/>
      <c r="ROS26" s="28"/>
      <c r="ROT26" s="28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4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5"/>
      <c r="RPS26" s="4"/>
      <c r="RPT26" s="28"/>
      <c r="RPU26" s="28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4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5"/>
      <c r="RQT26" s="4"/>
      <c r="RQU26" s="28"/>
      <c r="RQV26" s="28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4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5"/>
      <c r="RRU26" s="4"/>
      <c r="RRV26" s="28"/>
      <c r="RRW26" s="28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4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5"/>
      <c r="RSV26" s="4"/>
      <c r="RSW26" s="28"/>
      <c r="RSX26" s="28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4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5"/>
      <c r="RTW26" s="4"/>
      <c r="RTX26" s="28"/>
      <c r="RTY26" s="28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4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5"/>
      <c r="RUX26" s="4"/>
      <c r="RUY26" s="28"/>
      <c r="RUZ26" s="28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4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5"/>
      <c r="RVY26" s="4"/>
      <c r="RVZ26" s="28"/>
      <c r="RWA26" s="28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4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5"/>
      <c r="RWZ26" s="4"/>
      <c r="RXA26" s="28"/>
      <c r="RXB26" s="28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4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5"/>
      <c r="RYA26" s="4"/>
      <c r="RYB26" s="28"/>
      <c r="RYC26" s="28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4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5"/>
      <c r="RZB26" s="4"/>
      <c r="RZC26" s="28"/>
      <c r="RZD26" s="28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4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5"/>
      <c r="SAC26" s="4"/>
      <c r="SAD26" s="28"/>
      <c r="SAE26" s="28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4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5"/>
      <c r="SBD26" s="4"/>
      <c r="SBE26" s="28"/>
      <c r="SBF26" s="28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4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5"/>
      <c r="SCE26" s="4"/>
      <c r="SCF26" s="28"/>
      <c r="SCG26" s="28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4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5"/>
      <c r="SDF26" s="4"/>
      <c r="SDG26" s="28"/>
      <c r="SDH26" s="28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4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5"/>
      <c r="SEG26" s="4"/>
      <c r="SEH26" s="28"/>
      <c r="SEI26" s="28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4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5"/>
      <c r="SFH26" s="4"/>
      <c r="SFI26" s="28"/>
      <c r="SFJ26" s="28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4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5"/>
      <c r="SGI26" s="4"/>
      <c r="SGJ26" s="28"/>
      <c r="SGK26" s="28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4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5"/>
      <c r="SHJ26" s="4"/>
      <c r="SHK26" s="28"/>
      <c r="SHL26" s="28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4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5"/>
      <c r="SIK26" s="4"/>
      <c r="SIL26" s="28"/>
      <c r="SIM26" s="28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4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5"/>
      <c r="SJL26" s="4"/>
      <c r="SJM26" s="28"/>
      <c r="SJN26" s="28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4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5"/>
      <c r="SKM26" s="4"/>
      <c r="SKN26" s="28"/>
      <c r="SKO26" s="28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4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5"/>
      <c r="SLN26" s="4"/>
      <c r="SLO26" s="28"/>
      <c r="SLP26" s="28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4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5"/>
      <c r="SMO26" s="4"/>
      <c r="SMP26" s="28"/>
      <c r="SMQ26" s="28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4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5"/>
      <c r="SNP26" s="4"/>
      <c r="SNQ26" s="28"/>
      <c r="SNR26" s="28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4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5"/>
      <c r="SOQ26" s="4"/>
      <c r="SOR26" s="28"/>
      <c r="SOS26" s="28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4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5"/>
      <c r="SPR26" s="4"/>
      <c r="SPS26" s="28"/>
      <c r="SPT26" s="28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4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5"/>
      <c r="SQS26" s="4"/>
      <c r="SQT26" s="28"/>
      <c r="SQU26" s="28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4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5"/>
      <c r="SRT26" s="4"/>
      <c r="SRU26" s="28"/>
      <c r="SRV26" s="28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4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5"/>
      <c r="SSU26" s="4"/>
      <c r="SSV26" s="28"/>
      <c r="SSW26" s="28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4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5"/>
      <c r="STV26" s="4"/>
      <c r="STW26" s="28"/>
      <c r="STX26" s="28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4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5"/>
      <c r="SUW26" s="4"/>
      <c r="SUX26" s="28"/>
      <c r="SUY26" s="28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4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5"/>
      <c r="SVX26" s="4"/>
      <c r="SVY26" s="28"/>
      <c r="SVZ26" s="28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4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5"/>
      <c r="SWY26" s="4"/>
      <c r="SWZ26" s="28"/>
      <c r="SXA26" s="28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4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5"/>
      <c r="SXZ26" s="4"/>
      <c r="SYA26" s="28"/>
      <c r="SYB26" s="28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4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5"/>
      <c r="SZA26" s="4"/>
      <c r="SZB26" s="28"/>
      <c r="SZC26" s="28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4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5"/>
      <c r="TAB26" s="4"/>
      <c r="TAC26" s="28"/>
      <c r="TAD26" s="28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4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5"/>
      <c r="TBC26" s="4"/>
      <c r="TBD26" s="28"/>
      <c r="TBE26" s="28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4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5"/>
      <c r="TCD26" s="4"/>
      <c r="TCE26" s="28"/>
      <c r="TCF26" s="28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4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5"/>
      <c r="TDE26" s="4"/>
      <c r="TDF26" s="28"/>
      <c r="TDG26" s="28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4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5"/>
      <c r="TEF26" s="4"/>
      <c r="TEG26" s="28"/>
      <c r="TEH26" s="28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4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5"/>
      <c r="TFG26" s="4"/>
      <c r="TFH26" s="28"/>
      <c r="TFI26" s="28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4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5"/>
      <c r="TGH26" s="4"/>
      <c r="TGI26" s="28"/>
      <c r="TGJ26" s="28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4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5"/>
      <c r="THI26" s="4"/>
      <c r="THJ26" s="28"/>
      <c r="THK26" s="28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4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5"/>
      <c r="TIJ26" s="4"/>
      <c r="TIK26" s="28"/>
      <c r="TIL26" s="28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4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5"/>
      <c r="TJK26" s="4"/>
      <c r="TJL26" s="28"/>
      <c r="TJM26" s="28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4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5"/>
      <c r="TKL26" s="4"/>
      <c r="TKM26" s="28"/>
      <c r="TKN26" s="28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4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5"/>
      <c r="TLM26" s="4"/>
      <c r="TLN26" s="28"/>
      <c r="TLO26" s="28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4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5"/>
      <c r="TMN26" s="4"/>
      <c r="TMO26" s="28"/>
      <c r="TMP26" s="28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4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5"/>
      <c r="TNO26" s="4"/>
      <c r="TNP26" s="28"/>
      <c r="TNQ26" s="28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4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5"/>
      <c r="TOP26" s="4"/>
      <c r="TOQ26" s="28"/>
      <c r="TOR26" s="28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4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5"/>
      <c r="TPQ26" s="4"/>
      <c r="TPR26" s="28"/>
      <c r="TPS26" s="28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4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5"/>
      <c r="TQR26" s="4"/>
      <c r="TQS26" s="28"/>
      <c r="TQT26" s="28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4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5"/>
      <c r="TRS26" s="4"/>
      <c r="TRT26" s="28"/>
      <c r="TRU26" s="28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4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5"/>
      <c r="TST26" s="4"/>
      <c r="TSU26" s="28"/>
      <c r="TSV26" s="28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4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5"/>
      <c r="TTU26" s="4"/>
      <c r="TTV26" s="28"/>
      <c r="TTW26" s="28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4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5"/>
      <c r="TUV26" s="4"/>
      <c r="TUW26" s="28"/>
      <c r="TUX26" s="28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4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5"/>
      <c r="TVW26" s="4"/>
      <c r="TVX26" s="28"/>
      <c r="TVY26" s="28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4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5"/>
      <c r="TWX26" s="4"/>
      <c r="TWY26" s="28"/>
      <c r="TWZ26" s="28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4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5"/>
      <c r="TXY26" s="4"/>
      <c r="TXZ26" s="28"/>
      <c r="TYA26" s="28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4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5"/>
      <c r="TYZ26" s="4"/>
      <c r="TZA26" s="28"/>
      <c r="TZB26" s="28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4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5"/>
      <c r="UAA26" s="4"/>
      <c r="UAB26" s="28"/>
      <c r="UAC26" s="28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4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5"/>
      <c r="UBB26" s="4"/>
      <c r="UBC26" s="28"/>
      <c r="UBD26" s="28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4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5"/>
      <c r="UCC26" s="4"/>
      <c r="UCD26" s="28"/>
      <c r="UCE26" s="28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4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5"/>
      <c r="UDD26" s="4"/>
      <c r="UDE26" s="28"/>
      <c r="UDF26" s="28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4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5"/>
      <c r="UEE26" s="4"/>
      <c r="UEF26" s="28"/>
      <c r="UEG26" s="28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4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5"/>
      <c r="UFF26" s="4"/>
      <c r="UFG26" s="28"/>
      <c r="UFH26" s="28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4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5"/>
      <c r="UGG26" s="4"/>
      <c r="UGH26" s="28"/>
      <c r="UGI26" s="28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4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5"/>
      <c r="UHH26" s="4"/>
      <c r="UHI26" s="28"/>
      <c r="UHJ26" s="28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4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5"/>
      <c r="UII26" s="4"/>
      <c r="UIJ26" s="28"/>
      <c r="UIK26" s="28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4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5"/>
      <c r="UJJ26" s="4"/>
      <c r="UJK26" s="28"/>
      <c r="UJL26" s="28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4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5"/>
      <c r="UKK26" s="4"/>
      <c r="UKL26" s="28"/>
      <c r="UKM26" s="28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4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5"/>
      <c r="ULL26" s="4"/>
      <c r="ULM26" s="28"/>
      <c r="ULN26" s="28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4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5"/>
      <c r="UMM26" s="4"/>
      <c r="UMN26" s="28"/>
      <c r="UMO26" s="28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4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5"/>
      <c r="UNN26" s="4"/>
      <c r="UNO26" s="28"/>
      <c r="UNP26" s="28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4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5"/>
      <c r="UOO26" s="4"/>
      <c r="UOP26" s="28"/>
      <c r="UOQ26" s="28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4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5"/>
      <c r="UPP26" s="4"/>
      <c r="UPQ26" s="28"/>
      <c r="UPR26" s="28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4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5"/>
      <c r="UQQ26" s="4"/>
      <c r="UQR26" s="28"/>
      <c r="UQS26" s="28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4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5"/>
      <c r="URR26" s="4"/>
      <c r="URS26" s="28"/>
      <c r="URT26" s="28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4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5"/>
      <c r="USS26" s="4"/>
      <c r="UST26" s="28"/>
      <c r="USU26" s="28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4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5"/>
      <c r="UTT26" s="4"/>
      <c r="UTU26" s="28"/>
      <c r="UTV26" s="28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4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5"/>
      <c r="UUU26" s="4"/>
      <c r="UUV26" s="28"/>
      <c r="UUW26" s="28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4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5"/>
      <c r="UVV26" s="4"/>
      <c r="UVW26" s="28"/>
      <c r="UVX26" s="28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4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5"/>
      <c r="UWW26" s="4"/>
      <c r="UWX26" s="28"/>
      <c r="UWY26" s="28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4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5"/>
      <c r="UXX26" s="4"/>
      <c r="UXY26" s="28"/>
      <c r="UXZ26" s="28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4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5"/>
      <c r="UYY26" s="4"/>
      <c r="UYZ26" s="28"/>
      <c r="UZA26" s="28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4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5"/>
      <c r="UZZ26" s="4"/>
      <c r="VAA26" s="28"/>
      <c r="VAB26" s="28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4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5"/>
      <c r="VBA26" s="4"/>
      <c r="VBB26" s="28"/>
      <c r="VBC26" s="28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4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5"/>
      <c r="VCB26" s="4"/>
      <c r="VCC26" s="28"/>
      <c r="VCD26" s="28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4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5"/>
      <c r="VDC26" s="4"/>
      <c r="VDD26" s="28"/>
      <c r="VDE26" s="28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4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5"/>
      <c r="VED26" s="4"/>
      <c r="VEE26" s="28"/>
      <c r="VEF26" s="28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4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5"/>
      <c r="VFE26" s="4"/>
      <c r="VFF26" s="28"/>
      <c r="VFG26" s="28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4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5"/>
      <c r="VGF26" s="4"/>
      <c r="VGG26" s="28"/>
      <c r="VGH26" s="28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4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5"/>
      <c r="VHG26" s="4"/>
      <c r="VHH26" s="28"/>
      <c r="VHI26" s="28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4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5"/>
      <c r="VIH26" s="4"/>
      <c r="VII26" s="28"/>
      <c r="VIJ26" s="28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4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5"/>
      <c r="VJI26" s="4"/>
      <c r="VJJ26" s="28"/>
      <c r="VJK26" s="28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4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5"/>
      <c r="VKJ26" s="4"/>
      <c r="VKK26" s="28"/>
      <c r="VKL26" s="28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4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5"/>
      <c r="VLK26" s="4"/>
      <c r="VLL26" s="28"/>
      <c r="VLM26" s="28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4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5"/>
      <c r="VML26" s="4"/>
      <c r="VMM26" s="28"/>
      <c r="VMN26" s="28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4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5"/>
      <c r="VNM26" s="4"/>
      <c r="VNN26" s="28"/>
      <c r="VNO26" s="28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4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5"/>
      <c r="VON26" s="4"/>
      <c r="VOO26" s="28"/>
      <c r="VOP26" s="28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4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5"/>
      <c r="VPO26" s="4"/>
      <c r="VPP26" s="28"/>
      <c r="VPQ26" s="28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4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5"/>
      <c r="VQP26" s="4"/>
      <c r="VQQ26" s="28"/>
      <c r="VQR26" s="28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4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5"/>
      <c r="VRQ26" s="4"/>
      <c r="VRR26" s="28"/>
      <c r="VRS26" s="28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4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5"/>
      <c r="VSR26" s="4"/>
      <c r="VSS26" s="28"/>
      <c r="VST26" s="28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4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5"/>
      <c r="VTS26" s="4"/>
      <c r="VTT26" s="28"/>
      <c r="VTU26" s="28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4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5"/>
      <c r="VUT26" s="4"/>
      <c r="VUU26" s="28"/>
      <c r="VUV26" s="28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4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5"/>
      <c r="VVU26" s="4"/>
      <c r="VVV26" s="28"/>
      <c r="VVW26" s="28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4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5"/>
      <c r="VWV26" s="4"/>
      <c r="VWW26" s="28"/>
      <c r="VWX26" s="28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4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5"/>
      <c r="VXW26" s="4"/>
      <c r="VXX26" s="28"/>
      <c r="VXY26" s="28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4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5"/>
      <c r="VYX26" s="4"/>
      <c r="VYY26" s="28"/>
      <c r="VYZ26" s="28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4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5"/>
      <c r="VZY26" s="4"/>
      <c r="VZZ26" s="28"/>
      <c r="WAA26" s="28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4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5"/>
      <c r="WAZ26" s="4"/>
      <c r="WBA26" s="28"/>
      <c r="WBB26" s="28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4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5"/>
      <c r="WCA26" s="4"/>
      <c r="WCB26" s="28"/>
      <c r="WCC26" s="28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4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5"/>
      <c r="WDB26" s="4"/>
      <c r="WDC26" s="28"/>
      <c r="WDD26" s="28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4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5"/>
      <c r="WEC26" s="4"/>
      <c r="WED26" s="28"/>
      <c r="WEE26" s="28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4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5"/>
      <c r="WFD26" s="4"/>
      <c r="WFE26" s="28"/>
      <c r="WFF26" s="28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4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5"/>
      <c r="WGE26" s="4"/>
      <c r="WGF26" s="28"/>
      <c r="WGG26" s="28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4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5"/>
      <c r="WHF26" s="4"/>
      <c r="WHG26" s="28"/>
      <c r="WHH26" s="28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4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5"/>
      <c r="WIG26" s="4"/>
      <c r="WIH26" s="28"/>
      <c r="WII26" s="28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4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5"/>
      <c r="WJH26" s="4"/>
      <c r="WJI26" s="28"/>
      <c r="WJJ26" s="28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5"/>
      <c r="WKI26" s="4"/>
      <c r="WKJ26" s="28"/>
      <c r="WKK26" s="28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5"/>
      <c r="WLJ26" s="4"/>
      <c r="WLK26" s="28"/>
      <c r="WLL26" s="28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5"/>
      <c r="WMK26" s="4"/>
      <c r="WML26" s="28"/>
      <c r="WMM26" s="28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5"/>
      <c r="WNL26" s="4"/>
      <c r="WNM26" s="28"/>
      <c r="WNN26" s="28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4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5"/>
      <c r="WOM26" s="4"/>
      <c r="WON26" s="28"/>
      <c r="WOO26" s="28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5"/>
      <c r="WPN26" s="4"/>
      <c r="WPO26" s="28"/>
      <c r="WPP26" s="28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5"/>
      <c r="WQO26" s="4"/>
      <c r="WQP26" s="28"/>
      <c r="WQQ26" s="28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5"/>
      <c r="WRP26" s="4"/>
      <c r="WRQ26" s="28"/>
      <c r="WRR26" s="28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4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5"/>
      <c r="WSQ26" s="4"/>
      <c r="WSR26" s="28"/>
      <c r="WSS26" s="28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5"/>
      <c r="WTR26" s="4"/>
      <c r="WTS26" s="28"/>
      <c r="WTT26" s="28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5"/>
      <c r="WUS26" s="4"/>
      <c r="WUT26" s="28"/>
      <c r="WUU26" s="28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5"/>
      <c r="WVT26" s="4"/>
      <c r="WVU26" s="28"/>
      <c r="WVV26" s="28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4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5"/>
      <c r="WWU26" s="4"/>
      <c r="WWV26" s="28"/>
      <c r="WWW26" s="28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4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5"/>
      <c r="WXV26" s="4"/>
      <c r="WXW26" s="28"/>
      <c r="WXX26" s="28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5"/>
      <c r="WYW26" s="4"/>
      <c r="WYX26" s="28"/>
      <c r="WYY26" s="28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5"/>
      <c r="WZX26" s="4"/>
      <c r="WZY26" s="28"/>
      <c r="WZZ26" s="28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5"/>
      <c r="XAY26" s="4"/>
      <c r="XAZ26" s="28"/>
      <c r="XBA26" s="28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5"/>
      <c r="XBZ26" s="4"/>
      <c r="XCA26" s="28"/>
      <c r="XCB26" s="28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5"/>
      <c r="XDA26" s="4"/>
      <c r="XDB26" s="28"/>
      <c r="XDC26" s="28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</row>
    <row r="27" spans="1:16348" ht="60.95" customHeight="1">
      <c r="F27" s="17">
        <f t="shared" si="12"/>
        <v>18</v>
      </c>
      <c r="G27" s="31" t="s">
        <v>90</v>
      </c>
      <c r="H27" s="105" t="s">
        <v>91</v>
      </c>
      <c r="I27" s="106" t="s">
        <v>92</v>
      </c>
      <c r="J27" s="103" t="s">
        <v>93</v>
      </c>
      <c r="K27" s="104" t="s">
        <v>94</v>
      </c>
      <c r="M27" s="4"/>
      <c r="AH27" s="100" t="s">
        <v>95</v>
      </c>
    </row>
    <row r="28" spans="1:16348">
      <c r="F28" s="17">
        <f t="shared" si="12"/>
        <v>19</v>
      </c>
      <c r="G28" s="12" t="s">
        <v>96</v>
      </c>
      <c r="H28" s="13">
        <v>0</v>
      </c>
      <c r="I28" s="13">
        <v>0</v>
      </c>
      <c r="J28" s="117">
        <v>0</v>
      </c>
      <c r="K28" s="189">
        <f>H66</f>
        <v>10595</v>
      </c>
      <c r="L28" s="189">
        <f t="shared" ref="L28:V28" si="15">$K$28</f>
        <v>10595</v>
      </c>
      <c r="M28" s="189">
        <f t="shared" si="15"/>
        <v>10595</v>
      </c>
      <c r="N28" s="189">
        <f t="shared" si="15"/>
        <v>10595</v>
      </c>
      <c r="O28" s="189">
        <f t="shared" si="15"/>
        <v>10595</v>
      </c>
      <c r="P28" s="189">
        <f t="shared" si="15"/>
        <v>10595</v>
      </c>
      <c r="Q28" s="189">
        <f t="shared" si="15"/>
        <v>10595</v>
      </c>
      <c r="R28" s="189">
        <f t="shared" si="15"/>
        <v>10595</v>
      </c>
      <c r="S28" s="189">
        <f t="shared" si="15"/>
        <v>10595</v>
      </c>
      <c r="T28" s="189">
        <f t="shared" si="15"/>
        <v>10595</v>
      </c>
      <c r="U28" s="189">
        <f t="shared" si="15"/>
        <v>10595</v>
      </c>
      <c r="V28" s="189">
        <f t="shared" si="15"/>
        <v>10595</v>
      </c>
      <c r="W28" s="189">
        <f>$K$28*(1+Dados!$C$22)</f>
        <v>10912.85</v>
      </c>
      <c r="X28" s="189">
        <f>$K$28*(1+Dados!$C$22)</f>
        <v>10912.85</v>
      </c>
      <c r="Y28" s="189">
        <f>$K$28*(1+Dados!$C$22)</f>
        <v>10912.85</v>
      </c>
      <c r="Z28" s="189">
        <f>$K$28*(1+Dados!$C$22)</f>
        <v>10912.85</v>
      </c>
      <c r="AA28" s="189">
        <f>$K$28*(1+Dados!$C$22)</f>
        <v>10912.85</v>
      </c>
      <c r="AB28" s="189">
        <f>$K$28*(1+Dados!$C$22)</f>
        <v>10912.85</v>
      </c>
      <c r="AC28" s="189">
        <f>$K$28*(1+Dados!$C$22)</f>
        <v>10912.85</v>
      </c>
      <c r="AD28" s="189">
        <f>$K$28*(1+Dados!$C$22)</f>
        <v>10912.85</v>
      </c>
      <c r="AE28" s="189">
        <f>$K$28*(1+Dados!$C$22)</f>
        <v>10912.85</v>
      </c>
      <c r="AF28" s="189">
        <f>$K$28*(1+Dados!$C$22)</f>
        <v>10912.85</v>
      </c>
      <c r="AG28" s="189">
        <f>$K$28*(1+Dados!$C$22)</f>
        <v>10912.85</v>
      </c>
      <c r="AH28" s="189">
        <f>$K$28*(1+Dados!$C$22)</f>
        <v>10912.85</v>
      </c>
      <c r="AI28" s="13"/>
      <c r="AJ28" s="13"/>
    </row>
    <row r="29" spans="1:16348">
      <c r="F29" s="17">
        <f t="shared" si="12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16348" ht="47.25">
      <c r="F30" s="17">
        <f t="shared" si="12"/>
        <v>21</v>
      </c>
      <c r="G30" s="31" t="s">
        <v>97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100" t="s">
        <v>98</v>
      </c>
    </row>
    <row r="31" spans="1:16348">
      <c r="F31" s="17">
        <f t="shared" si="12"/>
        <v>22</v>
      </c>
      <c r="G31" s="12" t="s">
        <v>99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114">
        <v>0</v>
      </c>
    </row>
    <row r="32" spans="1:16348">
      <c r="F32" s="17">
        <f t="shared" si="12"/>
        <v>23</v>
      </c>
      <c r="G32" s="12" t="s">
        <v>100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114">
        <f>H96</f>
        <v>166048.30439999999</v>
      </c>
    </row>
    <row r="33" spans="6:36">
      <c r="F33" s="17">
        <f t="shared" si="12"/>
        <v>24</v>
      </c>
    </row>
    <row r="34" spans="6:36">
      <c r="F34" s="17">
        <f t="shared" si="12"/>
        <v>25</v>
      </c>
      <c r="G34" s="33" t="s">
        <v>101</v>
      </c>
    </row>
    <row r="35" spans="6:36">
      <c r="F35" s="17">
        <f t="shared" si="12"/>
        <v>26</v>
      </c>
      <c r="G35" s="156" t="s">
        <v>102</v>
      </c>
    </row>
    <row r="36" spans="6:36">
      <c r="F36" s="17">
        <f t="shared" si="12"/>
        <v>27</v>
      </c>
      <c r="G36" s="12" t="s">
        <v>103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386.71749999999997</v>
      </c>
      <c r="L36" s="13">
        <f>Tributos!$B$5*SUM(L28)</f>
        <v>386.71749999999997</v>
      </c>
      <c r="M36" s="13">
        <f>Tributos!$B$5*SUM(M28)</f>
        <v>386.71749999999997</v>
      </c>
      <c r="N36" s="13">
        <f>Tributos!$B$5*SUM(N28)</f>
        <v>386.71749999999997</v>
      </c>
      <c r="O36" s="13">
        <f>Tributos!$B$5*SUM(O28)</f>
        <v>386.71749999999997</v>
      </c>
      <c r="P36" s="13">
        <f>Tributos!$B$5*SUM(P28)</f>
        <v>386.71749999999997</v>
      </c>
      <c r="Q36" s="13">
        <f>Tributos!$B$5*SUM(Q28)</f>
        <v>386.71749999999997</v>
      </c>
      <c r="R36" s="13">
        <f>Tributos!$B$5*SUM(R28)</f>
        <v>386.71749999999997</v>
      </c>
      <c r="S36" s="13">
        <f>Tributos!$B$5*SUM(S28)</f>
        <v>386.71749999999997</v>
      </c>
      <c r="T36" s="13">
        <f>Tributos!$B$5*SUM(T28)</f>
        <v>386.71749999999997</v>
      </c>
      <c r="U36" s="13">
        <f>Tributos!$B$5*SUM(U28)</f>
        <v>386.71749999999997</v>
      </c>
      <c r="V36" s="13">
        <f>Tributos!$B$5*SUM(V28)</f>
        <v>386.71749999999997</v>
      </c>
      <c r="W36" s="13">
        <f>Tributos!$B$5*SUM(W28)</f>
        <v>398.31902500000001</v>
      </c>
      <c r="X36" s="13">
        <f>Tributos!$B$5*SUM(X28)</f>
        <v>398.31902500000001</v>
      </c>
      <c r="Y36" s="13">
        <f>Tributos!$B$5*SUM(Y28)</f>
        <v>398.31902500000001</v>
      </c>
      <c r="Z36" s="13">
        <f>Tributos!$B$5*SUM(Z28)</f>
        <v>398.31902500000001</v>
      </c>
      <c r="AA36" s="13">
        <f>Tributos!$B$5*SUM(AA28)</f>
        <v>398.31902500000001</v>
      </c>
      <c r="AB36" s="13">
        <f>Tributos!$B$5*SUM(AB28)</f>
        <v>398.31902500000001</v>
      </c>
      <c r="AC36" s="13">
        <f>Tributos!$B$5*SUM(AC28)</f>
        <v>398.31902500000001</v>
      </c>
      <c r="AD36" s="13">
        <f>Tributos!$B$5*SUM(AD28)</f>
        <v>398.31902500000001</v>
      </c>
      <c r="AE36" s="13">
        <f>Tributos!$B$5*SUM(AE28)</f>
        <v>398.31902500000001</v>
      </c>
      <c r="AF36" s="13">
        <f>Tributos!$B$5*SUM(AF28)</f>
        <v>398.31902500000001</v>
      </c>
      <c r="AG36" s="13">
        <f>Tributos!$B$5*SUM(AG28)</f>
        <v>398.31902500000001</v>
      </c>
      <c r="AH36" s="13">
        <f>Tributos!$B$5*SUM(AH28)</f>
        <v>398.31902500000001</v>
      </c>
      <c r="AI36" s="13">
        <f>Tributos!$B$5*SUM(AI28)</f>
        <v>0</v>
      </c>
      <c r="AJ36" s="13">
        <f>Tributos!$B$5*SUM(AJ28)</f>
        <v>0</v>
      </c>
    </row>
    <row r="37" spans="6:36">
      <c r="F37" s="17">
        <f t="shared" si="12"/>
        <v>28</v>
      </c>
    </row>
    <row r="38" spans="6:36">
      <c r="F38" s="17">
        <f t="shared" si="12"/>
        <v>29</v>
      </c>
      <c r="G38" s="160" t="s">
        <v>104</v>
      </c>
    </row>
    <row r="39" spans="6:36">
      <c r="F39" s="17">
        <f t="shared" si="12"/>
        <v>30</v>
      </c>
      <c r="G39" s="31" t="s">
        <v>105</v>
      </c>
    </row>
    <row r="40" spans="6:36">
      <c r="F40" s="17">
        <f t="shared" si="12"/>
        <v>31</v>
      </c>
      <c r="G40" s="12"/>
      <c r="H40" s="25">
        <f t="shared" ref="H40:AG40" si="16">SUM(H28)-H36</f>
        <v>0</v>
      </c>
      <c r="I40" s="25">
        <f t="shared" si="16"/>
        <v>0</v>
      </c>
      <c r="J40" s="25">
        <f t="shared" si="16"/>
        <v>0</v>
      </c>
      <c r="K40" s="25">
        <f t="shared" si="16"/>
        <v>10208.282499999999</v>
      </c>
      <c r="L40" s="25">
        <f t="shared" si="16"/>
        <v>10208.282499999999</v>
      </c>
      <c r="M40" s="25">
        <f t="shared" si="16"/>
        <v>10208.282499999999</v>
      </c>
      <c r="N40" s="25">
        <f t="shared" si="16"/>
        <v>10208.282499999999</v>
      </c>
      <c r="O40" s="25">
        <f t="shared" si="16"/>
        <v>10208.282499999999</v>
      </c>
      <c r="P40" s="25">
        <f t="shared" si="16"/>
        <v>10208.282499999999</v>
      </c>
      <c r="Q40" s="25">
        <f t="shared" si="16"/>
        <v>10208.282499999999</v>
      </c>
      <c r="R40" s="25">
        <f t="shared" si="16"/>
        <v>10208.282499999999</v>
      </c>
      <c r="S40" s="25">
        <f t="shared" si="16"/>
        <v>10208.282499999999</v>
      </c>
      <c r="T40" s="25">
        <f t="shared" si="16"/>
        <v>10208.282499999999</v>
      </c>
      <c r="U40" s="25">
        <f t="shared" si="16"/>
        <v>10208.282499999999</v>
      </c>
      <c r="V40" s="25">
        <f t="shared" si="16"/>
        <v>10208.282499999999</v>
      </c>
      <c r="W40" s="25">
        <f t="shared" si="16"/>
        <v>10514.530975</v>
      </c>
      <c r="X40" s="25">
        <f t="shared" si="16"/>
        <v>10514.530975</v>
      </c>
      <c r="Y40" s="25">
        <f t="shared" si="16"/>
        <v>10514.530975</v>
      </c>
      <c r="Z40" s="25">
        <f t="shared" si="16"/>
        <v>10514.530975</v>
      </c>
      <c r="AA40" s="25">
        <f t="shared" si="16"/>
        <v>10514.530975</v>
      </c>
      <c r="AB40" s="25">
        <f t="shared" si="16"/>
        <v>10514.530975</v>
      </c>
      <c r="AC40" s="25">
        <f t="shared" si="16"/>
        <v>10514.530975</v>
      </c>
      <c r="AD40" s="25">
        <f t="shared" si="16"/>
        <v>10514.530975</v>
      </c>
      <c r="AE40" s="25">
        <f t="shared" si="16"/>
        <v>10514.530975</v>
      </c>
      <c r="AF40" s="25">
        <f t="shared" si="16"/>
        <v>10514.530975</v>
      </c>
      <c r="AG40" s="25">
        <f t="shared" si="16"/>
        <v>10514.530975</v>
      </c>
      <c r="AH40" s="25">
        <f>SUM(AH28)-AH36</f>
        <v>10514.530975</v>
      </c>
      <c r="AI40" s="25">
        <f>SUM(AI28)-AI36</f>
        <v>0</v>
      </c>
      <c r="AJ40" s="25">
        <f>SUM(AJ28)-AJ36</f>
        <v>0</v>
      </c>
    </row>
    <row r="41" spans="6:36">
      <c r="F41" s="17">
        <f t="shared" si="12"/>
        <v>32</v>
      </c>
      <c r="G41" s="31" t="s">
        <v>106</v>
      </c>
    </row>
    <row r="42" spans="6:36">
      <c r="F42" s="17">
        <f t="shared" si="12"/>
        <v>33</v>
      </c>
      <c r="G42" s="12"/>
      <c r="H42" s="25">
        <f>SUM(H31:H32)</f>
        <v>0</v>
      </c>
      <c r="I42" s="25">
        <f t="shared" ref="I42:AG42" si="17">SUM(I31:I32)</f>
        <v>0</v>
      </c>
      <c r="J42" s="25">
        <f t="shared" si="17"/>
        <v>0</v>
      </c>
      <c r="K42" s="25">
        <f t="shared" si="17"/>
        <v>0</v>
      </c>
      <c r="L42" s="25">
        <f t="shared" si="17"/>
        <v>0</v>
      </c>
      <c r="M42" s="25">
        <f t="shared" si="17"/>
        <v>0</v>
      </c>
      <c r="N42" s="25">
        <f t="shared" si="17"/>
        <v>0</v>
      </c>
      <c r="O42" s="25">
        <f t="shared" si="17"/>
        <v>0</v>
      </c>
      <c r="P42" s="25">
        <f t="shared" si="17"/>
        <v>0</v>
      </c>
      <c r="Q42" s="25">
        <f t="shared" si="17"/>
        <v>0</v>
      </c>
      <c r="R42" s="25">
        <f t="shared" si="17"/>
        <v>0</v>
      </c>
      <c r="S42" s="25">
        <f t="shared" si="17"/>
        <v>0</v>
      </c>
      <c r="T42" s="25">
        <f t="shared" si="17"/>
        <v>0</v>
      </c>
      <c r="U42" s="25">
        <f t="shared" si="17"/>
        <v>0</v>
      </c>
      <c r="V42" s="25">
        <f t="shared" si="17"/>
        <v>0</v>
      </c>
      <c r="W42" s="25">
        <f t="shared" si="17"/>
        <v>0</v>
      </c>
      <c r="X42" s="25">
        <f t="shared" si="17"/>
        <v>0</v>
      </c>
      <c r="Y42" s="25">
        <f t="shared" si="17"/>
        <v>0</v>
      </c>
      <c r="Z42" s="25">
        <f t="shared" si="17"/>
        <v>0</v>
      </c>
      <c r="AA42" s="25">
        <f t="shared" si="17"/>
        <v>0</v>
      </c>
      <c r="AB42" s="25">
        <f t="shared" si="17"/>
        <v>0</v>
      </c>
      <c r="AC42" s="25">
        <f t="shared" si="17"/>
        <v>0</v>
      </c>
      <c r="AD42" s="25">
        <f t="shared" si="17"/>
        <v>0</v>
      </c>
      <c r="AE42" s="25">
        <f t="shared" si="17"/>
        <v>0</v>
      </c>
      <c r="AF42" s="25">
        <f t="shared" si="17"/>
        <v>0</v>
      </c>
      <c r="AG42" s="25">
        <f t="shared" si="17"/>
        <v>0</v>
      </c>
      <c r="AH42" s="25">
        <f>SUM(AH31:AH32)</f>
        <v>0</v>
      </c>
      <c r="AI42" s="25">
        <f>SUM(AI31:AI32)</f>
        <v>0</v>
      </c>
      <c r="AJ42" s="25">
        <f>SUM(AJ31:AJ32)</f>
        <v>166048.30439999999</v>
      </c>
    </row>
    <row r="43" spans="6:36">
      <c r="F43" s="17">
        <f t="shared" si="12"/>
        <v>34</v>
      </c>
    </row>
    <row r="44" spans="6:36">
      <c r="F44" s="17">
        <f t="shared" si="12"/>
        <v>35</v>
      </c>
      <c r="G44" s="32" t="s">
        <v>107</v>
      </c>
    </row>
    <row r="45" spans="6:36">
      <c r="F45" s="17">
        <f t="shared" si="12"/>
        <v>36</v>
      </c>
      <c r="G45" s="27"/>
      <c r="H45" s="27">
        <f>H28-H13-H11</f>
        <v>0</v>
      </c>
      <c r="I45" s="27">
        <f t="shared" ref="I45:AG45" si="18">I28-I13-I11</f>
        <v>-18918.82069552473</v>
      </c>
      <c r="J45" s="27">
        <f t="shared" si="18"/>
        <v>-13997.470695524729</v>
      </c>
      <c r="K45" s="27">
        <f t="shared" si="18"/>
        <v>-3402.4706955247293</v>
      </c>
      <c r="L45" s="27">
        <f t="shared" si="18"/>
        <v>-3402.4706955247293</v>
      </c>
      <c r="M45" s="27">
        <f t="shared" si="18"/>
        <v>-3402.4706955247293</v>
      </c>
      <c r="N45" s="27">
        <f t="shared" si="18"/>
        <v>-3402.4706955247293</v>
      </c>
      <c r="O45" s="27">
        <f t="shared" si="18"/>
        <v>-3402.4706955247293</v>
      </c>
      <c r="P45" s="27">
        <f t="shared" si="18"/>
        <v>-3402.4706955247293</v>
      </c>
      <c r="Q45" s="27">
        <f t="shared" si="18"/>
        <v>-3402.4706955247293</v>
      </c>
      <c r="R45" s="27">
        <f t="shared" si="18"/>
        <v>-3402.4706955247293</v>
      </c>
      <c r="S45" s="27">
        <f t="shared" si="18"/>
        <v>-3402.4706955247293</v>
      </c>
      <c r="T45" s="27">
        <f>T28-T13-T11</f>
        <v>-7873.8206955247288</v>
      </c>
      <c r="U45" s="27">
        <f>U28-U13-U11</f>
        <v>-3402.4706955247293</v>
      </c>
      <c r="V45" s="27">
        <f t="shared" si="18"/>
        <v>-3402.4706955247293</v>
      </c>
      <c r="W45" s="27">
        <f t="shared" si="18"/>
        <v>-3084.6206955247289</v>
      </c>
      <c r="X45" s="27">
        <f t="shared" si="18"/>
        <v>-3084.6206955247289</v>
      </c>
      <c r="Y45" s="27">
        <f t="shared" si="18"/>
        <v>-3084.6206955247289</v>
      </c>
      <c r="Z45" s="27">
        <f t="shared" si="18"/>
        <v>-3084.6206955247289</v>
      </c>
      <c r="AA45" s="27">
        <f t="shared" si="18"/>
        <v>-3084.6206955247289</v>
      </c>
      <c r="AB45" s="27">
        <f t="shared" si="18"/>
        <v>-3084.6206955247289</v>
      </c>
      <c r="AC45" s="27">
        <f t="shared" si="18"/>
        <v>-3084.6206955247289</v>
      </c>
      <c r="AD45" s="27">
        <f t="shared" si="18"/>
        <v>-3084.6206955247289</v>
      </c>
      <c r="AE45" s="27">
        <f t="shared" si="18"/>
        <v>-3084.6206955247289</v>
      </c>
      <c r="AF45" s="27">
        <f t="shared" si="18"/>
        <v>-3084.6206955247289</v>
      </c>
      <c r="AG45" s="27">
        <f t="shared" si="18"/>
        <v>7089.7025000000003</v>
      </c>
      <c r="AH45" s="27">
        <f>AH28-AH13-AH11</f>
        <v>10912.85</v>
      </c>
      <c r="AI45" s="27">
        <f>AI28-AI13-AI11</f>
        <v>0</v>
      </c>
      <c r="AJ45" s="27">
        <f>AJ28-AJ13-AJ11</f>
        <v>0</v>
      </c>
    </row>
    <row r="46" spans="6:36">
      <c r="F46" s="17">
        <f t="shared" si="12"/>
        <v>37</v>
      </c>
    </row>
    <row r="47" spans="6:36">
      <c r="F47" s="17">
        <f t="shared" si="12"/>
        <v>38</v>
      </c>
    </row>
    <row r="48" spans="6:36">
      <c r="F48" s="17">
        <f t="shared" si="12"/>
        <v>39</v>
      </c>
      <c r="G48" s="33" t="s">
        <v>108</v>
      </c>
    </row>
    <row r="49" spans="6:38">
      <c r="F49" s="17">
        <f t="shared" si="12"/>
        <v>40</v>
      </c>
      <c r="G49" s="33" t="s">
        <v>109</v>
      </c>
    </row>
    <row r="50" spans="6:38">
      <c r="F50" s="17">
        <f t="shared" si="12"/>
        <v>41</v>
      </c>
      <c r="G50" s="27" t="s">
        <v>110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508.56</v>
      </c>
      <c r="L50" s="27">
        <f>Tributos!$B$8*SUM(Cashflow!L28)*32%</f>
        <v>508.56</v>
      </c>
      <c r="M50" s="27">
        <f>Tributos!$B$8*SUM(Cashflow!M28)*32%</f>
        <v>508.56</v>
      </c>
      <c r="N50" s="27">
        <f>Tributos!$B$8*SUM(Cashflow!N28)*32%</f>
        <v>508.56</v>
      </c>
      <c r="O50" s="27">
        <f>Tributos!$B$8*SUM(Cashflow!O28)*32%</f>
        <v>508.56</v>
      </c>
      <c r="P50" s="27">
        <f>Tributos!$B$8*SUM(Cashflow!P28)*32%</f>
        <v>508.56</v>
      </c>
      <c r="Q50" s="27">
        <f>Tributos!$B$8*SUM(Cashflow!Q28)*32%</f>
        <v>508.56</v>
      </c>
      <c r="R50" s="27">
        <f>Tributos!$B$8*SUM(Cashflow!R28)*32%</f>
        <v>508.56</v>
      </c>
      <c r="S50" s="27">
        <f>Tributos!$B$8*SUM(Cashflow!S28)*32%</f>
        <v>508.56</v>
      </c>
      <c r="T50" s="27">
        <f>Tributos!$B$8*SUM(Cashflow!T28)*32%</f>
        <v>508.56</v>
      </c>
      <c r="U50" s="27">
        <f>Tributos!$B$8*SUM(Cashflow!U28)*32%</f>
        <v>508.56</v>
      </c>
      <c r="V50" s="27">
        <f>Tributos!$B$8*SUM(Cashflow!V28)*32%</f>
        <v>508.56</v>
      </c>
      <c r="W50" s="27">
        <f>Tributos!$B$8*SUM(Cashflow!W28)*32%</f>
        <v>523.81680000000006</v>
      </c>
      <c r="X50" s="27">
        <f>Tributos!$B$8*SUM(Cashflow!X28)*32%</f>
        <v>523.81680000000006</v>
      </c>
      <c r="Y50" s="27">
        <f>Tributos!$B$8*SUM(Cashflow!Y28)*32%</f>
        <v>523.81680000000006</v>
      </c>
      <c r="Z50" s="27">
        <f>Tributos!$B$8*SUM(Cashflow!Z28)*32%</f>
        <v>523.81680000000006</v>
      </c>
      <c r="AA50" s="27">
        <f>Tributos!$B$8*SUM(Cashflow!AA28)*32%</f>
        <v>523.81680000000006</v>
      </c>
      <c r="AB50" s="27">
        <f>Tributos!$B$8*SUM(Cashflow!AB28)*32%</f>
        <v>523.81680000000006</v>
      </c>
      <c r="AC50" s="27">
        <f>Tributos!$B$8*SUM(Cashflow!AC28)*32%</f>
        <v>523.81680000000006</v>
      </c>
      <c r="AD50" s="27">
        <f>Tributos!$B$8*SUM(Cashflow!AD28)*32%</f>
        <v>523.81680000000006</v>
      </c>
      <c r="AE50" s="27">
        <f>Tributos!$B$8*SUM(Cashflow!AE28)*32%</f>
        <v>523.81680000000006</v>
      </c>
      <c r="AF50" s="27">
        <f>Tributos!$B$8*SUM(Cashflow!AF28)*32%</f>
        <v>523.81680000000006</v>
      </c>
      <c r="AG50" s="27">
        <f>Tributos!$B$8*SUM(Cashflow!AG28)*32%</f>
        <v>523.81680000000006</v>
      </c>
      <c r="AH50" s="27">
        <f>Tributos!$B$8*SUM(Cashflow!AH28)*32%</f>
        <v>523.81680000000006</v>
      </c>
      <c r="AI50" s="27">
        <f>Tributos!$B$8*SUM(Cashflow!AI28)*32%</f>
        <v>0</v>
      </c>
      <c r="AJ50" s="27">
        <f>Tributos!$B$8*SUM(Cashflow!AJ28)*32%</f>
        <v>0</v>
      </c>
    </row>
    <row r="51" spans="6:38">
      <c r="F51" s="17">
        <f t="shared" si="12"/>
        <v>42</v>
      </c>
      <c r="G51" s="27" t="s">
        <v>111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305.13599999999997</v>
      </c>
      <c r="L51" s="27">
        <f>Tributos!$B$9*SUM(Cashflow!L28)*32%</f>
        <v>305.13599999999997</v>
      </c>
      <c r="M51" s="27">
        <f>Tributos!$B$9*SUM(Cashflow!M28)*32%</f>
        <v>305.13599999999997</v>
      </c>
      <c r="N51" s="27">
        <f>Tributos!$B$9*SUM(Cashflow!N28)*32%</f>
        <v>305.13599999999997</v>
      </c>
      <c r="O51" s="27">
        <f>Tributos!$B$9*SUM(Cashflow!O28)*32%</f>
        <v>305.13599999999997</v>
      </c>
      <c r="P51" s="27">
        <f>Tributos!$B$9*SUM(Cashflow!P28)*32%</f>
        <v>305.13599999999997</v>
      </c>
      <c r="Q51" s="27">
        <f>Tributos!$B$9*SUM(Cashflow!Q28)*32%</f>
        <v>305.13599999999997</v>
      </c>
      <c r="R51" s="27">
        <f>Tributos!$B$9*SUM(Cashflow!R28)*32%</f>
        <v>305.13599999999997</v>
      </c>
      <c r="S51" s="27">
        <f>Tributos!$B$9*SUM(Cashflow!S28)*32%</f>
        <v>305.13599999999997</v>
      </c>
      <c r="T51" s="27">
        <f>Tributos!$B$9*SUM(Cashflow!T28)*32%</f>
        <v>305.13599999999997</v>
      </c>
      <c r="U51" s="27">
        <f>Tributos!$B$9*SUM(Cashflow!U28)*32%</f>
        <v>305.13599999999997</v>
      </c>
      <c r="V51" s="27">
        <f>Tributos!$B$9*SUM(Cashflow!V28)*32%</f>
        <v>305.13599999999997</v>
      </c>
      <c r="W51" s="27">
        <f>Tributos!$B$9*SUM(Cashflow!W28)*32%</f>
        <v>314.29008000000005</v>
      </c>
      <c r="X51" s="27">
        <f>Tributos!$B$9*SUM(Cashflow!X28)*32%</f>
        <v>314.29008000000005</v>
      </c>
      <c r="Y51" s="27">
        <f>Tributos!$B$9*SUM(Cashflow!Y28)*32%</f>
        <v>314.29008000000005</v>
      </c>
      <c r="Z51" s="27">
        <f>Tributos!$B$9*SUM(Cashflow!Z28)*32%</f>
        <v>314.29008000000005</v>
      </c>
      <c r="AA51" s="27">
        <f>Tributos!$B$9*SUM(Cashflow!AA28)*32%</f>
        <v>314.29008000000005</v>
      </c>
      <c r="AB51" s="27">
        <f>Tributos!$B$9*SUM(Cashflow!AB28)*32%</f>
        <v>314.29008000000005</v>
      </c>
      <c r="AC51" s="27">
        <f>Tributos!$B$9*SUM(Cashflow!AC28)*32%</f>
        <v>314.29008000000005</v>
      </c>
      <c r="AD51" s="27">
        <f>Tributos!$B$9*SUM(Cashflow!AD28)*32%</f>
        <v>314.29008000000005</v>
      </c>
      <c r="AE51" s="27">
        <f>Tributos!$B$9*SUM(Cashflow!AE28)*32%</f>
        <v>314.29008000000005</v>
      </c>
      <c r="AF51" s="27">
        <f>Tributos!$B$9*SUM(Cashflow!AF28)*32%</f>
        <v>314.29008000000005</v>
      </c>
      <c r="AG51" s="27">
        <f>Tributos!$B$9*SUM(Cashflow!AG28)*32%</f>
        <v>314.29008000000005</v>
      </c>
      <c r="AH51" s="27">
        <f>Tributos!$B$9*SUM(Cashflow!AH28)*32%</f>
        <v>314.29008000000005</v>
      </c>
      <c r="AI51" s="27">
        <f>Tributos!$B$9*SUM(Cashflow!AI28)*32%</f>
        <v>0</v>
      </c>
      <c r="AJ51" s="27">
        <f>Tributos!$B$9*SUM(Cashflow!AJ28)*32%</f>
        <v>0</v>
      </c>
    </row>
    <row r="52" spans="6:38">
      <c r="F52" s="17">
        <f t="shared" si="12"/>
        <v>43</v>
      </c>
      <c r="G52" s="33" t="s">
        <v>112</v>
      </c>
    </row>
    <row r="53" spans="6:38">
      <c r="F53" s="17">
        <f t="shared" si="12"/>
        <v>44</v>
      </c>
      <c r="G53" s="27" t="s">
        <v>113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196"/>
    </row>
    <row r="54" spans="6:38">
      <c r="F54" s="17">
        <f t="shared" si="12"/>
        <v>45</v>
      </c>
      <c r="G54" s="27" t="s">
        <v>114</v>
      </c>
      <c r="H54" s="27">
        <f>H28*3.2%</f>
        <v>0</v>
      </c>
      <c r="I54" s="27">
        <f t="shared" ref="I54:AG54" si="19">I28*3.2%</f>
        <v>0</v>
      </c>
      <c r="J54" s="27">
        <f t="shared" si="19"/>
        <v>0</v>
      </c>
      <c r="K54" s="27">
        <f t="shared" si="19"/>
        <v>339.04</v>
      </c>
      <c r="L54" s="27">
        <f t="shared" si="19"/>
        <v>339.04</v>
      </c>
      <c r="M54" s="27">
        <f t="shared" si="19"/>
        <v>339.04</v>
      </c>
      <c r="N54" s="27">
        <f t="shared" si="19"/>
        <v>339.04</v>
      </c>
      <c r="O54" s="27">
        <f t="shared" si="19"/>
        <v>339.04</v>
      </c>
      <c r="P54" s="27">
        <f t="shared" si="19"/>
        <v>339.04</v>
      </c>
      <c r="Q54" s="27">
        <f t="shared" si="19"/>
        <v>339.04</v>
      </c>
      <c r="R54" s="27">
        <f t="shared" si="19"/>
        <v>339.04</v>
      </c>
      <c r="S54" s="27">
        <f t="shared" si="19"/>
        <v>339.04</v>
      </c>
      <c r="T54" s="27">
        <f t="shared" si="19"/>
        <v>339.04</v>
      </c>
      <c r="U54" s="27">
        <f t="shared" si="19"/>
        <v>339.04</v>
      </c>
      <c r="V54" s="27">
        <f t="shared" si="19"/>
        <v>339.04</v>
      </c>
      <c r="W54" s="27">
        <f t="shared" si="19"/>
        <v>349.21120000000002</v>
      </c>
      <c r="X54" s="27">
        <f t="shared" si="19"/>
        <v>349.21120000000002</v>
      </c>
      <c r="Y54" s="27">
        <f t="shared" si="19"/>
        <v>349.21120000000002</v>
      </c>
      <c r="Z54" s="27">
        <f t="shared" si="19"/>
        <v>349.21120000000002</v>
      </c>
      <c r="AA54" s="27">
        <f t="shared" si="19"/>
        <v>349.21120000000002</v>
      </c>
      <c r="AB54" s="27">
        <f t="shared" si="19"/>
        <v>349.21120000000002</v>
      </c>
      <c r="AC54" s="27">
        <f t="shared" si="19"/>
        <v>349.21120000000002</v>
      </c>
      <c r="AD54" s="27">
        <f t="shared" si="19"/>
        <v>349.21120000000002</v>
      </c>
      <c r="AE54" s="27">
        <f t="shared" si="19"/>
        <v>349.21120000000002</v>
      </c>
      <c r="AF54" s="27">
        <f t="shared" si="19"/>
        <v>349.21120000000002</v>
      </c>
      <c r="AG54" s="27">
        <f t="shared" si="19"/>
        <v>349.21120000000002</v>
      </c>
      <c r="AH54" s="27">
        <f>AH28*3.2%</f>
        <v>349.21120000000002</v>
      </c>
      <c r="AI54" s="27">
        <f>AI28*3.2%</f>
        <v>0</v>
      </c>
      <c r="AJ54" s="196"/>
    </row>
    <row r="55" spans="6:38">
      <c r="F55" s="17"/>
      <c r="G55" s="27" t="s">
        <v>103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196"/>
    </row>
    <row r="56" spans="6:38">
      <c r="F56" s="17">
        <f>F54+1</f>
        <v>46</v>
      </c>
      <c r="G56" s="27" t="s">
        <v>115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196"/>
    </row>
    <row r="57" spans="6:38">
      <c r="F57" s="17">
        <f>F56+1</f>
        <v>47</v>
      </c>
    </row>
    <row r="58" spans="6:38">
      <c r="F58" s="17">
        <f t="shared" si="12"/>
        <v>48</v>
      </c>
      <c r="G58" s="165" t="s">
        <v>116</v>
      </c>
    </row>
    <row r="59" spans="6:38">
      <c r="F59" s="17">
        <f t="shared" si="12"/>
        <v>49</v>
      </c>
      <c r="G59" s="27" t="s">
        <v>117</v>
      </c>
      <c r="H59" s="27">
        <f>H45-H50-H51-H54</f>
        <v>0</v>
      </c>
      <c r="I59" s="27">
        <f t="shared" ref="I59:AG59" si="20">I45-I50-I51-I54</f>
        <v>-18918.82069552473</v>
      </c>
      <c r="J59" s="27">
        <f t="shared" si="20"/>
        <v>-13997.470695524729</v>
      </c>
      <c r="K59" s="27">
        <f t="shared" si="20"/>
        <v>-4555.2066955247292</v>
      </c>
      <c r="L59" s="27">
        <f t="shared" si="20"/>
        <v>-4555.2066955247292</v>
      </c>
      <c r="M59" s="27">
        <f t="shared" si="20"/>
        <v>-4555.2066955247292</v>
      </c>
      <c r="N59" s="27">
        <f t="shared" si="20"/>
        <v>-4555.2066955247292</v>
      </c>
      <c r="O59" s="27">
        <f t="shared" si="20"/>
        <v>-4555.2066955247292</v>
      </c>
      <c r="P59" s="27">
        <f t="shared" si="20"/>
        <v>-4555.2066955247292</v>
      </c>
      <c r="Q59" s="27">
        <f t="shared" si="20"/>
        <v>-4555.2066955247292</v>
      </c>
      <c r="R59" s="27">
        <f t="shared" si="20"/>
        <v>-4555.2066955247292</v>
      </c>
      <c r="S59" s="27">
        <f t="shared" si="20"/>
        <v>-4555.2066955247292</v>
      </c>
      <c r="T59" s="27">
        <f t="shared" si="20"/>
        <v>-9026.5566955247305</v>
      </c>
      <c r="U59" s="27">
        <f t="shared" si="20"/>
        <v>-4555.2066955247292</v>
      </c>
      <c r="V59" s="27">
        <f t="shared" si="20"/>
        <v>-4555.2066955247292</v>
      </c>
      <c r="W59" s="27">
        <f t="shared" si="20"/>
        <v>-4271.938775524729</v>
      </c>
      <c r="X59" s="27">
        <f t="shared" si="20"/>
        <v>-4271.938775524729</v>
      </c>
      <c r="Y59" s="27">
        <f t="shared" si="20"/>
        <v>-4271.938775524729</v>
      </c>
      <c r="Z59" s="27">
        <f t="shared" si="20"/>
        <v>-4271.938775524729</v>
      </c>
      <c r="AA59" s="27">
        <f t="shared" si="20"/>
        <v>-4271.938775524729</v>
      </c>
      <c r="AB59" s="27">
        <f t="shared" si="20"/>
        <v>-4271.938775524729</v>
      </c>
      <c r="AC59" s="27">
        <f t="shared" si="20"/>
        <v>-4271.938775524729</v>
      </c>
      <c r="AD59" s="27">
        <f t="shared" si="20"/>
        <v>-4271.938775524729</v>
      </c>
      <c r="AE59" s="27">
        <f t="shared" si="20"/>
        <v>-4271.938775524729</v>
      </c>
      <c r="AF59" s="27">
        <f t="shared" si="20"/>
        <v>-4271.938775524729</v>
      </c>
      <c r="AG59" s="27">
        <f t="shared" si="20"/>
        <v>5902.3844200000012</v>
      </c>
      <c r="AH59" s="27">
        <f>AH45-AH50-AH51-AH54</f>
        <v>9725.5319199999994</v>
      </c>
      <c r="AI59" s="27">
        <f>AI45-AI50-AI51-AI54</f>
        <v>0</v>
      </c>
      <c r="AJ59" s="27">
        <f>AJ45-AJ50-AJ51-AJ54</f>
        <v>0</v>
      </c>
    </row>
    <row r="60" spans="6:38">
      <c r="F60" s="17">
        <f t="shared" si="12"/>
        <v>50</v>
      </c>
      <c r="G60" s="27" t="s">
        <v>118</v>
      </c>
      <c r="H60" s="27">
        <f t="shared" ref="H60:U60" si="21">H42-H53-H54-H56</f>
        <v>0</v>
      </c>
      <c r="I60" s="27">
        <f t="shared" si="21"/>
        <v>0</v>
      </c>
      <c r="J60" s="27">
        <f t="shared" si="21"/>
        <v>0</v>
      </c>
      <c r="K60" s="27">
        <f t="shared" si="21"/>
        <v>-339.04</v>
      </c>
      <c r="L60" s="27">
        <f t="shared" si="21"/>
        <v>-339.04</v>
      </c>
      <c r="M60" s="27">
        <f t="shared" si="21"/>
        <v>-339.04</v>
      </c>
      <c r="N60" s="27">
        <f t="shared" si="21"/>
        <v>-339.04</v>
      </c>
      <c r="O60" s="27">
        <f t="shared" si="21"/>
        <v>-339.04</v>
      </c>
      <c r="P60" s="27">
        <f t="shared" si="21"/>
        <v>-339.04</v>
      </c>
      <c r="Q60" s="27">
        <f t="shared" si="21"/>
        <v>-339.04</v>
      </c>
      <c r="R60" s="27">
        <f t="shared" si="21"/>
        <v>-339.04</v>
      </c>
      <c r="S60" s="27">
        <f t="shared" si="21"/>
        <v>-339.04</v>
      </c>
      <c r="T60" s="27">
        <f t="shared" si="21"/>
        <v>-339.04</v>
      </c>
      <c r="U60" s="27">
        <f t="shared" si="21"/>
        <v>-339.04</v>
      </c>
      <c r="V60" s="27">
        <f t="shared" ref="V60:AG60" si="22">V42-V53-V54-V56</f>
        <v>-339.04</v>
      </c>
      <c r="W60" s="27">
        <f t="shared" si="22"/>
        <v>-349.21120000000002</v>
      </c>
      <c r="X60" s="27">
        <f t="shared" si="22"/>
        <v>-349.21120000000002</v>
      </c>
      <c r="Y60" s="27">
        <f t="shared" si="22"/>
        <v>-349.21120000000002</v>
      </c>
      <c r="Z60" s="27">
        <f t="shared" si="22"/>
        <v>-349.21120000000002</v>
      </c>
      <c r="AA60" s="27">
        <f t="shared" si="22"/>
        <v>-349.21120000000002</v>
      </c>
      <c r="AB60" s="27">
        <f t="shared" si="22"/>
        <v>-349.21120000000002</v>
      </c>
      <c r="AC60" s="27">
        <f t="shared" si="22"/>
        <v>-349.21120000000002</v>
      </c>
      <c r="AD60" s="27">
        <f t="shared" si="22"/>
        <v>-349.21120000000002</v>
      </c>
      <c r="AE60" s="27">
        <f t="shared" si="22"/>
        <v>-349.21120000000002</v>
      </c>
      <c r="AF60" s="27">
        <f t="shared" si="22"/>
        <v>-349.21120000000002</v>
      </c>
      <c r="AG60" s="27">
        <f t="shared" si="22"/>
        <v>-349.21120000000002</v>
      </c>
      <c r="AH60" s="27">
        <f>AH42-AH53-AH54-AH56</f>
        <v>-349.21120000000002</v>
      </c>
      <c r="AI60" s="27">
        <f>AI42-AI53-AI54-AI56</f>
        <v>0</v>
      </c>
      <c r="AJ60" s="27">
        <f>AJ42-AJ53-AJ54-AJ56</f>
        <v>166048.30439999999</v>
      </c>
    </row>
    <row r="61" spans="6:38">
      <c r="F61" s="17">
        <f t="shared" si="12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6:38">
      <c r="F62" s="17">
        <f t="shared" si="12"/>
        <v>52</v>
      </c>
      <c r="G62" s="32" t="s">
        <v>119</v>
      </c>
    </row>
    <row r="63" spans="6:38">
      <c r="F63" s="17">
        <f t="shared" si="12"/>
        <v>53</v>
      </c>
      <c r="G63" s="27"/>
      <c r="H63" s="27">
        <f t="shared" ref="H63:AI63" si="23">H59+H31+H32</f>
        <v>0</v>
      </c>
      <c r="I63" s="27">
        <f t="shared" si="23"/>
        <v>-18918.82069552473</v>
      </c>
      <c r="J63" s="27">
        <f t="shared" si="23"/>
        <v>-13997.470695524729</v>
      </c>
      <c r="K63" s="27">
        <f t="shared" si="23"/>
        <v>-4555.2066955247292</v>
      </c>
      <c r="L63" s="27">
        <f t="shared" si="23"/>
        <v>-4555.2066955247292</v>
      </c>
      <c r="M63" s="27">
        <f t="shared" si="23"/>
        <v>-4555.2066955247292</v>
      </c>
      <c r="N63" s="27">
        <f t="shared" si="23"/>
        <v>-4555.2066955247292</v>
      </c>
      <c r="O63" s="27">
        <f t="shared" si="23"/>
        <v>-4555.2066955247292</v>
      </c>
      <c r="P63" s="27">
        <f t="shared" si="23"/>
        <v>-4555.2066955247292</v>
      </c>
      <c r="Q63" s="27">
        <f t="shared" si="23"/>
        <v>-4555.2066955247292</v>
      </c>
      <c r="R63" s="27">
        <f t="shared" si="23"/>
        <v>-4555.2066955247292</v>
      </c>
      <c r="S63" s="27">
        <f t="shared" si="23"/>
        <v>-4555.2066955247292</v>
      </c>
      <c r="T63" s="27">
        <f t="shared" si="23"/>
        <v>-9026.5566955247305</v>
      </c>
      <c r="U63" s="27">
        <f t="shared" si="23"/>
        <v>-4555.2066955247292</v>
      </c>
      <c r="V63" s="27">
        <f t="shared" si="23"/>
        <v>-4555.2066955247292</v>
      </c>
      <c r="W63" s="27">
        <f t="shared" si="23"/>
        <v>-4271.938775524729</v>
      </c>
      <c r="X63" s="27">
        <f t="shared" si="23"/>
        <v>-4271.938775524729</v>
      </c>
      <c r="Y63" s="27">
        <f t="shared" si="23"/>
        <v>-4271.938775524729</v>
      </c>
      <c r="Z63" s="27">
        <f t="shared" si="23"/>
        <v>-4271.938775524729</v>
      </c>
      <c r="AA63" s="27">
        <f t="shared" si="23"/>
        <v>-4271.938775524729</v>
      </c>
      <c r="AB63" s="27">
        <f t="shared" si="23"/>
        <v>-4271.938775524729</v>
      </c>
      <c r="AC63" s="27">
        <f t="shared" si="23"/>
        <v>-4271.938775524729</v>
      </c>
      <c r="AD63" s="27">
        <f t="shared" si="23"/>
        <v>-4271.938775524729</v>
      </c>
      <c r="AE63" s="27">
        <f t="shared" si="23"/>
        <v>-4271.938775524729</v>
      </c>
      <c r="AF63" s="27">
        <f t="shared" si="23"/>
        <v>-4271.938775524729</v>
      </c>
      <c r="AG63" s="27">
        <f t="shared" si="23"/>
        <v>5902.3844200000012</v>
      </c>
      <c r="AH63" s="27">
        <f t="shared" si="23"/>
        <v>9725.5319199999994</v>
      </c>
      <c r="AI63" s="27">
        <f t="shared" si="23"/>
        <v>0</v>
      </c>
      <c r="AJ63" s="27">
        <f t="shared" ref="AJ63" si="24">AJ59+AJ31+AJ32</f>
        <v>166048.30439999999</v>
      </c>
      <c r="AL63" s="28">
        <f>SUM(H63:AJ63)</f>
        <v>46906.711247406492</v>
      </c>
    </row>
    <row r="64" spans="6:38">
      <c r="F64" s="17">
        <f t="shared" si="12"/>
        <v>54</v>
      </c>
    </row>
    <row r="65" spans="6:10">
      <c r="F65" s="17">
        <f t="shared" si="12"/>
        <v>55</v>
      </c>
    </row>
    <row r="66" spans="6:10">
      <c r="F66" s="17">
        <f t="shared" si="12"/>
        <v>56</v>
      </c>
      <c r="G66" s="16" t="s">
        <v>120</v>
      </c>
      <c r="H66" s="190">
        <v>10595</v>
      </c>
    </row>
    <row r="67" spans="6:10">
      <c r="F67" s="17">
        <f t="shared" si="12"/>
        <v>57</v>
      </c>
    </row>
    <row r="68" spans="6:10">
      <c r="F68" s="17">
        <f t="shared" si="12"/>
        <v>58</v>
      </c>
      <c r="G68" s="16" t="s">
        <v>121</v>
      </c>
      <c r="H68" s="46">
        <v>0.27</v>
      </c>
    </row>
    <row r="69" spans="6:10">
      <c r="F69" s="17">
        <f t="shared" si="12"/>
        <v>59</v>
      </c>
      <c r="J69">
        <f>3540/3570</f>
        <v>0.99159663865546221</v>
      </c>
    </row>
    <row r="70" spans="6:10">
      <c r="F70" s="17">
        <f t="shared" si="12"/>
        <v>60</v>
      </c>
      <c r="G70" s="16" t="s">
        <v>122</v>
      </c>
      <c r="H70" s="46">
        <f>(1+H68)^(1/12)-1</f>
        <v>2.0117763495523189E-2</v>
      </c>
      <c r="J70">
        <v>3530</v>
      </c>
    </row>
    <row r="71" spans="6:10">
      <c r="F71" s="17">
        <f t="shared" si="12"/>
        <v>61</v>
      </c>
      <c r="J71">
        <f>3530/3570</f>
        <v>0.98879551820728295</v>
      </c>
    </row>
    <row r="72" spans="6:10">
      <c r="F72" s="17">
        <f t="shared" si="12"/>
        <v>62</v>
      </c>
      <c r="G72" s="16" t="s">
        <v>123</v>
      </c>
      <c r="H72" s="34">
        <f>NPV(H70,H63:AJ63)</f>
        <v>-6219.6110598965915</v>
      </c>
    </row>
    <row r="73" spans="6:10">
      <c r="F73" s="17">
        <f t="shared" si="12"/>
        <v>63</v>
      </c>
    </row>
    <row r="74" spans="6:10">
      <c r="F74" s="17">
        <f t="shared" si="12"/>
        <v>64</v>
      </c>
      <c r="G74" s="16" t="s">
        <v>124</v>
      </c>
      <c r="H74" s="204">
        <f>IRR(H63:AJ63,0.1)</f>
        <v>1.685303824704909E-2</v>
      </c>
    </row>
    <row r="75" spans="6:10">
      <c r="F75" s="17">
        <f t="shared" si="12"/>
        <v>65</v>
      </c>
    </row>
    <row r="76" spans="6:10">
      <c r="F76" s="17">
        <f t="shared" si="12"/>
        <v>66</v>
      </c>
      <c r="G76" s="226" t="s">
        <v>125</v>
      </c>
      <c r="H76">
        <v>36</v>
      </c>
      <c r="I76">
        <v>48</v>
      </c>
    </row>
    <row r="77" spans="6:10">
      <c r="F77" s="17">
        <f t="shared" ref="F77" si="25">F76+1</f>
        <v>67</v>
      </c>
      <c r="G77" s="43" t="s">
        <v>126</v>
      </c>
      <c r="H77">
        <v>3950</v>
      </c>
      <c r="I77">
        <v>3570</v>
      </c>
    </row>
    <row r="78" spans="6:10">
      <c r="H78" s="176">
        <v>3570</v>
      </c>
      <c r="I78" s="176">
        <f>H77-H78</f>
        <v>380</v>
      </c>
      <c r="J78" s="176">
        <f>I78*43</f>
        <v>16340</v>
      </c>
    </row>
    <row r="79" spans="6:10">
      <c r="H79" s="26">
        <f>(H78/H77)-1</f>
        <v>-9.6202531645569578E-2</v>
      </c>
      <c r="J79" s="176">
        <f>J78*12</f>
        <v>196080</v>
      </c>
    </row>
    <row r="80" spans="6:10">
      <c r="G80" s="258" t="s">
        <v>127</v>
      </c>
      <c r="H80" s="258"/>
      <c r="J80" s="176">
        <f>J79*3</f>
        <v>588240</v>
      </c>
    </row>
    <row r="81" spans="7:8">
      <c r="G81" t="s">
        <v>128</v>
      </c>
      <c r="H81" s="126">
        <f>SUM(H21:AJ21)</f>
        <v>167062.5</v>
      </c>
    </row>
    <row r="82" spans="7:8">
      <c r="G82" s="256" t="s">
        <v>129</v>
      </c>
      <c r="H82" s="257"/>
    </row>
    <row r="83" spans="7:8">
      <c r="G83" s="161" t="s">
        <v>130</v>
      </c>
      <c r="H83" s="162">
        <f>Dados!C32</f>
        <v>297000</v>
      </c>
    </row>
    <row r="84" spans="7:8">
      <c r="G84" s="161" t="s">
        <v>131</v>
      </c>
      <c r="H84" s="162">
        <f>SUM(J21:AJ21)</f>
        <v>167062.5</v>
      </c>
    </row>
    <row r="85" spans="7:8">
      <c r="G85" t="s">
        <v>132</v>
      </c>
      <c r="H85" s="126">
        <f>H83-H84</f>
        <v>129937.5</v>
      </c>
    </row>
    <row r="86" spans="7:8">
      <c r="H86" s="126"/>
    </row>
    <row r="87" spans="7:8">
      <c r="G87" s="161" t="s">
        <v>133</v>
      </c>
      <c r="H87" s="162">
        <f>Dados!C36</f>
        <v>184650.84</v>
      </c>
    </row>
    <row r="88" spans="7:8">
      <c r="H88" s="126"/>
    </row>
    <row r="89" spans="7:8" ht="29.1" customHeight="1">
      <c r="G89" t="s">
        <v>134</v>
      </c>
      <c r="H89" s="126">
        <f>H87-H85</f>
        <v>54713.34</v>
      </c>
    </row>
    <row r="90" spans="7:8" ht="31.5">
      <c r="G90" s="163" t="s">
        <v>135</v>
      </c>
      <c r="H90" s="164">
        <f>IF(H89&gt;0,H89,0)</f>
        <v>54713.34</v>
      </c>
    </row>
    <row r="91" spans="7:8">
      <c r="G91" s="254" t="s">
        <v>136</v>
      </c>
      <c r="H91" s="255"/>
    </row>
    <row r="92" spans="7:8">
      <c r="G92" s="27" t="s">
        <v>113</v>
      </c>
      <c r="H92" s="202">
        <f>$H$90*15%</f>
        <v>8207.0009999999984</v>
      </c>
    </row>
    <row r="93" spans="7:8">
      <c r="G93" s="27" t="s">
        <v>114</v>
      </c>
      <c r="H93" s="202">
        <f>H90*10%</f>
        <v>5471.3339999999998</v>
      </c>
    </row>
    <row r="94" spans="7:8">
      <c r="G94" s="27" t="s">
        <v>115</v>
      </c>
      <c r="H94" s="202">
        <f>H90*9%</f>
        <v>4924.2005999999992</v>
      </c>
    </row>
    <row r="95" spans="7:8">
      <c r="G95" s="203" t="s">
        <v>137</v>
      </c>
      <c r="H95" s="202">
        <f>SUM(H92:H94)</f>
        <v>18602.535599999999</v>
      </c>
    </row>
    <row r="96" spans="7:8">
      <c r="G96" s="203" t="s">
        <v>138</v>
      </c>
      <c r="H96" s="202">
        <f>H87-H95</f>
        <v>166048.30439999999</v>
      </c>
    </row>
  </sheetData>
  <mergeCells count="7">
    <mergeCell ref="G1:H1"/>
    <mergeCell ref="G5:H5"/>
    <mergeCell ref="J5:U5"/>
    <mergeCell ref="V5:AG5"/>
    <mergeCell ref="G91:H91"/>
    <mergeCell ref="G82:H82"/>
    <mergeCell ref="G80:H80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P24" workbookViewId="0">
      <selection activeCell="C41" sqref="C41:Z41"/>
    </sheetView>
  </sheetViews>
  <sheetFormatPr defaultColWidth="11" defaultRowHeight="15.7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>
      <c r="A1" s="228" t="s">
        <v>139</v>
      </c>
      <c r="B1" s="228"/>
      <c r="C1" s="228"/>
      <c r="D1" s="228"/>
      <c r="E1" s="228"/>
      <c r="F1" s="228"/>
    </row>
    <row r="2" spans="1:34" ht="20.100000000000001" customHeight="1">
      <c r="A2" s="228"/>
      <c r="B2" s="228"/>
      <c r="C2" s="228"/>
      <c r="D2" s="228"/>
      <c r="E2" s="228"/>
      <c r="F2" s="228"/>
    </row>
    <row r="3" spans="1:34" hidden="1">
      <c r="A3" s="229" t="s">
        <v>140</v>
      </c>
      <c r="B3" s="229"/>
      <c r="C3" s="230" t="s">
        <v>141</v>
      </c>
      <c r="D3" s="231">
        <v>12</v>
      </c>
    </row>
    <row r="4" spans="1:34" ht="30.95" hidden="1" customHeight="1">
      <c r="A4" s="229"/>
      <c r="B4" s="229"/>
      <c r="C4" s="230"/>
      <c r="D4" s="231"/>
    </row>
    <row r="5" spans="1:34" ht="30" hidden="1" customHeight="1">
      <c r="A5" s="229"/>
      <c r="B5" s="229"/>
      <c r="C5" s="123" t="s">
        <v>14</v>
      </c>
      <c r="D5" s="124">
        <v>3</v>
      </c>
    </row>
    <row r="6" spans="1:34" ht="44.1" hidden="1" customHeight="1">
      <c r="A6" s="229"/>
      <c r="B6" s="229"/>
      <c r="C6" s="125" t="s">
        <v>142</v>
      </c>
      <c r="D6" s="124">
        <f>D3+D5</f>
        <v>15</v>
      </c>
    </row>
    <row r="7" spans="1:34" ht="30" hidden="1" customHeight="1" thickBot="1"/>
    <row r="8" spans="1:34" hidden="1">
      <c r="A8" s="232" t="s">
        <v>143</v>
      </c>
      <c r="B8" s="23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>
      <c r="A9" s="7" t="s">
        <v>144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>
      <c r="A13" s="12" t="s">
        <v>145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/>
    <row r="15" spans="1:34" hidden="1">
      <c r="A15" s="234" t="s">
        <v>146</v>
      </c>
      <c r="B15" s="235"/>
      <c r="E15" s="4"/>
      <c r="I15" s="4"/>
      <c r="J15" s="4"/>
      <c r="K15" s="6"/>
      <c r="AH15" s="4"/>
    </row>
    <row r="16" spans="1:34" hidden="1">
      <c r="A16" s="71" t="s">
        <v>147</v>
      </c>
      <c r="B16" s="70">
        <v>1</v>
      </c>
      <c r="E16" s="4"/>
      <c r="I16" s="4"/>
      <c r="J16" s="4"/>
      <c r="K16" s="6"/>
      <c r="AH16" s="4"/>
    </row>
    <row r="17" spans="1:34" ht="16.5" hidden="1" thickBot="1">
      <c r="A17" s="9" t="s">
        <v>148</v>
      </c>
      <c r="B17" s="10">
        <f>B16*B9</f>
        <v>260000</v>
      </c>
      <c r="AH17" s="4"/>
    </row>
    <row r="18" spans="1:34" hidden="1"/>
    <row r="19" spans="1:34" hidden="1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>
      <c r="A21" s="12" t="s">
        <v>145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>
      <c r="A22" s="198" t="s">
        <v>149</v>
      </c>
      <c r="B22" s="131" t="s">
        <v>150</v>
      </c>
      <c r="C22" s="131" t="s">
        <v>151</v>
      </c>
      <c r="D22" s="131" t="s">
        <v>152</v>
      </c>
      <c r="E22" s="132" t="s">
        <v>153</v>
      </c>
      <c r="F22" s="132" t="s">
        <v>154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>
      <c r="A23" s="199" t="s">
        <v>155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>
      <c r="A24" s="199" t="s">
        <v>156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>
      <c r="A25" s="178"/>
      <c r="B25" s="135" t="s">
        <v>157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>
      <c r="A26" s="127" t="s">
        <v>158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A27" s="139" t="s">
        <v>159</v>
      </c>
      <c r="B27" s="140">
        <v>0</v>
      </c>
      <c r="C27" s="141" t="s">
        <v>160</v>
      </c>
      <c r="D27" s="141" t="s">
        <v>160</v>
      </c>
      <c r="E27" s="142" t="s">
        <v>160</v>
      </c>
      <c r="F27" s="142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>
      <c r="A28" s="55" t="s">
        <v>161</v>
      </c>
      <c r="B28" s="138">
        <f>Dados!C29</f>
        <v>275000</v>
      </c>
      <c r="C28" s="138"/>
      <c r="D28" s="138"/>
      <c r="E28" s="138"/>
      <c r="F28" s="138"/>
    </row>
    <row r="29" spans="1:34">
      <c r="A29" s="55" t="s">
        <v>162</v>
      </c>
      <c r="B29" s="138">
        <f>Dados!C30</f>
        <v>22000</v>
      </c>
      <c r="C29" s="138"/>
      <c r="D29" s="138"/>
      <c r="E29" s="138"/>
      <c r="F29" s="138"/>
    </row>
    <row r="30" spans="1:34" ht="15" customHeight="1">
      <c r="A30" s="229" t="str">
        <f>Dados!A29</f>
        <v>express</v>
      </c>
      <c r="B30" s="229"/>
      <c r="C30" s="237" t="s">
        <v>141</v>
      </c>
      <c r="D30" s="236">
        <f>Dados!C13</f>
        <v>24</v>
      </c>
    </row>
    <row r="31" spans="1:34" ht="32.1" customHeight="1">
      <c r="A31" s="229"/>
      <c r="B31" s="229"/>
      <c r="C31" s="237"/>
      <c r="D31" s="236"/>
    </row>
    <row r="32" spans="1:34" ht="51.95" customHeight="1">
      <c r="A32" s="229"/>
      <c r="B32" s="229"/>
      <c r="C32" s="110" t="s">
        <v>14</v>
      </c>
      <c r="D32" s="109">
        <f>Dados!C9</f>
        <v>2</v>
      </c>
    </row>
    <row r="33" spans="1:65" ht="78.75">
      <c r="A33" s="229"/>
      <c r="B33" s="229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>
      <c r="A34" s="229"/>
      <c r="B34" s="229"/>
      <c r="C34" s="108" t="s">
        <v>142</v>
      </c>
      <c r="D34" s="109">
        <f>Dados!C13+Dados!C9+Dados!C11</f>
        <v>28</v>
      </c>
    </row>
    <row r="35" spans="1:65" ht="24" customHeight="1" thickBot="1"/>
    <row r="36" spans="1:65">
      <c r="A36" s="232" t="s">
        <v>163</v>
      </c>
      <c r="B36" s="233"/>
      <c r="C36" s="5"/>
      <c r="D36" s="5">
        <f>B37/4</f>
        <v>74250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>
      <c r="A37" s="7" t="s">
        <v>144</v>
      </c>
      <c r="B37" s="8">
        <f>((B28+B29)*B23)-B58-B78</f>
        <v>297000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>
      <c r="A38" s="5" t="s">
        <v>164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>
      <c r="A39" s="5"/>
      <c r="B39" s="14">
        <f>Cashflow!H7</f>
        <v>43466</v>
      </c>
      <c r="C39" s="14">
        <f>EDATE(B39,1)</f>
        <v>43497</v>
      </c>
      <c r="D39" s="14">
        <f t="shared" ref="D39:AP39" si="3">EDATE(C39,1)</f>
        <v>43525</v>
      </c>
      <c r="E39" s="14">
        <f t="shared" si="3"/>
        <v>43556</v>
      </c>
      <c r="F39" s="14">
        <f t="shared" si="3"/>
        <v>43586</v>
      </c>
      <c r="G39" s="14">
        <f t="shared" si="3"/>
        <v>43617</v>
      </c>
      <c r="H39" s="14">
        <f t="shared" si="3"/>
        <v>43647</v>
      </c>
      <c r="I39" s="14">
        <f t="shared" si="3"/>
        <v>43678</v>
      </c>
      <c r="J39" s="14">
        <f t="shared" si="3"/>
        <v>43709</v>
      </c>
      <c r="K39" s="14">
        <f t="shared" si="3"/>
        <v>43739</v>
      </c>
      <c r="L39" s="14">
        <f t="shared" si="3"/>
        <v>43770</v>
      </c>
      <c r="M39" s="14">
        <f t="shared" si="3"/>
        <v>43800</v>
      </c>
      <c r="N39" s="14">
        <f t="shared" si="3"/>
        <v>43831</v>
      </c>
      <c r="O39" s="14">
        <f t="shared" si="3"/>
        <v>43862</v>
      </c>
      <c r="P39" s="14">
        <f t="shared" si="3"/>
        <v>43891</v>
      </c>
      <c r="Q39" s="14">
        <f t="shared" si="3"/>
        <v>43922</v>
      </c>
      <c r="R39" s="14">
        <f t="shared" si="3"/>
        <v>43952</v>
      </c>
      <c r="S39" s="14">
        <f t="shared" si="3"/>
        <v>43983</v>
      </c>
      <c r="T39" s="14">
        <f t="shared" si="3"/>
        <v>44013</v>
      </c>
      <c r="U39" s="14">
        <f t="shared" si="3"/>
        <v>44044</v>
      </c>
      <c r="V39" s="14">
        <f t="shared" si="3"/>
        <v>44075</v>
      </c>
      <c r="W39" s="14">
        <f t="shared" si="3"/>
        <v>44105</v>
      </c>
      <c r="X39" s="14">
        <f t="shared" si="3"/>
        <v>44136</v>
      </c>
      <c r="Y39" s="14">
        <f t="shared" si="3"/>
        <v>44166</v>
      </c>
      <c r="Z39" s="14">
        <f t="shared" si="3"/>
        <v>44197</v>
      </c>
      <c r="AA39" s="14">
        <f t="shared" si="3"/>
        <v>44228</v>
      </c>
      <c r="AB39" s="14">
        <f t="shared" si="3"/>
        <v>44256</v>
      </c>
      <c r="AC39" s="14">
        <f t="shared" si="3"/>
        <v>44287</v>
      </c>
      <c r="AD39" s="14">
        <f t="shared" si="3"/>
        <v>44317</v>
      </c>
      <c r="AE39" s="14">
        <f t="shared" si="3"/>
        <v>44348</v>
      </c>
      <c r="AF39" s="14">
        <f t="shared" si="3"/>
        <v>44378</v>
      </c>
      <c r="AG39" s="14">
        <f t="shared" si="3"/>
        <v>44409</v>
      </c>
      <c r="AH39" s="14">
        <f>EDATE(AG39,1)</f>
        <v>44440</v>
      </c>
      <c r="AI39" s="14">
        <f t="shared" si="3"/>
        <v>44470</v>
      </c>
      <c r="AJ39" s="14">
        <f t="shared" si="3"/>
        <v>44501</v>
      </c>
      <c r="AK39" s="14">
        <f t="shared" si="3"/>
        <v>44531</v>
      </c>
      <c r="AL39" s="14">
        <f t="shared" si="3"/>
        <v>44562</v>
      </c>
      <c r="AM39" s="14">
        <f t="shared" si="3"/>
        <v>44593</v>
      </c>
      <c r="AN39" s="14">
        <f t="shared" si="3"/>
        <v>44621</v>
      </c>
      <c r="AO39" s="14">
        <f t="shared" si="3"/>
        <v>44652</v>
      </c>
      <c r="AP39" s="14">
        <f t="shared" si="3"/>
        <v>44682</v>
      </c>
      <c r="AQ39" s="14">
        <f t="shared" ref="AQ39" si="4">EDATE(AP39,1)</f>
        <v>44713</v>
      </c>
      <c r="AR39" s="14">
        <f t="shared" ref="AR39" si="5">EDATE(AQ39,1)</f>
        <v>44743</v>
      </c>
      <c r="AS39" s="14">
        <f t="shared" ref="AS39" si="6">EDATE(AR39,1)</f>
        <v>44774</v>
      </c>
      <c r="AT39" s="14">
        <f t="shared" ref="AT39" si="7">EDATE(AS39,1)</f>
        <v>44805</v>
      </c>
      <c r="AU39" s="14">
        <f t="shared" ref="AU39" si="8">EDATE(AT39,1)</f>
        <v>44835</v>
      </c>
      <c r="AV39" s="14">
        <f t="shared" ref="AV39" si="9">EDATE(AU39,1)</f>
        <v>44866</v>
      </c>
      <c r="AW39" s="14">
        <f t="shared" ref="AW39" si="10">EDATE(AV39,1)</f>
        <v>44896</v>
      </c>
      <c r="AX39" s="14">
        <f t="shared" ref="AX39" si="11">EDATE(AW39,1)</f>
        <v>44927</v>
      </c>
      <c r="AY39" s="14">
        <f t="shared" ref="AY39" si="12">EDATE(AX39,1)</f>
        <v>44958</v>
      </c>
      <c r="AZ39" s="14">
        <f t="shared" ref="AZ39" si="13">EDATE(AY39,1)</f>
        <v>44986</v>
      </c>
      <c r="BA39" s="14">
        <f t="shared" ref="BA39" si="14">EDATE(AZ39,1)</f>
        <v>45017</v>
      </c>
      <c r="BB39" s="212">
        <f t="shared" ref="BB39" si="15">EDATE(BA39,1)</f>
        <v>45047</v>
      </c>
      <c r="BC39" s="14">
        <f t="shared" ref="BC39" si="16">EDATE(BB39,1)</f>
        <v>45078</v>
      </c>
      <c r="BD39" s="14">
        <f t="shared" ref="BD39" si="17">EDATE(BC39,1)</f>
        <v>45108</v>
      </c>
      <c r="BE39" s="14">
        <f t="shared" ref="BE39" si="18">EDATE(BD39,1)</f>
        <v>45139</v>
      </c>
      <c r="BF39" s="14">
        <f t="shared" ref="BF39" si="19">EDATE(BE39,1)</f>
        <v>45170</v>
      </c>
      <c r="BG39" s="14">
        <f t="shared" ref="BG39" si="20">EDATE(BF39,1)</f>
        <v>45200</v>
      </c>
      <c r="BH39" s="14">
        <f t="shared" ref="BH39" si="21">EDATE(BG39,1)</f>
        <v>45231</v>
      </c>
      <c r="BI39" s="14">
        <f t="shared" ref="BI39" si="22">EDATE(BH39,1)</f>
        <v>45261</v>
      </c>
      <c r="BJ39" s="14">
        <f t="shared" ref="BJ39" si="23">EDATE(BI39,1)</f>
        <v>45292</v>
      </c>
      <c r="BK39" s="14">
        <f t="shared" ref="BK39" si="24">EDATE(BJ39,1)</f>
        <v>45323</v>
      </c>
    </row>
    <row r="40" spans="1:6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>
      <c r="A41" s="12" t="s">
        <v>145</v>
      </c>
      <c r="B41" s="218"/>
      <c r="C41" s="227">
        <f>-PMT($B$38,24,$B$37,,)</f>
        <v>13997.470695524729</v>
      </c>
      <c r="D41" s="227">
        <f t="shared" ref="D41:Z41" si="47">-PMT($B$38,24,$B$37,,)</f>
        <v>13997.470695524729</v>
      </c>
      <c r="E41" s="227">
        <f t="shared" si="47"/>
        <v>13997.470695524729</v>
      </c>
      <c r="F41" s="227">
        <f t="shared" si="47"/>
        <v>13997.470695524729</v>
      </c>
      <c r="G41" s="227">
        <f t="shared" si="47"/>
        <v>13997.470695524729</v>
      </c>
      <c r="H41" s="227">
        <f t="shared" si="47"/>
        <v>13997.470695524729</v>
      </c>
      <c r="I41" s="227">
        <f t="shared" si="47"/>
        <v>13997.470695524729</v>
      </c>
      <c r="J41" s="227">
        <f t="shared" si="47"/>
        <v>13997.470695524729</v>
      </c>
      <c r="K41" s="227">
        <f t="shared" si="47"/>
        <v>13997.470695524729</v>
      </c>
      <c r="L41" s="227">
        <f t="shared" si="47"/>
        <v>13997.470695524729</v>
      </c>
      <c r="M41" s="227">
        <f t="shared" si="47"/>
        <v>13997.470695524729</v>
      </c>
      <c r="N41" s="227">
        <f t="shared" si="47"/>
        <v>13997.470695524729</v>
      </c>
      <c r="O41" s="227">
        <f t="shared" si="47"/>
        <v>13997.470695524729</v>
      </c>
      <c r="P41" s="227">
        <f t="shared" si="47"/>
        <v>13997.470695524729</v>
      </c>
      <c r="Q41" s="227">
        <f t="shared" si="47"/>
        <v>13997.470695524729</v>
      </c>
      <c r="R41" s="227">
        <f t="shared" si="47"/>
        <v>13997.470695524729</v>
      </c>
      <c r="S41" s="227">
        <f t="shared" si="47"/>
        <v>13997.470695524729</v>
      </c>
      <c r="T41" s="227">
        <f t="shared" si="47"/>
        <v>13997.470695524729</v>
      </c>
      <c r="U41" s="227">
        <f t="shared" si="47"/>
        <v>13997.470695524729</v>
      </c>
      <c r="V41" s="227">
        <f t="shared" si="47"/>
        <v>13997.470695524729</v>
      </c>
      <c r="W41" s="227">
        <f t="shared" si="47"/>
        <v>13997.470695524729</v>
      </c>
      <c r="X41" s="227">
        <f t="shared" si="47"/>
        <v>13997.470695524729</v>
      </c>
      <c r="Y41" s="227">
        <f t="shared" si="47"/>
        <v>13997.470695524729</v>
      </c>
      <c r="Z41" s="227">
        <f t="shared" si="47"/>
        <v>13997.470695524729</v>
      </c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</row>
    <row r="42" spans="1:65" ht="16.5" thickBot="1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>
      <c r="A43" s="232" t="s">
        <v>149</v>
      </c>
      <c r="B43" s="23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>
      <c r="A44" s="7" t="s">
        <v>144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>
      <c r="A46" s="5"/>
      <c r="B46" s="14">
        <f>Cashflow!H7</f>
        <v>43466</v>
      </c>
      <c r="C46" s="14">
        <f>EDATE(B46,1)</f>
        <v>43497</v>
      </c>
      <c r="D46" s="14">
        <f t="shared" ref="D46" si="48">EDATE(C46,1)</f>
        <v>43525</v>
      </c>
      <c r="E46" s="14">
        <f t="shared" ref="E46" si="49">EDATE(D46,1)</f>
        <v>43556</v>
      </c>
      <c r="F46" s="14">
        <f t="shared" ref="F46" si="50">EDATE(E46,1)</f>
        <v>43586</v>
      </c>
      <c r="G46" s="14">
        <f t="shared" ref="G46" si="51">EDATE(F46,1)</f>
        <v>43617</v>
      </c>
      <c r="H46" s="14">
        <f t="shared" ref="H46" si="52">EDATE(G46,1)</f>
        <v>43647</v>
      </c>
      <c r="I46" s="14">
        <f t="shared" ref="I46" si="53">EDATE(H46,1)</f>
        <v>43678</v>
      </c>
      <c r="J46" s="14">
        <f t="shared" ref="J46" si="54">EDATE(I46,1)</f>
        <v>43709</v>
      </c>
      <c r="K46" s="14">
        <f t="shared" ref="K46" si="55">EDATE(J46,1)</f>
        <v>43739</v>
      </c>
      <c r="L46" s="14">
        <f t="shared" ref="L46" si="56">EDATE(K46,1)</f>
        <v>43770</v>
      </c>
      <c r="M46" s="14">
        <f t="shared" ref="M46" si="57">EDATE(L46,1)</f>
        <v>43800</v>
      </c>
      <c r="N46" s="14">
        <f t="shared" ref="N46" si="58">EDATE(M46,1)</f>
        <v>43831</v>
      </c>
      <c r="O46" s="14">
        <f t="shared" ref="O46" si="59">EDATE(N46,1)</f>
        <v>43862</v>
      </c>
      <c r="P46" s="14">
        <f t="shared" ref="P46" si="60">EDATE(O46,1)</f>
        <v>43891</v>
      </c>
      <c r="Q46" s="14">
        <f t="shared" ref="Q46" si="61">EDATE(P46,1)</f>
        <v>43922</v>
      </c>
      <c r="R46" s="14">
        <f t="shared" ref="R46" si="62">EDATE(Q46,1)</f>
        <v>43952</v>
      </c>
      <c r="S46" s="14">
        <f t="shared" ref="S46" si="63">EDATE(R46,1)</f>
        <v>43983</v>
      </c>
      <c r="T46" s="14">
        <f t="shared" ref="T46" si="64">EDATE(S46,1)</f>
        <v>44013</v>
      </c>
      <c r="U46" s="14">
        <f t="shared" ref="U46" si="65">EDATE(T46,1)</f>
        <v>44044</v>
      </c>
      <c r="V46" s="14">
        <f t="shared" ref="V46" si="66">EDATE(U46,1)</f>
        <v>44075</v>
      </c>
      <c r="W46" s="14">
        <f t="shared" ref="W46" si="67">EDATE(V46,1)</f>
        <v>44105</v>
      </c>
      <c r="X46" s="14">
        <f t="shared" ref="X46" si="68">EDATE(W46,1)</f>
        <v>44136</v>
      </c>
      <c r="Y46" s="14">
        <f t="shared" ref="Y46" si="69">EDATE(X46,1)</f>
        <v>44166</v>
      </c>
      <c r="Z46" s="14">
        <f t="shared" ref="Z46" si="70">EDATE(Y46,1)</f>
        <v>44197</v>
      </c>
      <c r="AA46" s="14">
        <f t="shared" ref="AA46" si="71">EDATE(Z46,1)</f>
        <v>44228</v>
      </c>
      <c r="AB46" s="14">
        <f t="shared" ref="AB46" si="72">EDATE(AA46,1)</f>
        <v>44256</v>
      </c>
      <c r="AC46" s="14">
        <f t="shared" ref="AC46" si="73">EDATE(AB46,1)</f>
        <v>44287</v>
      </c>
      <c r="AD46" s="14">
        <f t="shared" ref="AD46" si="74">EDATE(AC46,1)</f>
        <v>44317</v>
      </c>
      <c r="AE46" s="14">
        <f t="shared" ref="AE46" si="75">EDATE(AD46,1)</f>
        <v>44348</v>
      </c>
      <c r="AF46" s="14">
        <f t="shared" ref="AF46" si="76">EDATE(AE46,1)</f>
        <v>44378</v>
      </c>
      <c r="AG46" s="14">
        <f t="shared" ref="AG46" si="77">EDATE(AF46,1)</f>
        <v>44409</v>
      </c>
      <c r="AH46" s="14">
        <f>EDATE(AG46,1)</f>
        <v>44440</v>
      </c>
      <c r="AI46" s="14">
        <f t="shared" ref="AI46" si="78">EDATE(AH46,1)</f>
        <v>44470</v>
      </c>
      <c r="AJ46" s="14">
        <f t="shared" ref="AJ46" si="79">EDATE(AI46,1)</f>
        <v>44501</v>
      </c>
      <c r="AK46" s="14">
        <f t="shared" ref="AK46" si="80">EDATE(AJ46,1)</f>
        <v>44531</v>
      </c>
      <c r="AL46" s="14">
        <f t="shared" ref="AL46" si="81">EDATE(AK46,1)</f>
        <v>44562</v>
      </c>
      <c r="AM46" s="14">
        <f t="shared" ref="AM46" si="82">EDATE(AL46,1)</f>
        <v>44593</v>
      </c>
      <c r="AN46" s="14">
        <f t="shared" ref="AN46" si="83">EDATE(AM46,1)</f>
        <v>44621</v>
      </c>
      <c r="AO46" s="14">
        <f t="shared" ref="AO46" si="84">EDATE(AN46,1)</f>
        <v>44652</v>
      </c>
      <c r="AP46" s="14">
        <f t="shared" ref="AP46" si="85">EDATE(AO46,1)</f>
        <v>44682</v>
      </c>
      <c r="AQ46" s="14">
        <f t="shared" ref="AQ46" si="86">EDATE(AP46,1)</f>
        <v>44713</v>
      </c>
      <c r="AR46" s="14">
        <f t="shared" ref="AR46" si="87">EDATE(AQ46,1)</f>
        <v>44743</v>
      </c>
      <c r="AS46" s="14">
        <f t="shared" ref="AS46" si="88">EDATE(AR46,1)</f>
        <v>44774</v>
      </c>
      <c r="AT46" s="14">
        <f t="shared" ref="AT46" si="89">EDATE(AS46,1)</f>
        <v>44805</v>
      </c>
      <c r="AU46" s="14">
        <f t="shared" ref="AU46" si="90">EDATE(AT46,1)</f>
        <v>44835</v>
      </c>
      <c r="AV46" s="14">
        <f t="shared" ref="AV46" si="91">EDATE(AU46,1)</f>
        <v>44866</v>
      </c>
      <c r="AW46" s="14">
        <f t="shared" ref="AW46" si="92">EDATE(AV46,1)</f>
        <v>44896</v>
      </c>
      <c r="AX46" s="14">
        <f t="shared" ref="AX46" si="93">EDATE(AW46,1)</f>
        <v>44927</v>
      </c>
      <c r="AY46" s="14">
        <f t="shared" ref="AY46" si="94">EDATE(AX46,1)</f>
        <v>44958</v>
      </c>
      <c r="AZ46" s="14">
        <f t="shared" ref="AZ46" si="95">EDATE(AY46,1)</f>
        <v>44986</v>
      </c>
      <c r="BA46" s="14">
        <f t="shared" ref="BA46" si="96">EDATE(AZ46,1)</f>
        <v>45017</v>
      </c>
      <c r="BB46" s="14">
        <f t="shared" ref="BB46" si="97">EDATE(BA46,1)</f>
        <v>45047</v>
      </c>
      <c r="BC46" s="14">
        <f t="shared" ref="BC46" si="98">EDATE(BB46,1)</f>
        <v>45078</v>
      </c>
      <c r="BD46" s="14">
        <f t="shared" ref="BD46" si="99">EDATE(BC46,1)</f>
        <v>45108</v>
      </c>
      <c r="BE46" s="14">
        <f t="shared" ref="BE46" si="100">EDATE(BD46,1)</f>
        <v>45139</v>
      </c>
      <c r="BF46" s="14">
        <f t="shared" ref="BF46" si="101">EDATE(BE46,1)</f>
        <v>45170</v>
      </c>
      <c r="BG46" s="14">
        <f t="shared" ref="BG46" si="102">EDATE(BF46,1)</f>
        <v>45200</v>
      </c>
      <c r="BH46" s="14">
        <f t="shared" ref="BH46" si="103">EDATE(BG46,1)</f>
        <v>45231</v>
      </c>
      <c r="BI46" s="14">
        <f t="shared" ref="BI46" si="104">EDATE(BH46,1)</f>
        <v>45261</v>
      </c>
      <c r="BJ46" s="14">
        <f t="shared" ref="BJ46" si="105">EDATE(BI46,1)</f>
        <v>45292</v>
      </c>
      <c r="BK46" s="14">
        <f t="shared" ref="BK46" si="106">EDATE(BJ46,1)</f>
        <v>45323</v>
      </c>
      <c r="BL46" s="14">
        <f t="shared" ref="BL46" si="107">EDATE(BK46,1)</f>
        <v>45352</v>
      </c>
      <c r="BM46" s="14">
        <f t="shared" ref="BM46" si="108">EDATE(BL46,1)</f>
        <v>45383</v>
      </c>
    </row>
    <row r="47" spans="1:6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>
      <c r="A48" s="12" t="s">
        <v>145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>
      <c r="A50" s="232" t="s">
        <v>158</v>
      </c>
      <c r="B50" s="233"/>
      <c r="C50" s="144" t="s">
        <v>165</v>
      </c>
      <c r="D50" s="145" t="s">
        <v>166</v>
      </c>
      <c r="E50" s="82" t="s">
        <v>167</v>
      </c>
      <c r="F50" s="146" t="s">
        <v>168</v>
      </c>
      <c r="G50" s="147" t="s">
        <v>169</v>
      </c>
      <c r="H50" s="147" t="s">
        <v>170</v>
      </c>
      <c r="I50" s="147" t="s">
        <v>171</v>
      </c>
      <c r="J50" s="147" t="s">
        <v>172</v>
      </c>
      <c r="K50" s="147" t="s">
        <v>173</v>
      </c>
      <c r="L50" s="148" t="s">
        <v>174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>
      <c r="A51" s="7" t="s">
        <v>144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>
      <c r="A53" s="5"/>
      <c r="B53" s="14">
        <f>Cashflow!H7</f>
        <v>43466</v>
      </c>
      <c r="C53" s="14">
        <f>EDATE(B53,1)</f>
        <v>43497</v>
      </c>
      <c r="D53" s="14">
        <f t="shared" ref="D53:AP53" si="170">EDATE(C53,1)</f>
        <v>43525</v>
      </c>
      <c r="E53" s="14">
        <f t="shared" si="170"/>
        <v>43556</v>
      </c>
      <c r="F53" s="14">
        <f t="shared" si="170"/>
        <v>43586</v>
      </c>
      <c r="G53" s="14">
        <f t="shared" si="170"/>
        <v>43617</v>
      </c>
      <c r="H53" s="14">
        <f t="shared" si="170"/>
        <v>43647</v>
      </c>
      <c r="I53" s="14">
        <f t="shared" si="170"/>
        <v>43678</v>
      </c>
      <c r="J53" s="14">
        <f t="shared" si="170"/>
        <v>43709</v>
      </c>
      <c r="K53" s="14">
        <f t="shared" si="170"/>
        <v>43739</v>
      </c>
      <c r="L53" s="14">
        <f t="shared" si="170"/>
        <v>43770</v>
      </c>
      <c r="M53" s="14">
        <f t="shared" si="170"/>
        <v>43800</v>
      </c>
      <c r="N53" s="14">
        <f t="shared" si="170"/>
        <v>43831</v>
      </c>
      <c r="O53" s="14">
        <f t="shared" si="170"/>
        <v>43862</v>
      </c>
      <c r="P53" s="14">
        <f t="shared" si="170"/>
        <v>43891</v>
      </c>
      <c r="Q53" s="14">
        <f t="shared" si="170"/>
        <v>43922</v>
      </c>
      <c r="R53" s="14">
        <f t="shared" si="170"/>
        <v>43952</v>
      </c>
      <c r="S53" s="14">
        <f t="shared" si="170"/>
        <v>43983</v>
      </c>
      <c r="T53" s="14">
        <f t="shared" si="170"/>
        <v>44013</v>
      </c>
      <c r="U53" s="14">
        <f t="shared" si="170"/>
        <v>44044</v>
      </c>
      <c r="V53" s="14">
        <f t="shared" si="170"/>
        <v>44075</v>
      </c>
      <c r="W53" s="14">
        <f t="shared" si="170"/>
        <v>44105</v>
      </c>
      <c r="X53" s="14">
        <f t="shared" si="170"/>
        <v>44136</v>
      </c>
      <c r="Y53" s="14">
        <f t="shared" si="170"/>
        <v>44166</v>
      </c>
      <c r="Z53" s="14">
        <f t="shared" si="170"/>
        <v>44197</v>
      </c>
      <c r="AA53" s="14">
        <f t="shared" si="170"/>
        <v>44228</v>
      </c>
      <c r="AB53" s="14">
        <f t="shared" si="170"/>
        <v>44256</v>
      </c>
      <c r="AC53" s="14">
        <f t="shared" si="170"/>
        <v>44287</v>
      </c>
      <c r="AD53" s="14">
        <f t="shared" si="170"/>
        <v>44317</v>
      </c>
      <c r="AE53" s="14">
        <f t="shared" si="170"/>
        <v>44348</v>
      </c>
      <c r="AF53" s="14">
        <f t="shared" si="170"/>
        <v>44378</v>
      </c>
      <c r="AG53" s="14">
        <f t="shared" si="170"/>
        <v>44409</v>
      </c>
      <c r="AH53" s="14">
        <f>EDATE(AG53,1)</f>
        <v>44440</v>
      </c>
      <c r="AI53" s="14">
        <f t="shared" si="170"/>
        <v>44470</v>
      </c>
      <c r="AJ53" s="14">
        <f t="shared" si="170"/>
        <v>44501</v>
      </c>
      <c r="AK53" s="14">
        <f t="shared" si="170"/>
        <v>44531</v>
      </c>
      <c r="AL53" s="14">
        <f t="shared" si="170"/>
        <v>44562</v>
      </c>
      <c r="AM53" s="14">
        <f t="shared" si="170"/>
        <v>44593</v>
      </c>
      <c r="AN53" s="14">
        <f t="shared" si="170"/>
        <v>44621</v>
      </c>
      <c r="AO53" s="14">
        <f t="shared" si="170"/>
        <v>44652</v>
      </c>
      <c r="AP53" s="14">
        <f t="shared" si="170"/>
        <v>44682</v>
      </c>
      <c r="AQ53" s="14">
        <f t="shared" ref="AQ53" si="171">EDATE(AP53,1)</f>
        <v>44713</v>
      </c>
      <c r="AR53" s="14">
        <f t="shared" ref="AR53" si="172">EDATE(AQ53,1)</f>
        <v>44743</v>
      </c>
      <c r="AS53" s="14">
        <f t="shared" ref="AS53" si="173">EDATE(AR53,1)</f>
        <v>44774</v>
      </c>
      <c r="AT53" s="14">
        <f t="shared" ref="AT53" si="174">EDATE(AS53,1)</f>
        <v>44805</v>
      </c>
      <c r="AU53" s="14">
        <f t="shared" ref="AU53" si="175">EDATE(AT53,1)</f>
        <v>44835</v>
      </c>
      <c r="AV53" s="14">
        <f t="shared" ref="AV53" si="176">EDATE(AU53,1)</f>
        <v>44866</v>
      </c>
      <c r="AW53" s="14">
        <f t="shared" ref="AW53" si="177">EDATE(AV53,1)</f>
        <v>44896</v>
      </c>
      <c r="AX53" s="14">
        <f t="shared" ref="AX53" si="178">EDATE(AW53,1)</f>
        <v>44927</v>
      </c>
      <c r="AY53" s="14">
        <f t="shared" ref="AY53" si="179">EDATE(AX53,1)</f>
        <v>44958</v>
      </c>
      <c r="AZ53" s="14">
        <f t="shared" ref="AZ53" si="180">EDATE(AY53,1)</f>
        <v>44986</v>
      </c>
      <c r="BA53" s="14">
        <f t="shared" ref="BA53" si="181">EDATE(AZ53,1)</f>
        <v>45017</v>
      </c>
      <c r="BB53" s="14">
        <f t="shared" ref="BB53" si="182">EDATE(BA53,1)</f>
        <v>45047</v>
      </c>
      <c r="BC53" s="14">
        <f t="shared" ref="BC53" si="183">EDATE(BB53,1)</f>
        <v>45078</v>
      </c>
      <c r="BD53" s="14">
        <f t="shared" ref="BD53" si="184">EDATE(BC53,1)</f>
        <v>45108</v>
      </c>
      <c r="BE53" s="14">
        <f t="shared" ref="BE53" si="185">EDATE(BD53,1)</f>
        <v>45139</v>
      </c>
      <c r="BF53" s="14">
        <f t="shared" ref="BF53" si="186">EDATE(BE53,1)</f>
        <v>45170</v>
      </c>
      <c r="BG53" s="14">
        <f t="shared" ref="BG53" si="187">EDATE(BF53,1)</f>
        <v>45200</v>
      </c>
      <c r="BH53" s="14">
        <f t="shared" ref="BH53" si="188">EDATE(BG53,1)</f>
        <v>45231</v>
      </c>
      <c r="BI53" s="14">
        <f t="shared" ref="BI53" si="189">EDATE(BH53,1)</f>
        <v>45261</v>
      </c>
      <c r="BJ53" s="14">
        <f t="shared" ref="BJ53" si="190">EDATE(BI53,1)</f>
        <v>45292</v>
      </c>
      <c r="BK53" s="14">
        <f t="shared" ref="BK53" si="191">EDATE(BJ53,1)</f>
        <v>45323</v>
      </c>
      <c r="BL53" s="14">
        <f t="shared" ref="BL53" si="192">EDATE(BK53,1)</f>
        <v>45352</v>
      </c>
      <c r="BM53" s="14">
        <f t="shared" ref="BM53" si="193">EDATE(BL53,1)</f>
        <v>45383</v>
      </c>
    </row>
    <row r="54" spans="1:7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>
      <c r="A55" s="12" t="s">
        <v>145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>
      <c r="A57" s="232" t="s">
        <v>175</v>
      </c>
      <c r="B57" s="23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>
      <c r="A58" s="7" t="s">
        <v>176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>
      <c r="A62" s="12" t="s">
        <v>145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>
      <c r="A64" s="234" t="s">
        <v>177</v>
      </c>
      <c r="B64" s="235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>
      <c r="A65" s="9" t="s">
        <v>148</v>
      </c>
      <c r="B65" s="10">
        <f>B51+B37</f>
        <v>297000</v>
      </c>
    </row>
    <row r="66" spans="1:65" hidden="1"/>
    <row r="67" spans="1:65" hidden="1">
      <c r="B67" s="14">
        <f>B39</f>
        <v>43466</v>
      </c>
      <c r="C67" s="14">
        <f>EDATE(B67,1)</f>
        <v>43497</v>
      </c>
      <c r="D67" s="14">
        <f t="shared" ref="D67:AC67" si="268">EDATE(C67,1)</f>
        <v>43525</v>
      </c>
      <c r="E67" s="14">
        <f t="shared" si="268"/>
        <v>43556</v>
      </c>
      <c r="F67" s="14">
        <f t="shared" si="268"/>
        <v>43586</v>
      </c>
      <c r="G67" s="14">
        <f t="shared" si="268"/>
        <v>43617</v>
      </c>
      <c r="H67" s="14">
        <f t="shared" si="268"/>
        <v>43647</v>
      </c>
      <c r="I67" s="14">
        <f t="shared" si="268"/>
        <v>43678</v>
      </c>
      <c r="J67" s="14">
        <f t="shared" si="268"/>
        <v>43709</v>
      </c>
      <c r="K67" s="14">
        <f t="shared" si="268"/>
        <v>43739</v>
      </c>
      <c r="L67" s="14">
        <f t="shared" si="268"/>
        <v>43770</v>
      </c>
      <c r="M67" s="14">
        <f t="shared" si="268"/>
        <v>43800</v>
      </c>
      <c r="N67" s="14">
        <f t="shared" si="268"/>
        <v>43831</v>
      </c>
      <c r="O67" s="14">
        <f t="shared" si="268"/>
        <v>43862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43891</v>
      </c>
      <c r="Y67" s="14">
        <f t="shared" si="268"/>
        <v>43922</v>
      </c>
      <c r="Z67" s="14">
        <f t="shared" si="268"/>
        <v>43952</v>
      </c>
      <c r="AA67" s="14">
        <f t="shared" si="268"/>
        <v>43983</v>
      </c>
      <c r="AB67" s="14">
        <f t="shared" si="268"/>
        <v>44013</v>
      </c>
      <c r="AC67" s="72">
        <f t="shared" si="268"/>
        <v>44044</v>
      </c>
      <c r="AD67" s="72">
        <f>EDATE(AC67,1)</f>
        <v>44075</v>
      </c>
    </row>
    <row r="68" spans="1:65" hidden="1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>
      <c r="A69" s="12" t="s">
        <v>145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>
      <c r="AE70" s="5"/>
      <c r="AF70" s="5"/>
      <c r="AG70" s="5"/>
      <c r="AH70" s="5"/>
    </row>
    <row r="71" spans="1:65" hidden="1">
      <c r="A71" s="229" t="s">
        <v>140</v>
      </c>
      <c r="B71" s="229"/>
      <c r="C71" s="238" t="s">
        <v>141</v>
      </c>
      <c r="D71" s="239">
        <v>24</v>
      </c>
      <c r="AE71" s="5"/>
      <c r="AF71" s="5"/>
      <c r="AG71" s="5"/>
      <c r="AH71" s="5"/>
    </row>
    <row r="72" spans="1:65" hidden="1">
      <c r="A72" s="229"/>
      <c r="B72" s="229"/>
      <c r="C72" s="238"/>
      <c r="D72" s="239"/>
      <c r="AE72" s="5"/>
      <c r="AF72" s="5"/>
      <c r="AG72" s="5"/>
      <c r="AH72" s="5"/>
    </row>
    <row r="73" spans="1:65" ht="47.25" hidden="1">
      <c r="A73" s="229"/>
      <c r="B73" s="229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>
      <c r="A74" s="229"/>
      <c r="B74" s="229"/>
      <c r="C74" s="108" t="s">
        <v>142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>
      <c r="A76" s="232" t="s">
        <v>143</v>
      </c>
      <c r="B76" s="23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>
      <c r="A77" s="7" t="s">
        <v>144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>
      <c r="A78" s="180" t="s">
        <v>178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>
      <c r="A79" s="5"/>
      <c r="B79" s="80">
        <f>Cashflow!H7</f>
        <v>43466</v>
      </c>
      <c r="C79" s="80">
        <f t="shared" ref="C79:AP79" si="270">EDATE(B79,1)</f>
        <v>43497</v>
      </c>
      <c r="D79" s="80">
        <f t="shared" si="270"/>
        <v>43525</v>
      </c>
      <c r="E79" s="80">
        <f t="shared" si="270"/>
        <v>43556</v>
      </c>
      <c r="F79" s="80">
        <f t="shared" si="270"/>
        <v>43586</v>
      </c>
      <c r="G79" s="80">
        <f t="shared" si="270"/>
        <v>43617</v>
      </c>
      <c r="H79" s="80">
        <f t="shared" si="270"/>
        <v>43647</v>
      </c>
      <c r="I79" s="80">
        <f t="shared" si="270"/>
        <v>43678</v>
      </c>
      <c r="J79" s="80">
        <f t="shared" si="270"/>
        <v>43709</v>
      </c>
      <c r="K79" s="80">
        <f t="shared" si="270"/>
        <v>43739</v>
      </c>
      <c r="L79" s="80">
        <f t="shared" si="270"/>
        <v>43770</v>
      </c>
      <c r="M79" s="80">
        <f t="shared" si="270"/>
        <v>43800</v>
      </c>
      <c r="N79" s="80">
        <f t="shared" si="270"/>
        <v>43831</v>
      </c>
      <c r="O79" s="80">
        <f t="shared" si="270"/>
        <v>43862</v>
      </c>
      <c r="P79" s="80">
        <f t="shared" si="270"/>
        <v>43891</v>
      </c>
      <c r="Q79" s="80">
        <f t="shared" si="270"/>
        <v>43922</v>
      </c>
      <c r="R79" s="80">
        <f t="shared" si="270"/>
        <v>43952</v>
      </c>
      <c r="S79" s="80">
        <f t="shared" si="270"/>
        <v>43983</v>
      </c>
      <c r="T79" s="80">
        <f t="shared" si="270"/>
        <v>44013</v>
      </c>
      <c r="U79" s="80">
        <f t="shared" si="270"/>
        <v>44044</v>
      </c>
      <c r="V79" s="80">
        <f t="shared" si="270"/>
        <v>44075</v>
      </c>
      <c r="W79" s="80">
        <f t="shared" si="270"/>
        <v>44105</v>
      </c>
      <c r="X79" s="80">
        <f t="shared" si="270"/>
        <v>44136</v>
      </c>
      <c r="Y79" s="80">
        <f t="shared" si="270"/>
        <v>44166</v>
      </c>
      <c r="Z79" s="80">
        <f t="shared" si="270"/>
        <v>44197</v>
      </c>
      <c r="AA79" s="80">
        <f t="shared" si="270"/>
        <v>44228</v>
      </c>
      <c r="AB79" s="80">
        <f t="shared" si="270"/>
        <v>44256</v>
      </c>
      <c r="AC79" s="80">
        <f t="shared" si="270"/>
        <v>44287</v>
      </c>
      <c r="AD79" s="80">
        <f t="shared" si="270"/>
        <v>44317</v>
      </c>
      <c r="AE79" s="80">
        <f t="shared" si="270"/>
        <v>44348</v>
      </c>
      <c r="AF79" s="80">
        <f t="shared" si="270"/>
        <v>44378</v>
      </c>
      <c r="AG79" s="80">
        <f t="shared" si="270"/>
        <v>44409</v>
      </c>
      <c r="AH79" s="80">
        <f t="shared" si="270"/>
        <v>44440</v>
      </c>
      <c r="AI79" s="80">
        <f t="shared" si="270"/>
        <v>44470</v>
      </c>
      <c r="AJ79" s="80">
        <f t="shared" si="270"/>
        <v>44501</v>
      </c>
      <c r="AK79" s="80">
        <f t="shared" si="270"/>
        <v>44531</v>
      </c>
      <c r="AL79" s="80">
        <f t="shared" si="270"/>
        <v>44562</v>
      </c>
      <c r="AM79" s="80">
        <f t="shared" si="270"/>
        <v>44593</v>
      </c>
      <c r="AN79" s="80">
        <f t="shared" si="270"/>
        <v>44621</v>
      </c>
      <c r="AO79" s="80">
        <f t="shared" si="270"/>
        <v>44652</v>
      </c>
      <c r="AP79" s="80">
        <f t="shared" si="270"/>
        <v>44682</v>
      </c>
      <c r="AQ79" s="80">
        <f t="shared" ref="AQ79" si="271">EDATE(AP79,1)</f>
        <v>44713</v>
      </c>
      <c r="AR79" s="80">
        <f t="shared" ref="AR79" si="272">EDATE(AQ79,1)</f>
        <v>44743</v>
      </c>
      <c r="AS79" s="80">
        <f t="shared" ref="AS79" si="273">EDATE(AR79,1)</f>
        <v>44774</v>
      </c>
      <c r="AT79" s="80">
        <f t="shared" ref="AT79" si="274">EDATE(AS79,1)</f>
        <v>44805</v>
      </c>
      <c r="AU79" s="80">
        <f t="shared" ref="AU79" si="275">EDATE(AT79,1)</f>
        <v>44835</v>
      </c>
      <c r="AV79" s="80">
        <f t="shared" ref="AV79" si="276">EDATE(AU79,1)</f>
        <v>44866</v>
      </c>
      <c r="AW79" s="80">
        <f t="shared" ref="AW79" si="277">EDATE(AV79,1)</f>
        <v>44896</v>
      </c>
      <c r="AX79" s="80">
        <f t="shared" ref="AX79" si="278">EDATE(AW79,1)</f>
        <v>44927</v>
      </c>
      <c r="AY79" s="80">
        <f t="shared" ref="AY79" si="279">EDATE(AX79,1)</f>
        <v>44958</v>
      </c>
      <c r="AZ79" s="80">
        <f t="shared" ref="AZ79" si="280">EDATE(AY79,1)</f>
        <v>44986</v>
      </c>
      <c r="BA79" s="80">
        <f t="shared" ref="BA79" si="281">EDATE(AZ79,1)</f>
        <v>45017</v>
      </c>
      <c r="BB79" s="80">
        <f t="shared" ref="BB79" si="282">EDATE(BA79,1)</f>
        <v>45047</v>
      </c>
      <c r="BC79" s="80">
        <f t="shared" ref="BC79" si="283">EDATE(BB79,1)</f>
        <v>45078</v>
      </c>
      <c r="BD79" s="80">
        <f t="shared" ref="BD79" si="284">EDATE(BC79,1)</f>
        <v>45108</v>
      </c>
      <c r="BE79" s="80">
        <f t="shared" ref="BE79" si="285">EDATE(BD79,1)</f>
        <v>45139</v>
      </c>
      <c r="BF79" s="80">
        <f t="shared" ref="BF79" si="286">EDATE(BE79,1)</f>
        <v>45170</v>
      </c>
      <c r="BG79" s="80">
        <f t="shared" ref="BG79" si="287">EDATE(BF79,1)</f>
        <v>45200</v>
      </c>
      <c r="BH79" s="80">
        <f t="shared" ref="BH79" si="288">EDATE(BG79,1)</f>
        <v>45231</v>
      </c>
      <c r="BI79" s="80">
        <f t="shared" ref="BI79" si="289">EDATE(BH79,1)</f>
        <v>45261</v>
      </c>
      <c r="BJ79" s="80">
        <f t="shared" ref="BJ79" si="290">EDATE(BI79,1)</f>
        <v>45292</v>
      </c>
      <c r="BK79" s="80">
        <f t="shared" ref="BK79" si="291">EDATE(BJ79,1)</f>
        <v>45323</v>
      </c>
      <c r="BL79" s="80">
        <f t="shared" ref="BL79" si="292">EDATE(BK79,1)</f>
        <v>45352</v>
      </c>
      <c r="BM79" s="80">
        <f t="shared" ref="BM79" si="293">EDATE(BL79,1)</f>
        <v>45383</v>
      </c>
    </row>
    <row r="80" spans="1:6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>
      <c r="A81" s="12" t="s">
        <v>145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/>
    <row r="83" spans="1:65">
      <c r="A83" s="234" t="s">
        <v>179</v>
      </c>
      <c r="B83" s="235"/>
      <c r="E83" s="4"/>
      <c r="I83" s="4"/>
      <c r="J83" s="4"/>
      <c r="K83" s="6"/>
    </row>
    <row r="84" spans="1:65" ht="16.5" thickBot="1">
      <c r="A84" s="9" t="s">
        <v>180</v>
      </c>
      <c r="B84" s="10">
        <f>B28+B29</f>
        <v>297000</v>
      </c>
    </row>
    <row r="86" spans="1:65">
      <c r="B86" s="173">
        <f>Cashflow!H7</f>
        <v>43466</v>
      </c>
      <c r="C86" s="173">
        <f>EDATE(B86,1)</f>
        <v>43497</v>
      </c>
      <c r="D86" s="173">
        <f t="shared" ref="D86:AP86" si="318">EDATE(C86,1)</f>
        <v>43525</v>
      </c>
      <c r="E86" s="173">
        <f t="shared" si="318"/>
        <v>43556</v>
      </c>
      <c r="F86" s="173">
        <f t="shared" si="318"/>
        <v>43586</v>
      </c>
      <c r="G86" s="173">
        <f t="shared" si="318"/>
        <v>43617</v>
      </c>
      <c r="H86" s="173">
        <f t="shared" si="318"/>
        <v>43647</v>
      </c>
      <c r="I86" s="173">
        <f t="shared" si="318"/>
        <v>43678</v>
      </c>
      <c r="J86" s="173">
        <f t="shared" si="318"/>
        <v>43709</v>
      </c>
      <c r="K86" s="173">
        <f t="shared" si="318"/>
        <v>43739</v>
      </c>
      <c r="L86" s="173">
        <f t="shared" si="318"/>
        <v>43770</v>
      </c>
      <c r="M86" s="173">
        <f t="shared" si="318"/>
        <v>43800</v>
      </c>
      <c r="N86" s="173">
        <f t="shared" si="318"/>
        <v>43831</v>
      </c>
      <c r="O86" s="173">
        <f t="shared" si="318"/>
        <v>43862</v>
      </c>
      <c r="P86" s="173">
        <f t="shared" si="318"/>
        <v>43891</v>
      </c>
      <c r="Q86" s="173">
        <f t="shared" si="318"/>
        <v>43922</v>
      </c>
      <c r="R86" s="173">
        <f t="shared" si="318"/>
        <v>43952</v>
      </c>
      <c r="S86" s="173">
        <f t="shared" si="318"/>
        <v>43983</v>
      </c>
      <c r="T86" s="173">
        <f t="shared" si="318"/>
        <v>44013</v>
      </c>
      <c r="U86" s="173">
        <f t="shared" si="318"/>
        <v>44044</v>
      </c>
      <c r="V86" s="173">
        <f t="shared" si="318"/>
        <v>44075</v>
      </c>
      <c r="W86" s="173">
        <f t="shared" si="318"/>
        <v>44105</v>
      </c>
      <c r="X86" s="173">
        <f t="shared" si="318"/>
        <v>44136</v>
      </c>
      <c r="Y86" s="173">
        <f t="shared" si="318"/>
        <v>44166</v>
      </c>
      <c r="Z86" s="173">
        <f t="shared" si="318"/>
        <v>44197</v>
      </c>
      <c r="AA86" s="173">
        <f t="shared" si="318"/>
        <v>44228</v>
      </c>
      <c r="AB86" s="173">
        <f t="shared" si="318"/>
        <v>44256</v>
      </c>
      <c r="AC86" s="173">
        <f t="shared" si="318"/>
        <v>44287</v>
      </c>
      <c r="AD86" s="173">
        <f t="shared" si="318"/>
        <v>44317</v>
      </c>
      <c r="AE86" s="173">
        <f t="shared" si="318"/>
        <v>44348</v>
      </c>
      <c r="AF86" s="173">
        <f t="shared" si="318"/>
        <v>44378</v>
      </c>
      <c r="AG86" s="173">
        <f t="shared" si="318"/>
        <v>44409</v>
      </c>
      <c r="AH86" s="173">
        <f>EDATE(AG86,1)</f>
        <v>44440</v>
      </c>
      <c r="AI86" s="173">
        <f t="shared" si="318"/>
        <v>44470</v>
      </c>
      <c r="AJ86" s="173">
        <f t="shared" si="318"/>
        <v>44501</v>
      </c>
      <c r="AK86" s="173">
        <f t="shared" si="318"/>
        <v>44531</v>
      </c>
      <c r="AL86" s="173">
        <f t="shared" si="318"/>
        <v>44562</v>
      </c>
      <c r="AM86" s="173">
        <f t="shared" si="318"/>
        <v>44593</v>
      </c>
      <c r="AN86" s="173">
        <f t="shared" si="318"/>
        <v>44621</v>
      </c>
      <c r="AO86" s="173">
        <f t="shared" si="318"/>
        <v>44652</v>
      </c>
      <c r="AP86" s="173">
        <f t="shared" si="318"/>
        <v>44682</v>
      </c>
      <c r="AQ86" s="173">
        <f t="shared" ref="AQ86" si="319">EDATE(AP86,1)</f>
        <v>44713</v>
      </c>
      <c r="AR86" s="173">
        <f t="shared" ref="AR86" si="320">EDATE(AQ86,1)</f>
        <v>44743</v>
      </c>
      <c r="AS86" s="173">
        <f t="shared" ref="AS86" si="321">EDATE(AR86,1)</f>
        <v>44774</v>
      </c>
      <c r="AT86" s="173">
        <f t="shared" ref="AT86" si="322">EDATE(AS86,1)</f>
        <v>44805</v>
      </c>
      <c r="AU86" s="173">
        <f t="shared" ref="AU86" si="323">EDATE(AT86,1)</f>
        <v>44835</v>
      </c>
      <c r="AV86" s="173">
        <f t="shared" ref="AV86" si="324">EDATE(AU86,1)</f>
        <v>44866</v>
      </c>
      <c r="AW86" s="173">
        <f t="shared" ref="AW86" si="325">EDATE(AV86,1)</f>
        <v>44896</v>
      </c>
      <c r="AX86" s="173">
        <f t="shared" ref="AX86" si="326">EDATE(AW86,1)</f>
        <v>44927</v>
      </c>
      <c r="AY86" s="173">
        <f t="shared" ref="AY86" si="327">EDATE(AX86,1)</f>
        <v>44958</v>
      </c>
      <c r="AZ86" s="173">
        <f t="shared" ref="AZ86" si="328">EDATE(AY86,1)</f>
        <v>44986</v>
      </c>
      <c r="BA86" s="173">
        <f t="shared" ref="BA86" si="329">EDATE(AZ86,1)</f>
        <v>45017</v>
      </c>
      <c r="BB86" s="173">
        <f t="shared" ref="BB86" si="330">EDATE(BA86,1)</f>
        <v>45047</v>
      </c>
      <c r="BC86" s="173">
        <f t="shared" ref="BC86" si="331">EDATE(BB86,1)</f>
        <v>45078</v>
      </c>
      <c r="BD86" s="173">
        <f t="shared" ref="BD86" si="332">EDATE(BC86,1)</f>
        <v>45108</v>
      </c>
      <c r="BE86" s="173">
        <f t="shared" ref="BE86" si="333">EDATE(BD86,1)</f>
        <v>45139</v>
      </c>
      <c r="BF86" s="173">
        <f t="shared" ref="BF86" si="334">EDATE(BE86,1)</f>
        <v>45170</v>
      </c>
      <c r="BG86" s="173">
        <f t="shared" ref="BG86" si="335">EDATE(BF86,1)</f>
        <v>45200</v>
      </c>
      <c r="BH86" s="173">
        <f t="shared" ref="BH86" si="336">EDATE(BG86,1)</f>
        <v>45231</v>
      </c>
      <c r="BI86" s="173">
        <f t="shared" ref="BI86" si="337">EDATE(BH86,1)</f>
        <v>45261</v>
      </c>
      <c r="BJ86" s="173">
        <f t="shared" ref="BJ86" si="338">EDATE(BI86,1)</f>
        <v>45292</v>
      </c>
      <c r="BK86" s="173">
        <f t="shared" ref="BK86" si="339">EDATE(BJ86,1)</f>
        <v>45323</v>
      </c>
      <c r="BL86" s="173">
        <f t="shared" ref="BL86" si="340">EDATE(BK86,1)</f>
        <v>45352</v>
      </c>
      <c r="BM86" s="173">
        <f t="shared" ref="BM86" si="341">EDATE(BL86,1)</f>
        <v>45383</v>
      </c>
    </row>
    <row r="87" spans="1:6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>
      <c r="A88" s="12" t="s">
        <v>145</v>
      </c>
      <c r="B88" s="13">
        <f t="shared" ref="B88" si="366">B81+B55+B48+B41</f>
        <v>0</v>
      </c>
      <c r="C88" s="13">
        <f t="shared" ref="C88:Z88" si="367">C81+C55+C48+C41</f>
        <v>13997.470695524729</v>
      </c>
      <c r="D88" s="13">
        <f t="shared" si="367"/>
        <v>13997.470695524729</v>
      </c>
      <c r="E88" s="13">
        <f t="shared" si="367"/>
        <v>13997.470695524729</v>
      </c>
      <c r="F88" s="13">
        <f t="shared" si="367"/>
        <v>13997.470695524729</v>
      </c>
      <c r="G88" s="13">
        <f t="shared" si="367"/>
        <v>13997.470695524729</v>
      </c>
      <c r="H88" s="13">
        <f t="shared" si="367"/>
        <v>13997.470695524729</v>
      </c>
      <c r="I88" s="13">
        <f t="shared" si="367"/>
        <v>13997.470695524729</v>
      </c>
      <c r="J88" s="13">
        <f t="shared" si="367"/>
        <v>13997.470695524729</v>
      </c>
      <c r="K88" s="13">
        <f t="shared" si="367"/>
        <v>13997.470695524729</v>
      </c>
      <c r="L88" s="13">
        <f t="shared" si="367"/>
        <v>13997.470695524729</v>
      </c>
      <c r="M88" s="13">
        <f t="shared" si="367"/>
        <v>13997.470695524729</v>
      </c>
      <c r="N88" s="13">
        <f t="shared" si="367"/>
        <v>13997.470695524729</v>
      </c>
      <c r="O88" s="13">
        <f t="shared" si="367"/>
        <v>13997.470695524729</v>
      </c>
      <c r="P88" s="13">
        <f t="shared" si="367"/>
        <v>13997.470695524729</v>
      </c>
      <c r="Q88" s="13">
        <f t="shared" si="367"/>
        <v>13997.470695524729</v>
      </c>
      <c r="R88" s="13">
        <f t="shared" si="367"/>
        <v>13997.470695524729</v>
      </c>
      <c r="S88" s="13">
        <f t="shared" si="367"/>
        <v>13997.470695524729</v>
      </c>
      <c r="T88" s="13">
        <f t="shared" si="367"/>
        <v>13997.470695524729</v>
      </c>
      <c r="U88" s="13">
        <f t="shared" si="367"/>
        <v>13997.470695524729</v>
      </c>
      <c r="V88" s="13">
        <f t="shared" si="367"/>
        <v>13997.470695524729</v>
      </c>
      <c r="W88" s="13">
        <f t="shared" si="367"/>
        <v>13997.470695524729</v>
      </c>
      <c r="X88" s="13">
        <f t="shared" si="367"/>
        <v>13997.470695524729</v>
      </c>
      <c r="Y88" s="13">
        <f t="shared" si="367"/>
        <v>13997.470695524729</v>
      </c>
      <c r="Z88" s="13">
        <f t="shared" si="367"/>
        <v>13997.470695524729</v>
      </c>
      <c r="AA88" s="13">
        <f t="shared" ref="AA88:BM88" si="368">AA81+AA55+AA48+AA41</f>
        <v>0</v>
      </c>
      <c r="AB88" s="13">
        <f t="shared" si="368"/>
        <v>0</v>
      </c>
      <c r="AC88" s="13">
        <f t="shared" si="368"/>
        <v>0</v>
      </c>
      <c r="AD88" s="13">
        <f t="shared" si="368"/>
        <v>0</v>
      </c>
      <c r="AE88" s="13">
        <f t="shared" si="368"/>
        <v>0</v>
      </c>
      <c r="AF88" s="13">
        <f t="shared" si="368"/>
        <v>0</v>
      </c>
      <c r="AG88" s="13">
        <f t="shared" si="368"/>
        <v>0</v>
      </c>
      <c r="AH88" s="13">
        <f t="shared" si="368"/>
        <v>0</v>
      </c>
      <c r="AI88" s="13">
        <f t="shared" si="368"/>
        <v>0</v>
      </c>
      <c r="AJ88" s="13">
        <f t="shared" si="368"/>
        <v>0</v>
      </c>
      <c r="AK88" s="13">
        <f t="shared" si="368"/>
        <v>0</v>
      </c>
      <c r="AL88" s="13">
        <f t="shared" si="368"/>
        <v>0</v>
      </c>
      <c r="AM88" s="13">
        <f t="shared" si="368"/>
        <v>0</v>
      </c>
      <c r="AN88" s="13">
        <f t="shared" si="368"/>
        <v>0</v>
      </c>
      <c r="AO88" s="13">
        <f t="shared" si="368"/>
        <v>0</v>
      </c>
      <c r="AP88" s="13">
        <f t="shared" si="368"/>
        <v>0</v>
      </c>
      <c r="AQ88" s="13">
        <f t="shared" si="368"/>
        <v>0</v>
      </c>
      <c r="AR88" s="13">
        <f t="shared" si="368"/>
        <v>0</v>
      </c>
      <c r="AS88" s="13">
        <f t="shared" si="368"/>
        <v>0</v>
      </c>
      <c r="AT88" s="13">
        <f t="shared" si="368"/>
        <v>0</v>
      </c>
      <c r="AU88" s="13">
        <f t="shared" si="368"/>
        <v>0</v>
      </c>
      <c r="AV88" s="13">
        <f t="shared" si="368"/>
        <v>0</v>
      </c>
      <c r="AW88" s="13">
        <f t="shared" si="368"/>
        <v>0</v>
      </c>
      <c r="AX88" s="13">
        <f t="shared" si="368"/>
        <v>0</v>
      </c>
      <c r="AY88" s="13">
        <f t="shared" si="368"/>
        <v>0</v>
      </c>
      <c r="AZ88" s="13">
        <f t="shared" si="368"/>
        <v>0</v>
      </c>
      <c r="BA88" s="13">
        <f t="shared" si="368"/>
        <v>0</v>
      </c>
      <c r="BB88" s="13">
        <f t="shared" si="368"/>
        <v>0</v>
      </c>
      <c r="BC88" s="13">
        <f t="shared" si="368"/>
        <v>0</v>
      </c>
      <c r="BD88" s="13">
        <f t="shared" si="368"/>
        <v>0</v>
      </c>
      <c r="BE88" s="13">
        <f t="shared" si="368"/>
        <v>0</v>
      </c>
      <c r="BF88" s="13">
        <f t="shared" si="368"/>
        <v>0</v>
      </c>
      <c r="BG88" s="13">
        <f t="shared" si="368"/>
        <v>0</v>
      </c>
      <c r="BH88" s="13">
        <f t="shared" si="368"/>
        <v>0</v>
      </c>
      <c r="BI88" s="13">
        <f t="shared" si="368"/>
        <v>0</v>
      </c>
      <c r="BJ88" s="13">
        <f t="shared" si="368"/>
        <v>0</v>
      </c>
      <c r="BK88" s="13">
        <f t="shared" si="368"/>
        <v>0</v>
      </c>
      <c r="BL88" s="13">
        <f t="shared" si="368"/>
        <v>0</v>
      </c>
      <c r="BM88" s="13">
        <f t="shared" si="368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>
      <c r="B1" s="259" t="s">
        <v>181</v>
      </c>
      <c r="C1" s="259"/>
      <c r="D1" s="259"/>
      <c r="E1" s="259"/>
      <c r="F1" s="259"/>
    </row>
    <row r="2" spans="1:8" ht="15" customHeight="1">
      <c r="B2" s="259"/>
      <c r="C2" s="259"/>
      <c r="D2" s="259"/>
      <c r="E2" s="259"/>
      <c r="F2" s="259"/>
    </row>
    <row r="3" spans="1:8" ht="15" customHeight="1">
      <c r="A3" s="265" t="s">
        <v>182</v>
      </c>
      <c r="B3" s="56" t="s">
        <v>183</v>
      </c>
      <c r="C3" s="56"/>
      <c r="D3" s="56"/>
      <c r="E3" s="56"/>
      <c r="F3" s="55"/>
      <c r="H3" s="226" t="s">
        <v>184</v>
      </c>
    </row>
    <row r="4" spans="1:8">
      <c r="A4" s="265"/>
      <c r="B4" s="21" t="s">
        <v>185</v>
      </c>
      <c r="C4" s="22" t="s">
        <v>186</v>
      </c>
      <c r="D4" t="s">
        <v>187</v>
      </c>
      <c r="E4" t="s">
        <v>180</v>
      </c>
      <c r="H4" s="58" t="s">
        <v>188</v>
      </c>
    </row>
    <row r="5" spans="1:8">
      <c r="A5" s="265"/>
      <c r="B5" t="s">
        <v>189</v>
      </c>
      <c r="C5" s="45">
        <v>1</v>
      </c>
      <c r="D5" s="4">
        <v>9600</v>
      </c>
      <c r="E5" s="4">
        <f t="shared" ref="E5:E10" si="0">C5*D5</f>
        <v>9600</v>
      </c>
      <c r="H5" s="59" t="s">
        <v>190</v>
      </c>
    </row>
    <row r="6" spans="1:8">
      <c r="A6" s="265"/>
      <c r="B6" t="s">
        <v>191</v>
      </c>
      <c r="C6" s="45">
        <v>1</v>
      </c>
      <c r="D6" s="4">
        <v>10000</v>
      </c>
      <c r="E6" s="4">
        <f t="shared" si="0"/>
        <v>10000</v>
      </c>
      <c r="H6" s="61" t="s">
        <v>192</v>
      </c>
    </row>
    <row r="7" spans="1:8">
      <c r="A7" s="265"/>
      <c r="B7" t="s">
        <v>193</v>
      </c>
      <c r="C7" s="45">
        <v>1</v>
      </c>
      <c r="D7" s="4">
        <v>10250</v>
      </c>
      <c r="E7" s="4">
        <f t="shared" si="0"/>
        <v>10250</v>
      </c>
      <c r="H7" s="66" t="s">
        <v>194</v>
      </c>
    </row>
    <row r="8" spans="1:8">
      <c r="A8" s="265"/>
      <c r="B8" t="s">
        <v>195</v>
      </c>
      <c r="C8" s="45"/>
      <c r="D8" s="4"/>
      <c r="E8" s="4">
        <f t="shared" si="0"/>
        <v>0</v>
      </c>
    </row>
    <row r="9" spans="1:8">
      <c r="A9" s="265"/>
      <c r="C9" s="45"/>
      <c r="D9" s="52"/>
      <c r="E9" s="4">
        <f t="shared" si="0"/>
        <v>0</v>
      </c>
    </row>
    <row r="10" spans="1:8">
      <c r="A10" s="265"/>
      <c r="C10" s="45"/>
      <c r="D10" s="4"/>
      <c r="E10" s="4">
        <f t="shared" si="0"/>
        <v>0</v>
      </c>
    </row>
    <row r="11" spans="1:8">
      <c r="B11" s="67" t="s">
        <v>196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>
      <c r="B12" s="62"/>
      <c r="C12" s="62"/>
      <c r="D12" s="62"/>
      <c r="E12" s="62"/>
      <c r="F12" s="62"/>
    </row>
    <row r="13" spans="1:8">
      <c r="B13" s="57" t="s">
        <v>197</v>
      </c>
      <c r="C13" s="57"/>
      <c r="D13" s="57"/>
      <c r="E13" s="57"/>
      <c r="F13" s="57"/>
    </row>
    <row r="14" spans="1:8">
      <c r="A14" s="268" t="s">
        <v>198</v>
      </c>
      <c r="B14" s="21" t="s">
        <v>185</v>
      </c>
      <c r="C14" s="22" t="s">
        <v>186</v>
      </c>
      <c r="D14" s="59" t="s">
        <v>199</v>
      </c>
      <c r="E14" t="s">
        <v>187</v>
      </c>
      <c r="F14" t="s">
        <v>180</v>
      </c>
    </row>
    <row r="15" spans="1:8">
      <c r="A15" s="268"/>
      <c r="B15" t="s">
        <v>189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>
      <c r="A16" s="268"/>
      <c r="B16" t="s">
        <v>200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>
      <c r="A17" s="268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>
      <c r="A18" s="268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>
      <c r="A19" s="268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>
      <c r="A20" s="268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>
      <c r="B21" s="67" t="s">
        <v>196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>
      <c r="B22" s="65"/>
      <c r="C22" s="65"/>
      <c r="D22" s="65"/>
      <c r="E22" s="65"/>
      <c r="F22" s="65"/>
    </row>
    <row r="23" spans="1:7" ht="48.95" customHeight="1" thickBot="1">
      <c r="B23" s="266" t="s">
        <v>201</v>
      </c>
      <c r="C23" s="267"/>
      <c r="D23" s="263">
        <f>(F21/E11)-1</f>
        <v>3.5516750418760346E-2</v>
      </c>
      <c r="E23" s="264"/>
    </row>
    <row r="24" spans="1:7" ht="18.75">
      <c r="B24" s="63"/>
      <c r="C24" s="63"/>
      <c r="D24" s="64"/>
      <c r="E24" s="64"/>
      <c r="F24" s="65"/>
    </row>
    <row r="25" spans="1:7">
      <c r="A25" s="260" t="s">
        <v>202</v>
      </c>
      <c r="B25" s="56" t="s">
        <v>203</v>
      </c>
      <c r="C25" s="56"/>
      <c r="D25" s="56"/>
      <c r="E25" s="56"/>
      <c r="F25" s="55"/>
    </row>
    <row r="26" spans="1:7">
      <c r="A26" s="260"/>
      <c r="B26" s="21" t="s">
        <v>185</v>
      </c>
      <c r="C26" s="22" t="s">
        <v>186</v>
      </c>
      <c r="D26" t="s">
        <v>187</v>
      </c>
      <c r="E26" t="s">
        <v>180</v>
      </c>
    </row>
    <row r="27" spans="1:7">
      <c r="A27" s="260"/>
      <c r="B27" t="s">
        <v>204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>
      <c r="A28" s="260"/>
      <c r="B28" t="s">
        <v>200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>
      <c r="A29" s="260"/>
      <c r="C29" s="45">
        <f t="shared" si="4"/>
        <v>1</v>
      </c>
      <c r="D29" s="4"/>
      <c r="E29" s="4">
        <f t="shared" si="5"/>
        <v>0</v>
      </c>
    </row>
    <row r="30" spans="1:7">
      <c r="A30" s="260"/>
      <c r="C30" s="45">
        <f t="shared" si="4"/>
        <v>0</v>
      </c>
      <c r="D30" s="4"/>
      <c r="E30" s="4">
        <f t="shared" si="5"/>
        <v>0</v>
      </c>
    </row>
    <row r="31" spans="1:7">
      <c r="A31" s="260"/>
      <c r="C31" s="45">
        <f t="shared" si="4"/>
        <v>0</v>
      </c>
      <c r="D31" s="52"/>
      <c r="E31" s="4">
        <f t="shared" si="5"/>
        <v>0</v>
      </c>
    </row>
    <row r="32" spans="1:7">
      <c r="A32" s="260"/>
      <c r="C32" s="45">
        <f t="shared" si="4"/>
        <v>0</v>
      </c>
      <c r="D32" s="4"/>
      <c r="E32" s="4">
        <f t="shared" si="5"/>
        <v>0</v>
      </c>
    </row>
    <row r="33" spans="2:6">
      <c r="B33" s="67" t="s">
        <v>196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>
      <c r="B34" s="65"/>
      <c r="C34" s="65"/>
      <c r="D34" s="65"/>
      <c r="E34" s="65"/>
      <c r="F34" s="65"/>
    </row>
    <row r="35" spans="2:6" ht="48.95" customHeight="1" thickBot="1">
      <c r="B35" s="261" t="s">
        <v>205</v>
      </c>
      <c r="C35" s="262"/>
      <c r="D35" s="263">
        <f>(E33/E11)-1</f>
        <v>-0.27303182579564489</v>
      </c>
      <c r="E35" s="264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/>
  <cols>
    <col min="1" max="1" width="35.125" bestFit="1" customWidth="1"/>
    <col min="2" max="2" width="8.375" customWidth="1"/>
  </cols>
  <sheetData>
    <row r="1" spans="1:3">
      <c r="A1" s="242" t="s">
        <v>206</v>
      </c>
      <c r="B1" s="242"/>
      <c r="C1" s="242"/>
    </row>
    <row r="2" spans="1:3">
      <c r="B2" s="224" t="s">
        <v>66</v>
      </c>
      <c r="C2" s="224" t="s">
        <v>207</v>
      </c>
    </row>
    <row r="3" spans="1:3">
      <c r="A3" s="37" t="s">
        <v>67</v>
      </c>
      <c r="B3" s="39">
        <v>6.4999999999999997E-3</v>
      </c>
      <c r="C3" s="39">
        <v>1.6500000000000001E-2</v>
      </c>
    </row>
    <row r="4" spans="1:3">
      <c r="A4" s="224" t="s">
        <v>68</v>
      </c>
      <c r="B4" s="40">
        <v>0.03</v>
      </c>
      <c r="C4" s="40">
        <v>7.5999999999999998E-2</v>
      </c>
    </row>
    <row r="5" spans="1:3">
      <c r="A5" s="37" t="s">
        <v>69</v>
      </c>
      <c r="B5" s="155">
        <f>SUM(B3:B4)</f>
        <v>3.6499999999999998E-2</v>
      </c>
      <c r="C5" s="41">
        <f>SUM(C3:C4)</f>
        <v>9.2499999999999999E-2</v>
      </c>
    </row>
    <row r="7" spans="1:3">
      <c r="A7" s="242" t="s">
        <v>208</v>
      </c>
      <c r="B7" s="242"/>
    </row>
    <row r="8" spans="1:3">
      <c r="A8" t="s">
        <v>209</v>
      </c>
      <c r="B8" s="42">
        <v>0.15</v>
      </c>
    </row>
    <row r="9" spans="1:3">
      <c r="A9" s="38" t="s">
        <v>210</v>
      </c>
      <c r="B9" s="43">
        <v>0.09</v>
      </c>
    </row>
    <row r="10" spans="1:3">
      <c r="A10" t="s">
        <v>211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>
      <c r="A1" s="269" t="s">
        <v>212</v>
      </c>
      <c r="B1" s="269"/>
      <c r="C1" s="269"/>
      <c r="D1" s="269"/>
      <c r="E1" s="269"/>
    </row>
    <row r="2" spans="1:9" ht="15" customHeight="1">
      <c r="A2" s="269"/>
      <c r="B2" s="269"/>
      <c r="C2" s="269"/>
      <c r="D2" s="269"/>
      <c r="E2" s="269"/>
    </row>
    <row r="3" spans="1:9">
      <c r="A3" s="62" t="s">
        <v>213</v>
      </c>
      <c r="B3" s="54" t="s">
        <v>214</v>
      </c>
      <c r="C3" s="54" t="s">
        <v>36</v>
      </c>
      <c r="D3" s="54" t="s">
        <v>215</v>
      </c>
      <c r="E3" s="54" t="s">
        <v>216</v>
      </c>
    </row>
    <row r="4" spans="1:9" ht="16.5" thickBot="1">
      <c r="A4" t="s">
        <v>217</v>
      </c>
      <c r="B4" s="53"/>
      <c r="C4">
        <v>1</v>
      </c>
      <c r="D4">
        <v>1</v>
      </c>
      <c r="E4" s="84">
        <f>B4*D4</f>
        <v>0</v>
      </c>
    </row>
    <row r="5" spans="1:9">
      <c r="B5" s="53"/>
      <c r="C5">
        <v>2</v>
      </c>
      <c r="D5">
        <v>1</v>
      </c>
      <c r="E5" s="84">
        <f>E4*(1+$I$6)</f>
        <v>0</v>
      </c>
      <c r="I5" s="183" t="s">
        <v>218</v>
      </c>
    </row>
    <row r="6" spans="1:9" ht="16.5" thickBot="1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>
      <c r="B7" s="53"/>
      <c r="D7" s="53"/>
      <c r="E7" s="182"/>
    </row>
    <row r="9" spans="1:9" ht="15" customHeight="1">
      <c r="A9" s="269" t="s">
        <v>219</v>
      </c>
      <c r="B9" s="269"/>
      <c r="C9" s="269"/>
      <c r="D9" s="269"/>
      <c r="E9" s="269"/>
      <c r="F9" s="269"/>
      <c r="G9" s="269"/>
    </row>
    <row r="10" spans="1:9" ht="15" customHeight="1">
      <c r="A10" s="269"/>
      <c r="B10" s="269"/>
      <c r="C10" s="269"/>
      <c r="D10" s="269"/>
      <c r="E10" s="269"/>
      <c r="F10" s="269"/>
      <c r="G10" s="269"/>
    </row>
    <row r="11" spans="1:9">
      <c r="A11" s="62" t="s">
        <v>220</v>
      </c>
      <c r="B11" s="62" t="s">
        <v>221</v>
      </c>
      <c r="C11" s="62" t="s">
        <v>36</v>
      </c>
      <c r="D11" s="62" t="s">
        <v>222</v>
      </c>
      <c r="E11" s="62" t="s">
        <v>223</v>
      </c>
      <c r="F11" s="62" t="s">
        <v>224</v>
      </c>
      <c r="G11" s="62" t="s">
        <v>225</v>
      </c>
    </row>
    <row r="12" spans="1:9">
      <c r="A12" s="166" t="s">
        <v>226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>
      <c r="A1" s="279" t="s">
        <v>227</v>
      </c>
      <c r="B1" s="279"/>
      <c r="C1" s="279"/>
      <c r="D1" s="279"/>
    </row>
    <row r="2" spans="1:4" ht="16.5" thickBot="1">
      <c r="A2" s="279"/>
      <c r="B2" s="279"/>
      <c r="C2" s="279"/>
      <c r="D2" s="279"/>
    </row>
    <row r="3" spans="1:4" ht="16.5" hidden="1" thickBot="1">
      <c r="A3" s="88" t="s">
        <v>73</v>
      </c>
      <c r="B3" s="88">
        <v>4000</v>
      </c>
    </row>
    <row r="4" spans="1:4" ht="15" hidden="1" customHeight="1">
      <c r="C4" s="83" t="s">
        <v>228</v>
      </c>
      <c r="D4" s="277" t="s">
        <v>229</v>
      </c>
    </row>
    <row r="5" spans="1:4" ht="59.1" hidden="1" customHeight="1">
      <c r="A5" s="48" t="s">
        <v>221</v>
      </c>
      <c r="B5" s="50" t="s">
        <v>215</v>
      </c>
      <c r="C5" s="99" t="s">
        <v>230</v>
      </c>
      <c r="D5" s="277"/>
    </row>
    <row r="6" spans="1:4" ht="16.5" hidden="1" thickBot="1">
      <c r="A6" s="49" t="s">
        <v>140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>
      <c r="A7" s="49" t="s">
        <v>231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>
      <c r="A8" t="s">
        <v>69</v>
      </c>
      <c r="B8" s="11">
        <f>SUM(B6:B7)</f>
        <v>2</v>
      </c>
      <c r="C8" s="45"/>
      <c r="D8" s="45"/>
    </row>
    <row r="9" spans="1:4" ht="16.5" hidden="1" thickBot="1"/>
    <row r="10" spans="1:4" ht="16.5" hidden="1" thickBot="1"/>
    <row r="11" spans="1:4" ht="16.5" hidden="1" thickBot="1">
      <c r="A11" t="s">
        <v>232</v>
      </c>
    </row>
    <row r="12" spans="1:4" ht="16.5" hidden="1" thickBot="1">
      <c r="A12" t="s">
        <v>233</v>
      </c>
    </row>
    <row r="13" spans="1:4" ht="16.5" hidden="1" thickBot="1"/>
    <row r="14" spans="1:4" ht="16.5" hidden="1" thickBot="1"/>
    <row r="15" spans="1:4" ht="16.5" hidden="1" thickBot="1">
      <c r="A15" s="51" t="s">
        <v>73</v>
      </c>
      <c r="B15" s="51">
        <v>6000</v>
      </c>
    </row>
    <row r="16" spans="1:4" ht="15" hidden="1" customHeight="1">
      <c r="C16" s="83" t="s">
        <v>228</v>
      </c>
      <c r="D16" s="277" t="s">
        <v>229</v>
      </c>
    </row>
    <row r="17" spans="1:10" ht="56.1" hidden="1" customHeight="1">
      <c r="A17" s="48" t="s">
        <v>221</v>
      </c>
      <c r="B17" s="50" t="s">
        <v>215</v>
      </c>
      <c r="C17" s="99" t="s">
        <v>230</v>
      </c>
      <c r="D17" s="277"/>
    </row>
    <row r="18" spans="1:10" ht="16.5" hidden="1" thickBot="1">
      <c r="A18" s="49" t="s">
        <v>140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>
      <c r="A19" s="49" t="s">
        <v>231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>
      <c r="A20" t="s">
        <v>69</v>
      </c>
      <c r="B20" s="11">
        <f>SUM(B18:B19)</f>
        <v>2</v>
      </c>
      <c r="C20" s="45"/>
      <c r="D20" s="45"/>
    </row>
    <row r="21" spans="1:10" ht="16.5" hidden="1" thickBot="1"/>
    <row r="22" spans="1:10" ht="16.5" hidden="1" thickBot="1"/>
    <row r="23" spans="1:10" ht="16.5" hidden="1" thickBot="1"/>
    <row r="24" spans="1:10" ht="16.5" hidden="1" thickBot="1">
      <c r="A24" s="89" t="s">
        <v>73</v>
      </c>
      <c r="B24" s="89">
        <v>8000</v>
      </c>
    </row>
    <row r="25" spans="1:10" ht="15" hidden="1" customHeight="1">
      <c r="C25" s="83" t="s">
        <v>228</v>
      </c>
      <c r="D25" s="277" t="s">
        <v>229</v>
      </c>
    </row>
    <row r="26" spans="1:10" ht="56.1" hidden="1" customHeight="1">
      <c r="A26" s="48" t="s">
        <v>221</v>
      </c>
      <c r="B26" s="50" t="s">
        <v>215</v>
      </c>
      <c r="C26" s="99" t="s">
        <v>230</v>
      </c>
      <c r="D26" s="277"/>
    </row>
    <row r="27" spans="1:10" ht="16.5" hidden="1" thickBot="1">
      <c r="A27" s="49" t="s">
        <v>140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>
      <c r="A28" s="49" t="s">
        <v>231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>
      <c r="A29" t="s">
        <v>69</v>
      </c>
      <c r="B29" s="11">
        <f>SUM(B27:B28)</f>
        <v>2</v>
      </c>
      <c r="C29" s="45"/>
      <c r="D29" s="45"/>
    </row>
    <row r="30" spans="1:10" ht="16.5" hidden="1" thickBot="1"/>
    <row r="31" spans="1:10" ht="16.5" hidden="1" thickBot="1"/>
    <row r="32" spans="1:10" ht="16.5" thickBot="1">
      <c r="A32" s="280" t="s">
        <v>73</v>
      </c>
      <c r="B32" s="282">
        <f>Dados!C14</f>
        <v>0</v>
      </c>
      <c r="C32" s="247" t="s">
        <v>234</v>
      </c>
      <c r="D32" s="248"/>
      <c r="E32" s="247" t="s">
        <v>235</v>
      </c>
      <c r="F32" s="248"/>
      <c r="G32" s="247" t="s">
        <v>236</v>
      </c>
      <c r="H32" s="272"/>
      <c r="I32" s="247" t="s">
        <v>237</v>
      </c>
      <c r="J32" s="272"/>
    </row>
    <row r="33" spans="1:10" ht="16.5" thickBot="1">
      <c r="A33" s="281"/>
      <c r="B33" s="283"/>
      <c r="C33" s="273"/>
      <c r="D33" s="278"/>
      <c r="E33" s="273"/>
      <c r="F33" s="278"/>
      <c r="G33" s="273"/>
      <c r="H33" s="274"/>
      <c r="I33" s="273"/>
      <c r="J33" s="274"/>
    </row>
    <row r="34" spans="1:10" ht="15" customHeight="1">
      <c r="A34" s="284" t="s">
        <v>221</v>
      </c>
      <c r="B34" s="285"/>
      <c r="C34" s="275" t="s">
        <v>228</v>
      </c>
      <c r="D34" s="277" t="s">
        <v>238</v>
      </c>
      <c r="E34" s="275" t="s">
        <v>228</v>
      </c>
      <c r="F34" s="277" t="s">
        <v>238</v>
      </c>
      <c r="G34" s="275" t="s">
        <v>228</v>
      </c>
      <c r="H34" s="276" t="s">
        <v>238</v>
      </c>
      <c r="I34" s="275" t="s">
        <v>228</v>
      </c>
      <c r="J34" s="276" t="s">
        <v>238</v>
      </c>
    </row>
    <row r="35" spans="1:10">
      <c r="A35" s="286"/>
      <c r="B35" s="287"/>
      <c r="C35" s="275"/>
      <c r="D35" s="277"/>
      <c r="E35" s="275"/>
      <c r="F35" s="277"/>
      <c r="G35" s="275"/>
      <c r="H35" s="276"/>
      <c r="I35" s="275"/>
      <c r="J35" s="276"/>
    </row>
    <row r="36" spans="1:10" ht="16.5" thickBot="1">
      <c r="A36" s="270" t="str">
        <f>Dados!A29</f>
        <v>express</v>
      </c>
      <c r="B36" s="271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G7" sqref="G7"/>
    </sheetView>
  </sheetViews>
  <sheetFormatPr defaultColWidth="11" defaultRowHeight="15.7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>
      <c r="A1" s="291" t="s">
        <v>239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23">
      <c r="A2" s="242" t="s">
        <v>240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</row>
    <row r="3" spans="1:23">
      <c r="A3" s="242" t="s">
        <v>241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</row>
    <row r="4" spans="1:23">
      <c r="A4" s="292" t="s">
        <v>242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</row>
    <row r="5" spans="1:23" ht="30" customHeight="1">
      <c r="A5" s="47"/>
      <c r="B5" s="47"/>
      <c r="C5" s="288" t="s">
        <v>243</v>
      </c>
      <c r="D5" s="289"/>
      <c r="E5" s="290"/>
      <c r="F5" s="289" t="s">
        <v>244</v>
      </c>
      <c r="G5" s="289"/>
      <c r="H5" s="290"/>
      <c r="I5" s="288" t="s">
        <v>244</v>
      </c>
      <c r="J5" s="289"/>
      <c r="K5" s="290"/>
      <c r="L5" s="288" t="s">
        <v>245</v>
      </c>
      <c r="M5" s="289"/>
      <c r="N5" s="290"/>
      <c r="O5" s="288" t="s">
        <v>246</v>
      </c>
      <c r="P5" s="289"/>
      <c r="Q5" s="290"/>
      <c r="R5" s="288" t="s">
        <v>247</v>
      </c>
      <c r="S5" s="289"/>
      <c r="T5" s="290"/>
      <c r="U5" s="288" t="s">
        <v>248</v>
      </c>
      <c r="V5" s="289"/>
      <c r="W5" s="290"/>
    </row>
    <row r="6" spans="1:23">
      <c r="A6" s="21" t="s">
        <v>221</v>
      </c>
      <c r="B6" s="21" t="s">
        <v>249</v>
      </c>
      <c r="C6" s="22" t="s">
        <v>82</v>
      </c>
      <c r="D6" s="23" t="s">
        <v>250</v>
      </c>
      <c r="E6" s="23" t="s">
        <v>251</v>
      </c>
      <c r="F6" s="21" t="s">
        <v>82</v>
      </c>
      <c r="G6" s="21" t="s">
        <v>250</v>
      </c>
      <c r="H6" s="21" t="s">
        <v>251</v>
      </c>
      <c r="I6" s="22" t="s">
        <v>82</v>
      </c>
      <c r="J6" s="23" t="s">
        <v>250</v>
      </c>
      <c r="K6" s="23" t="s">
        <v>252</v>
      </c>
      <c r="L6" s="22" t="s">
        <v>82</v>
      </c>
      <c r="M6" s="23" t="s">
        <v>250</v>
      </c>
      <c r="N6" s="23" t="s">
        <v>252</v>
      </c>
      <c r="O6" s="22" t="s">
        <v>82</v>
      </c>
      <c r="P6" s="23" t="s">
        <v>250</v>
      </c>
      <c r="Q6" s="23" t="s">
        <v>252</v>
      </c>
      <c r="R6" s="22" t="s">
        <v>82</v>
      </c>
      <c r="S6" s="23" t="s">
        <v>250</v>
      </c>
      <c r="T6" s="23" t="s">
        <v>252</v>
      </c>
      <c r="U6" s="22" t="s">
        <v>82</v>
      </c>
      <c r="V6" s="23" t="s">
        <v>250</v>
      </c>
      <c r="W6" s="23" t="s">
        <v>252</v>
      </c>
    </row>
    <row r="7" spans="1:23">
      <c r="A7" t="str">
        <f>Dados!A29</f>
        <v>express</v>
      </c>
      <c r="B7" s="90">
        <f>Dados!C32</f>
        <v>297000</v>
      </c>
      <c r="C7" s="18">
        <f>((B7*0.015)*0.97)</f>
        <v>4321.3499999999995</v>
      </c>
      <c r="D7" s="19">
        <v>600</v>
      </c>
      <c r="E7" s="19">
        <f>C7+D7</f>
        <v>4921.3499999999995</v>
      </c>
      <c r="F7" s="2">
        <f>(B7*0.015)*0.97</f>
        <v>4321.3499999999995</v>
      </c>
      <c r="G7" s="1">
        <v>150</v>
      </c>
      <c r="H7" s="1">
        <f>F7+G7</f>
        <v>4471.3499999999995</v>
      </c>
      <c r="I7" s="18">
        <f>((B7*0.85)*0.015)*0.97</f>
        <v>3673.1475</v>
      </c>
      <c r="J7" s="19">
        <v>150</v>
      </c>
      <c r="K7" s="19">
        <f>I7+J7</f>
        <v>3823.1475</v>
      </c>
      <c r="L7" s="18">
        <f>(((B7*0.85)*0.85)*0.015)*0.97</f>
        <v>3122.1753749999998</v>
      </c>
      <c r="M7" s="19">
        <v>150</v>
      </c>
      <c r="N7" s="19">
        <f>L7+M7</f>
        <v>3272.1753749999998</v>
      </c>
      <c r="O7" s="18">
        <f>((((B7*0.85)*0.85)*0.85)*0.015)*0.97</f>
        <v>2653.8490687500002</v>
      </c>
      <c r="P7" s="19">
        <v>150</v>
      </c>
      <c r="Q7" s="19">
        <f>O7+P7</f>
        <v>2803.8490687500002</v>
      </c>
      <c r="R7" s="18">
        <f>(((((B7*0.85)*0.85)*0.85)*0.85)*0.015)*0.97</f>
        <v>2255.7717084374999</v>
      </c>
      <c r="S7" s="19">
        <v>150</v>
      </c>
      <c r="T7" s="19">
        <f>R7+S7</f>
        <v>2405.7717084374999</v>
      </c>
      <c r="U7" s="18">
        <f>((((((B7*0.85)*0.85)*0.85)*0.85)*0.85)*0.015)*0.97</f>
        <v>1917.4059521718743</v>
      </c>
      <c r="V7" s="19">
        <v>150</v>
      </c>
      <c r="W7" s="19">
        <f>U7+V7</f>
        <v>2067.4059521718746</v>
      </c>
    </row>
    <row r="8" spans="1:23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>
      <c r="E8">
        <v>2.2540000000000001E-2</v>
      </c>
    </row>
    <row r="9" spans="4:9">
      <c r="D9" t="s">
        <v>253</v>
      </c>
      <c r="E9">
        <f>E8*(1-4.3%)</f>
        <v>2.1570780000000001E-2</v>
      </c>
    </row>
    <row r="10" spans="4:9">
      <c r="E10">
        <v>179700</v>
      </c>
      <c r="G10" s="243" t="s">
        <v>254</v>
      </c>
      <c r="H10" s="243"/>
      <c r="I10" s="243"/>
    </row>
    <row r="11" spans="4:9">
      <c r="E11">
        <f>E9*E10</f>
        <v>3876.269166</v>
      </c>
      <c r="I11" t="s">
        <v>255</v>
      </c>
    </row>
    <row r="12" spans="4:9">
      <c r="G12" t="s">
        <v>256</v>
      </c>
      <c r="H12">
        <v>30</v>
      </c>
      <c r="I12" s="182">
        <v>8.0000000000000002E-3</v>
      </c>
    </row>
    <row r="13" spans="4:9">
      <c r="G13" t="s">
        <v>257</v>
      </c>
      <c r="H13">
        <v>1</v>
      </c>
      <c r="I13" s="216">
        <f>I12/30</f>
        <v>2.6666666666666668E-4</v>
      </c>
    </row>
    <row r="15" spans="4:9">
      <c r="G15" t="s">
        <v>258</v>
      </c>
      <c r="H15">
        <v>10</v>
      </c>
      <c r="I15" s="195">
        <v>0</v>
      </c>
    </row>
    <row r="16" spans="4:9">
      <c r="G16" t="s">
        <v>259</v>
      </c>
      <c r="H16">
        <v>90</v>
      </c>
    </row>
    <row r="17" spans="3:11">
      <c r="H17">
        <v>30</v>
      </c>
      <c r="I17" s="182">
        <f>I13*20</f>
        <v>5.333333333333334E-3</v>
      </c>
    </row>
    <row r="18" spans="3:11">
      <c r="H18">
        <v>60</v>
      </c>
      <c r="I18" s="182">
        <f>(I17)+I12</f>
        <v>1.3333333333333334E-2</v>
      </c>
    </row>
    <row r="19" spans="3:11">
      <c r="H19">
        <v>90</v>
      </c>
      <c r="I19" s="182">
        <f>I18+0.8%</f>
        <v>2.1333333333333336E-2</v>
      </c>
    </row>
    <row r="20" spans="3:11">
      <c r="G20" t="s">
        <v>260</v>
      </c>
      <c r="H20">
        <f>H16-H15</f>
        <v>80</v>
      </c>
    </row>
    <row r="25" spans="3:11">
      <c r="C25" t="s">
        <v>261</v>
      </c>
      <c r="D25" t="s">
        <v>262</v>
      </c>
      <c r="E25" s="220">
        <v>1</v>
      </c>
      <c r="F25" s="4">
        <v>79700</v>
      </c>
    </row>
    <row r="26" spans="3:11">
      <c r="C26" t="s">
        <v>263</v>
      </c>
      <c r="D26" t="s">
        <v>264</v>
      </c>
      <c r="E26" t="s">
        <v>265</v>
      </c>
      <c r="F26" t="s">
        <v>266</v>
      </c>
      <c r="G26" t="s">
        <v>267</v>
      </c>
      <c r="H26" t="s">
        <v>268</v>
      </c>
      <c r="I26" t="s">
        <v>269</v>
      </c>
      <c r="J26" t="s">
        <v>270</v>
      </c>
      <c r="K26" t="s">
        <v>271</v>
      </c>
    </row>
    <row r="27" spans="3:11">
      <c r="C27">
        <v>0</v>
      </c>
      <c r="D27" t="s">
        <v>272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>
      <c r="C28">
        <v>0</v>
      </c>
      <c r="D28" t="s">
        <v>273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>
      <c r="C29">
        <v>0</v>
      </c>
      <c r="D29" t="s">
        <v>274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>
      <c r="C30">
        <v>1</v>
      </c>
      <c r="D30" t="s">
        <v>275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>
      <c r="C31">
        <v>3</v>
      </c>
      <c r="D31" t="s">
        <v>276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>
      <c r="C32">
        <v>4</v>
      </c>
      <c r="D32" t="s">
        <v>277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>
      <c r="C33">
        <v>5</v>
      </c>
      <c r="D33" t="s">
        <v>278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>
      <c r="C34">
        <v>6</v>
      </c>
      <c r="D34" t="s">
        <v>279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>
      <c r="C35">
        <v>7</v>
      </c>
      <c r="D35" t="s">
        <v>280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>
      <c r="C36">
        <v>8</v>
      </c>
      <c r="D36" t="s">
        <v>281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>
      <c r="C37">
        <v>10</v>
      </c>
      <c r="D37" t="s">
        <v>274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>
      <c r="C38">
        <v>11</v>
      </c>
      <c r="D38" t="s">
        <v>282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>
      <c r="C39">
        <v>12</v>
      </c>
      <c r="D39" t="s">
        <v>283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>
      <c r="C40">
        <v>13</v>
      </c>
      <c r="D40" t="s">
        <v>284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>
      <c r="C41">
        <v>14</v>
      </c>
      <c r="D41" t="s">
        <v>285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>
      <c r="C42">
        <v>15</v>
      </c>
      <c r="D42" t="s">
        <v>276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>
      <c r="C43">
        <v>17</v>
      </c>
      <c r="D43" t="s">
        <v>286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>
      <c r="C44">
        <v>18</v>
      </c>
      <c r="D44" t="s">
        <v>279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>
      <c r="C45">
        <v>19</v>
      </c>
      <c r="D45" t="s">
        <v>287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>
      <c r="C46">
        <v>20</v>
      </c>
      <c r="D46" t="s">
        <v>288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>
      <c r="C47">
        <v>21</v>
      </c>
      <c r="D47" t="s">
        <v>273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>
      <c r="C48">
        <v>23</v>
      </c>
      <c r="D48" t="s">
        <v>275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>
      <c r="C49">
        <v>24</v>
      </c>
      <c r="D49" t="s">
        <v>283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>
      <c r="C50">
        <v>25</v>
      </c>
      <c r="D50" t="s">
        <v>289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>
      <c r="C51">
        <v>26</v>
      </c>
      <c r="D51" t="s">
        <v>290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>
      <c r="C52">
        <v>27</v>
      </c>
      <c r="D52" t="s">
        <v>276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>
      <c r="C53">
        <v>28</v>
      </c>
      <c r="D53" t="s">
        <v>277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>
      <c r="C54">
        <v>30</v>
      </c>
      <c r="D54" t="s">
        <v>279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>
      <c r="C55">
        <v>31</v>
      </c>
      <c r="D55" t="s">
        <v>287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>
      <c r="C56">
        <v>32</v>
      </c>
      <c r="D56" t="s">
        <v>281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>
      <c r="C57">
        <v>33</v>
      </c>
      <c r="D57" t="s">
        <v>273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>
      <c r="C58">
        <v>34</v>
      </c>
      <c r="D58" t="s">
        <v>291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>
      <c r="C59">
        <v>35</v>
      </c>
      <c r="D59" t="s">
        <v>275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>
      <c r="C60">
        <v>37</v>
      </c>
      <c r="D60" t="s">
        <v>292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>
      <c r="C61">
        <v>38</v>
      </c>
      <c r="D61" t="s">
        <v>290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>
      <c r="C62">
        <v>39</v>
      </c>
      <c r="D62" t="s">
        <v>276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>
      <c r="C63">
        <v>40</v>
      </c>
      <c r="D63" t="s">
        <v>277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>
      <c r="C64">
        <v>41</v>
      </c>
      <c r="D64" t="s">
        <v>293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>
      <c r="C65">
        <v>43</v>
      </c>
      <c r="D65" t="s">
        <v>280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>
      <c r="C66">
        <v>44</v>
      </c>
      <c r="D66" t="s">
        <v>281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>
      <c r="C67">
        <v>45</v>
      </c>
      <c r="D67" t="s">
        <v>294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>
      <c r="C68">
        <v>46</v>
      </c>
      <c r="D68" t="s">
        <v>295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>
      <c r="C69">
        <v>47</v>
      </c>
      <c r="D69" t="s">
        <v>275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>
      <c r="C70">
        <v>48</v>
      </c>
      <c r="D70" t="s">
        <v>283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>
      <c r="C71">
        <v>50</v>
      </c>
      <c r="D71" t="s">
        <v>290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>
      <c r="C72">
        <v>51</v>
      </c>
      <c r="D72" t="s">
        <v>296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>
      <c r="C73">
        <v>52</v>
      </c>
      <c r="D73" t="s">
        <v>277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>
      <c r="C74">
        <v>53</v>
      </c>
      <c r="D74" t="s">
        <v>293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>
      <c r="C75">
        <v>54</v>
      </c>
      <c r="D75" t="s">
        <v>297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>
      <c r="C76">
        <v>55</v>
      </c>
      <c r="D76" t="s">
        <v>280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>
      <c r="C77" t="s">
        <v>298</v>
      </c>
      <c r="D77" t="s">
        <v>299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>
      <c r="C83">
        <v>0</v>
      </c>
      <c r="D83" t="s">
        <v>272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>
      <c r="C84">
        <v>0</v>
      </c>
      <c r="D84" t="s">
        <v>273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>
      <c r="C85">
        <v>0</v>
      </c>
      <c r="D85" t="s">
        <v>274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>
      <c r="C86">
        <v>1</v>
      </c>
      <c r="D86" t="s">
        <v>275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>
      <c r="C87">
        <v>3</v>
      </c>
      <c r="D87" t="s">
        <v>276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>
      <c r="C88">
        <v>4</v>
      </c>
      <c r="D88" t="s">
        <v>277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>
      <c r="C89">
        <v>5</v>
      </c>
      <c r="D89" t="s">
        <v>278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>
      <c r="C90">
        <v>6</v>
      </c>
      <c r="D90" t="s">
        <v>279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>
      <c r="C91">
        <v>7</v>
      </c>
      <c r="D91" t="s">
        <v>280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>
      <c r="C92">
        <v>8</v>
      </c>
      <c r="D92" t="s">
        <v>281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>
      <c r="C93">
        <v>10</v>
      </c>
      <c r="D93" t="s">
        <v>274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>
      <c r="C94">
        <v>11</v>
      </c>
      <c r="D94" t="s">
        <v>282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>
      <c r="C95">
        <v>12</v>
      </c>
      <c r="D95" t="s">
        <v>283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>
      <c r="C96">
        <v>13</v>
      </c>
      <c r="D96" t="s">
        <v>284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>
      <c r="C97">
        <v>14</v>
      </c>
      <c r="D97" t="s">
        <v>285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>
      <c r="C98">
        <v>15</v>
      </c>
      <c r="D98" t="s">
        <v>276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>
      <c r="C99">
        <v>17</v>
      </c>
      <c r="D99" t="s">
        <v>286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>
      <c r="C100">
        <v>18</v>
      </c>
      <c r="D100" t="s">
        <v>279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>
      <c r="C101">
        <v>19</v>
      </c>
      <c r="D101" t="s">
        <v>287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>
      <c r="C102">
        <v>20</v>
      </c>
      <c r="D102" t="s">
        <v>288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>
      <c r="C103">
        <v>21</v>
      </c>
      <c r="D103" t="s">
        <v>273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>
      <c r="C104">
        <v>23</v>
      </c>
      <c r="D104" t="s">
        <v>275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>
      <c r="C105">
        <v>24</v>
      </c>
      <c r="D105" t="s">
        <v>283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>
      <c r="C106">
        <v>25</v>
      </c>
      <c r="D106" t="s">
        <v>289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>
      <c r="C107">
        <v>26</v>
      </c>
      <c r="D107" t="s">
        <v>290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>
      <c r="C108">
        <v>27</v>
      </c>
      <c r="D108" t="s">
        <v>276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>
      <c r="C109">
        <v>28</v>
      </c>
      <c r="D109" t="s">
        <v>277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>
      <c r="C110">
        <v>30</v>
      </c>
      <c r="D110" t="s">
        <v>279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>
      <c r="C111">
        <v>31</v>
      </c>
      <c r="D111" t="s">
        <v>287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>
      <c r="C112">
        <v>32</v>
      </c>
      <c r="D112" t="s">
        <v>281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>
      <c r="C113">
        <v>33</v>
      </c>
      <c r="D113" t="s">
        <v>273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>
      <c r="C114">
        <v>34</v>
      </c>
      <c r="D114" t="s">
        <v>291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>
      <c r="C115">
        <v>35</v>
      </c>
      <c r="D115" t="s">
        <v>275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>
      <c r="C116">
        <v>37</v>
      </c>
      <c r="D116" t="s">
        <v>292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>
      <c r="C117">
        <v>38</v>
      </c>
      <c r="D117" t="s">
        <v>290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>
      <c r="C118">
        <v>39</v>
      </c>
      <c r="D118" t="s">
        <v>276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>
      <c r="C119">
        <v>40</v>
      </c>
      <c r="D119" t="s">
        <v>277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>
      <c r="C120">
        <v>41</v>
      </c>
      <c r="D120" t="s">
        <v>293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>
      <c r="C121">
        <v>43</v>
      </c>
      <c r="D121" t="s">
        <v>280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>
      <c r="C122">
        <v>44</v>
      </c>
      <c r="D122" t="s">
        <v>281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>
      <c r="C123">
        <v>45</v>
      </c>
      <c r="D123" t="s">
        <v>294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>
      <c r="C124">
        <v>46</v>
      </c>
      <c r="D124" t="s">
        <v>295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>
      <c r="C125">
        <v>47</v>
      </c>
      <c r="D125" t="s">
        <v>275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>
      <c r="C126">
        <v>48</v>
      </c>
      <c r="D126" t="s">
        <v>283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>
      <c r="C127">
        <v>50</v>
      </c>
      <c r="D127" t="s">
        <v>290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>
      <c r="C128">
        <v>51</v>
      </c>
      <c r="D128" t="s">
        <v>296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>
      <c r="C129">
        <v>52</v>
      </c>
      <c r="D129" t="s">
        <v>277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>
      <c r="C130">
        <v>53</v>
      </c>
      <c r="D130" t="s">
        <v>293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>
      <c r="C131">
        <v>54</v>
      </c>
      <c r="D131" t="s">
        <v>297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>
      <c r="C132">
        <v>55</v>
      </c>
      <c r="D132" t="s">
        <v>280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2026-07-17T01:02:36Z</dcterms:modified>
  <cp:category/>
  <cp:contentStatus/>
</cp:coreProperties>
</file>