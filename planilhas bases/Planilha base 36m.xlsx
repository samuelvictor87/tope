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7CE237E5-4C6B-4E52-AF22-128479ADFD40}" xr6:coauthVersionLast="47" xr6:coauthVersionMax="47" xr10:uidLastSave="{00000000-0000-0000-0000-000000000000}"/>
  <bookViews>
    <workbookView xWindow="11568" yWindow="12984" windowWidth="23256" windowHeight="12456" tabRatio="806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1" i="14" l="1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C41" i="14"/>
  <c r="B29" i="14"/>
  <c r="K28" i="42"/>
  <c r="AH28" i="42" s="1"/>
  <c r="I7" i="42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Y7" i="42" s="1"/>
  <c r="Z7" i="42" s="1"/>
  <c r="AA7" i="42" s="1"/>
  <c r="AB7" i="42" s="1"/>
  <c r="AC7" i="42" s="1"/>
  <c r="AD7" i="42" s="1"/>
  <c r="AE7" i="42" s="1"/>
  <c r="AF7" i="42" s="1"/>
  <c r="AG7" i="42" s="1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C88" i="14"/>
  <c r="I11" i="42" s="1"/>
  <c r="D88" i="14"/>
  <c r="J11" i="42" s="1"/>
  <c r="E88" i="14"/>
  <c r="K11" i="42" s="1"/>
  <c r="F88" i="14"/>
  <c r="L11" i="42" s="1"/>
  <c r="G88" i="14"/>
  <c r="M11" i="42" s="1"/>
  <c r="I88" i="14"/>
  <c r="O11" i="42" s="1"/>
  <c r="M88" i="14"/>
  <c r="S11" i="42" s="1"/>
  <c r="Q88" i="14"/>
  <c r="W11" i="42" s="1"/>
  <c r="S88" i="14"/>
  <c r="Y11" i="42" s="1"/>
  <c r="U88" i="14"/>
  <c r="AA11" i="42" s="1"/>
  <c r="W88" i="14"/>
  <c r="AC11" i="42" s="1"/>
  <c r="AA88" i="14"/>
  <c r="AG11" i="42" s="1"/>
  <c r="AC88" i="14"/>
  <c r="AI11" i="42" s="1"/>
  <c r="AE88" i="14"/>
  <c r="AK11" i="42" s="1"/>
  <c r="E9" i="43"/>
  <c r="E11" i="43" s="1"/>
  <c r="K15" i="42"/>
  <c r="E4" i="7"/>
  <c r="K16" i="42" s="1"/>
  <c r="G12" i="7"/>
  <c r="B32" i="8"/>
  <c r="D36" i="8" s="1"/>
  <c r="L15" i="42"/>
  <c r="L16" i="42"/>
  <c r="M15" i="42"/>
  <c r="M16" i="42"/>
  <c r="N15" i="42"/>
  <c r="N16" i="42"/>
  <c r="H55" i="14"/>
  <c r="H88" i="14" s="1"/>
  <c r="N11" i="42" s="1"/>
  <c r="O15" i="42"/>
  <c r="O16" i="42"/>
  <c r="I55" i="14"/>
  <c r="P42" i="42"/>
  <c r="P15" i="42"/>
  <c r="P16" i="42"/>
  <c r="P18" i="42"/>
  <c r="J55" i="14"/>
  <c r="J88" i="14" s="1"/>
  <c r="P11" i="42" s="1"/>
  <c r="Q42" i="42"/>
  <c r="Q15" i="42"/>
  <c r="Q16" i="42"/>
  <c r="K55" i="14"/>
  <c r="K88" i="14" s="1"/>
  <c r="Q11" i="42" s="1"/>
  <c r="R42" i="42"/>
  <c r="R15" i="42"/>
  <c r="R16" i="42"/>
  <c r="L55" i="14"/>
  <c r="L88" i="14" s="1"/>
  <c r="R11" i="42" s="1"/>
  <c r="S15" i="42"/>
  <c r="S16" i="42"/>
  <c r="M55" i="14"/>
  <c r="T15" i="42"/>
  <c r="T16" i="42"/>
  <c r="N55" i="14"/>
  <c r="N88" i="14" s="1"/>
  <c r="T11" i="42" s="1"/>
  <c r="U42" i="42"/>
  <c r="U15" i="42"/>
  <c r="U16" i="42"/>
  <c r="O55" i="14"/>
  <c r="O88" i="14" s="1"/>
  <c r="U11" i="42" s="1"/>
  <c r="V42" i="42"/>
  <c r="V15" i="42"/>
  <c r="V16" i="42"/>
  <c r="V18" i="42"/>
  <c r="P55" i="14"/>
  <c r="P88" i="14" s="1"/>
  <c r="V11" i="42" s="1"/>
  <c r="W15" i="42"/>
  <c r="E5" i="7"/>
  <c r="W16" i="42"/>
  <c r="E13" i="7"/>
  <c r="F36" i="8"/>
  <c r="Y18" i="42" s="1"/>
  <c r="W18" i="42"/>
  <c r="Q55" i="14"/>
  <c r="X15" i="42"/>
  <c r="X16" i="42"/>
  <c r="X18" i="42"/>
  <c r="R55" i="14"/>
  <c r="R88" i="14" s="1"/>
  <c r="X11" i="42" s="1"/>
  <c r="Y15" i="42"/>
  <c r="Y16" i="42"/>
  <c r="S55" i="14"/>
  <c r="Z15" i="42"/>
  <c r="Z16" i="42"/>
  <c r="Z18" i="42"/>
  <c r="T55" i="14"/>
  <c r="T88" i="14" s="1"/>
  <c r="Z11" i="42" s="1"/>
  <c r="AA42" i="42"/>
  <c r="AA15" i="42"/>
  <c r="AA16" i="42"/>
  <c r="AA18" i="42"/>
  <c r="U55" i="14"/>
  <c r="AB15" i="42"/>
  <c r="AB16" i="42"/>
  <c r="AB18" i="42"/>
  <c r="V55" i="14"/>
  <c r="V88" i="14" s="1"/>
  <c r="AB11" i="42" s="1"/>
  <c r="AC42" i="42"/>
  <c r="AC15" i="42"/>
  <c r="AC16" i="42"/>
  <c r="AC18" i="42"/>
  <c r="AC13" i="42"/>
  <c r="W55" i="14"/>
  <c r="AD15" i="42"/>
  <c r="AD16" i="42"/>
  <c r="AD18" i="42"/>
  <c r="X55" i="14"/>
  <c r="X88" i="14" s="1"/>
  <c r="AD11" i="42" s="1"/>
  <c r="AD42" i="42"/>
  <c r="AE42" i="42"/>
  <c r="AE15" i="42"/>
  <c r="AE16" i="42"/>
  <c r="AE18" i="42"/>
  <c r="Y55" i="14"/>
  <c r="Y88" i="14" s="1"/>
  <c r="AE11" i="42" s="1"/>
  <c r="AF15" i="42"/>
  <c r="AF16" i="42"/>
  <c r="AF18" i="42"/>
  <c r="AF13" i="42"/>
  <c r="Z55" i="14"/>
  <c r="Z88" i="14" s="1"/>
  <c r="AF11" i="42" s="1"/>
  <c r="AG42" i="42"/>
  <c r="AG15" i="42"/>
  <c r="AG16" i="42"/>
  <c r="AG18" i="42"/>
  <c r="AA55" i="14"/>
  <c r="AH15" i="42"/>
  <c r="AH16" i="42"/>
  <c r="AH18" i="42"/>
  <c r="AB55" i="14"/>
  <c r="AB88" i="14" s="1"/>
  <c r="AH11" i="42" s="1"/>
  <c r="AI15" i="42"/>
  <c r="AI16" i="42"/>
  <c r="H36" i="8"/>
  <c r="AI18" i="42"/>
  <c r="AC55" i="14"/>
  <c r="AJ15" i="42"/>
  <c r="AJ16" i="42"/>
  <c r="AJ18" i="42"/>
  <c r="AD55" i="14"/>
  <c r="AD88" i="14" s="1"/>
  <c r="AJ11" i="42" s="1"/>
  <c r="AK15" i="42"/>
  <c r="AK16" i="42"/>
  <c r="AK18" i="42"/>
  <c r="AE55" i="14"/>
  <c r="AL15" i="42"/>
  <c r="AL16" i="42"/>
  <c r="AL18" i="42"/>
  <c r="AF55" i="14"/>
  <c r="AF88" i="14" s="1"/>
  <c r="AL11" i="42" s="1"/>
  <c r="AM15" i="42"/>
  <c r="AM16" i="42"/>
  <c r="AM18" i="42"/>
  <c r="AG55" i="14"/>
  <c r="AG88" i="14" s="1"/>
  <c r="AM11" i="42" s="1"/>
  <c r="AN15" i="42"/>
  <c r="AN16" i="42"/>
  <c r="AN18" i="42"/>
  <c r="AH55" i="14"/>
  <c r="AH88" i="14"/>
  <c r="AN11" i="42" s="1"/>
  <c r="AO15" i="42"/>
  <c r="AO16" i="42"/>
  <c r="AO18" i="42"/>
  <c r="AI55" i="14"/>
  <c r="AI88" i="14"/>
  <c r="AO11" i="42" s="1"/>
  <c r="AP15" i="42"/>
  <c r="AP16" i="42"/>
  <c r="AP18" i="42"/>
  <c r="AP13" i="42"/>
  <c r="AJ55" i="14"/>
  <c r="AJ88" i="14" s="1"/>
  <c r="AP11" i="42" s="1"/>
  <c r="AQ15" i="42"/>
  <c r="AQ16" i="42"/>
  <c r="AQ18" i="42"/>
  <c r="AK55" i="14"/>
  <c r="AK88" i="14" s="1"/>
  <c r="AQ11" i="42" s="1"/>
  <c r="AR15" i="42"/>
  <c r="AR16" i="42"/>
  <c r="AR18" i="42"/>
  <c r="AL55" i="14"/>
  <c r="AL88" i="14"/>
  <c r="AR11" i="42" s="1"/>
  <c r="AS15" i="42"/>
  <c r="AS16" i="42"/>
  <c r="AS18" i="42"/>
  <c r="AM55" i="14"/>
  <c r="AM88" i="14"/>
  <c r="AS11" i="42" s="1"/>
  <c r="AN55" i="14"/>
  <c r="AN88" i="14" s="1"/>
  <c r="AO55" i="14"/>
  <c r="AO88" i="14"/>
  <c r="AR55" i="14"/>
  <c r="AS55" i="14"/>
  <c r="AT55" i="14"/>
  <c r="AU55" i="14"/>
  <c r="AU88" i="14" s="1"/>
  <c r="AV55" i="14"/>
  <c r="AV88" i="14" s="1"/>
  <c r="AW55" i="14"/>
  <c r="AX55" i="14"/>
  <c r="AY55" i="14"/>
  <c r="AY88" i="14" s="1"/>
  <c r="AZ55" i="14"/>
  <c r="AZ88" i="14" s="1"/>
  <c r="BA55" i="14"/>
  <c r="BB55" i="14"/>
  <c r="BC55" i="14"/>
  <c r="BC88" i="14" s="1"/>
  <c r="BD55" i="14"/>
  <c r="BD88" i="14" s="1"/>
  <c r="BE55" i="14"/>
  <c r="BF55" i="14"/>
  <c r="BG55" i="14"/>
  <c r="BG88" i="14" s="1"/>
  <c r="BH55" i="14"/>
  <c r="BH88" i="14" s="1"/>
  <c r="BI55" i="14"/>
  <c r="BJ55" i="14"/>
  <c r="BK55" i="14"/>
  <c r="BK88" i="14" s="1"/>
  <c r="BL55" i="14"/>
  <c r="BL88" i="14" s="1"/>
  <c r="AQ55" i="14"/>
  <c r="AQ88" i="14" s="1"/>
  <c r="AS88" i="14"/>
  <c r="AT88" i="14"/>
  <c r="AW88" i="14"/>
  <c r="AX88" i="14"/>
  <c r="BA88" i="14"/>
  <c r="BB88" i="14"/>
  <c r="BE88" i="14"/>
  <c r="BF88" i="14"/>
  <c r="BI88" i="14"/>
  <c r="BJ88" i="14"/>
  <c r="AT15" i="42"/>
  <c r="AT16" i="42"/>
  <c r="J36" i="8"/>
  <c r="AT18" i="42" s="1"/>
  <c r="AT11" i="42"/>
  <c r="C39" i="2"/>
  <c r="AV15" i="42"/>
  <c r="AV13" i="42"/>
  <c r="AV11" i="42"/>
  <c r="AV50" i="42"/>
  <c r="AV51" i="42"/>
  <c r="H13" i="42"/>
  <c r="B78" i="14"/>
  <c r="H50" i="42"/>
  <c r="H51" i="42"/>
  <c r="H54" i="42"/>
  <c r="I50" i="42"/>
  <c r="I51" i="42"/>
  <c r="I54" i="42"/>
  <c r="J15" i="42"/>
  <c r="J50" i="42"/>
  <c r="J51" i="42"/>
  <c r="J54" i="42"/>
  <c r="AU15" i="42"/>
  <c r="AU13" i="42" s="1"/>
  <c r="BM55" i="14"/>
  <c r="BM88" i="14"/>
  <c r="AU11" i="42" s="1"/>
  <c r="AU50" i="42"/>
  <c r="AU51" i="42"/>
  <c r="AU54" i="42"/>
  <c r="H70" i="42"/>
  <c r="G8" i="2"/>
  <c r="I13" i="43"/>
  <c r="I17" i="43"/>
  <c r="I18" i="43"/>
  <c r="I19" i="43" s="1"/>
  <c r="H20" i="43"/>
  <c r="I78" i="42"/>
  <c r="J78" i="42"/>
  <c r="J79" i="42" s="1"/>
  <c r="J80" i="42" s="1"/>
  <c r="H79" i="42"/>
  <c r="J71" i="42"/>
  <c r="J69" i="42"/>
  <c r="B39" i="14"/>
  <c r="C39" i="14"/>
  <c r="D39" i="14" s="1"/>
  <c r="E39" i="14" s="1"/>
  <c r="F39" i="14" s="1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40" i="14"/>
  <c r="C40" i="14" s="1"/>
  <c r="D40" i="14" s="1"/>
  <c r="E40" i="14" s="1"/>
  <c r="F40" i="14" s="1"/>
  <c r="G40" i="14" s="1"/>
  <c r="H40" i="14" s="1"/>
  <c r="I40" i="14" s="1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I8" i="42"/>
  <c r="J8" i="42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Y8" i="42" s="1"/>
  <c r="Z8" i="42" s="1"/>
  <c r="AA8" i="42" s="1"/>
  <c r="AB8" i="42" s="1"/>
  <c r="AC8" i="42" s="1"/>
  <c r="AD8" i="42" s="1"/>
  <c r="AE8" i="42" s="1"/>
  <c r="AF8" i="42" s="1"/>
  <c r="AG8" i="42" s="1"/>
  <c r="AH8" i="42" s="1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B5" i="6"/>
  <c r="K9" i="42"/>
  <c r="L9" i="42" s="1"/>
  <c r="M9" i="42" s="1"/>
  <c r="N9" i="42" s="1"/>
  <c r="O9" i="42" s="1"/>
  <c r="P9" i="42" s="1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AB9" i="42" s="1"/>
  <c r="AC9" i="42" s="1"/>
  <c r="AD9" i="42" s="1"/>
  <c r="AE9" i="42" s="1"/>
  <c r="AF9" i="42" s="1"/>
  <c r="AG9" i="42" s="1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G10" i="2"/>
  <c r="B46" i="14"/>
  <c r="C46" i="14" s="1"/>
  <c r="D46" i="14" s="1"/>
  <c r="E46" i="14" s="1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/>
  <c r="D47" i="14" s="1"/>
  <c r="E47" i="14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 s="1"/>
  <c r="D53" i="14"/>
  <c r="E53" i="14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 s="1"/>
  <c r="D54" i="14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/>
  <c r="D79" i="14" s="1"/>
  <c r="E79" i="14" s="1"/>
  <c r="F79" i="14" s="1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/>
  <c r="D80" i="14" s="1"/>
  <c r="E80" i="14" s="1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L80" i="14" s="1"/>
  <c r="BM80" i="14" s="1"/>
  <c r="B86" i="14"/>
  <c r="C86" i="14"/>
  <c r="D86" i="14" s="1"/>
  <c r="E86" i="14" s="1"/>
  <c r="F86" i="14" s="1"/>
  <c r="G86" i="14" s="1"/>
  <c r="H86" i="14" s="1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 s="1"/>
  <c r="F87" i="14" s="1"/>
  <c r="G87" i="14" s="1"/>
  <c r="H87" i="14" s="1"/>
  <c r="I87" i="14" s="1"/>
  <c r="J87" i="14" s="1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 s="1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 s="1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BL87" i="14" s="1"/>
  <c r="BM87" i="14" s="1"/>
  <c r="AU36" i="42"/>
  <c r="AU40" i="42" s="1"/>
  <c r="AV36" i="42"/>
  <c r="AV40" i="42"/>
  <c r="AT42" i="42"/>
  <c r="AU42" i="42"/>
  <c r="AU60" i="42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J42" i="42"/>
  <c r="K42" i="42"/>
  <c r="L42" i="42"/>
  <c r="M42" i="42"/>
  <c r="N42" i="42"/>
  <c r="O42" i="42"/>
  <c r="S42" i="42"/>
  <c r="T42" i="42"/>
  <c r="W42" i="42"/>
  <c r="X42" i="42"/>
  <c r="Y42" i="42"/>
  <c r="Z42" i="42"/>
  <c r="AB42" i="42"/>
  <c r="AF42" i="42"/>
  <c r="I36" i="42"/>
  <c r="I40" i="42" s="1"/>
  <c r="J36" i="42"/>
  <c r="J40" i="42"/>
  <c r="A36" i="2"/>
  <c r="D25" i="14"/>
  <c r="E28" i="2"/>
  <c r="C10" i="2"/>
  <c r="C20" i="2"/>
  <c r="F11" i="42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H2" i="42"/>
  <c r="H3" i="42"/>
  <c r="E6" i="7"/>
  <c r="B12" i="7"/>
  <c r="H36" i="42"/>
  <c r="H40" i="42"/>
  <c r="C51" i="14"/>
  <c r="A7" i="10"/>
  <c r="A36" i="8"/>
  <c r="H42" i="42"/>
  <c r="I60" i="42"/>
  <c r="J60" i="42"/>
  <c r="H60" i="42"/>
  <c r="H4" i="42"/>
  <c r="A30" i="14"/>
  <c r="D33" i="14"/>
  <c r="C33" i="14"/>
  <c r="D34" i="14"/>
  <c r="D30" i="14"/>
  <c r="D32" i="14"/>
  <c r="C15" i="2"/>
  <c r="G25" i="42"/>
  <c r="G51" i="14"/>
  <c r="I51" i="14" s="1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X69" i="14"/>
  <c r="Y69" i="14"/>
  <c r="Z69" i="14"/>
  <c r="AA69" i="14"/>
  <c r="AB69" i="14"/>
  <c r="AC69" i="14"/>
  <c r="AD69" i="14"/>
  <c r="B67" i="14"/>
  <c r="B19" i="14"/>
  <c r="C19" i="14" s="1"/>
  <c r="D19" i="14" s="1"/>
  <c r="E19" i="14" s="1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X20" i="14" s="1"/>
  <c r="Y20" i="14" s="1"/>
  <c r="F19" i="14"/>
  <c r="G19" i="14" s="1"/>
  <c r="H19" i="14" s="1"/>
  <c r="I19" i="14" s="1"/>
  <c r="J19" i="14" s="1"/>
  <c r="K19" i="14" s="1"/>
  <c r="L19" i="14" s="1"/>
  <c r="M19" i="14" s="1"/>
  <c r="N19" i="14" s="1"/>
  <c r="O19" i="14" s="1"/>
  <c r="X19" i="14" s="1"/>
  <c r="Y19" i="14" s="1"/>
  <c r="B17" i="14"/>
  <c r="C11" i="14"/>
  <c r="D11" i="14" s="1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D6" i="14"/>
  <c r="AE73" i="14"/>
  <c r="AF73" i="14" s="1"/>
  <c r="AG73" i="14" s="1"/>
  <c r="AH73" i="14" s="1"/>
  <c r="AI73" i="14" s="1"/>
  <c r="AJ73" i="14" s="1"/>
  <c r="D74" i="14"/>
  <c r="C67" i="14"/>
  <c r="D67" i="14" s="1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C68" i="14"/>
  <c r="D68" i="14" s="1"/>
  <c r="E68" i="14" s="1"/>
  <c r="F68" i="14" s="1"/>
  <c r="G68" i="14" s="1"/>
  <c r="H68" i="14" s="1"/>
  <c r="I68" i="14" s="1"/>
  <c r="J68" i="14" s="1"/>
  <c r="K68" i="14" s="1"/>
  <c r="L68" i="14" s="1"/>
  <c r="M68" i="14" s="1"/>
  <c r="N68" i="14" s="1"/>
  <c r="O68" i="14" s="1"/>
  <c r="X68" i="14" s="1"/>
  <c r="Y68" i="14" s="1"/>
  <c r="Z68" i="14" s="1"/>
  <c r="AA68" i="14" s="1"/>
  <c r="AB68" i="14" s="1"/>
  <c r="AC68" i="14" s="1"/>
  <c r="AD68" i="14" s="1"/>
  <c r="D6" i="8"/>
  <c r="D7" i="8"/>
  <c r="C28" i="12"/>
  <c r="C29" i="12"/>
  <c r="C30" i="12"/>
  <c r="C33" i="12" s="1"/>
  <c r="C31" i="12"/>
  <c r="C32" i="12"/>
  <c r="C27" i="12"/>
  <c r="C17" i="12"/>
  <c r="F17" i="12" s="1"/>
  <c r="C18" i="12"/>
  <c r="C19" i="12"/>
  <c r="C20" i="12"/>
  <c r="C16" i="12"/>
  <c r="C15" i="12"/>
  <c r="F15" i="12" s="1"/>
  <c r="E7" i="12"/>
  <c r="E8" i="12"/>
  <c r="E9" i="12"/>
  <c r="E10" i="12"/>
  <c r="D28" i="8"/>
  <c r="D27" i="8"/>
  <c r="D19" i="8"/>
  <c r="D18" i="8"/>
  <c r="B29" i="8"/>
  <c r="B20" i="8"/>
  <c r="C8" i="2"/>
  <c r="E27" i="12"/>
  <c r="E28" i="12"/>
  <c r="E29" i="12"/>
  <c r="E30" i="12"/>
  <c r="E31" i="12"/>
  <c r="E32" i="12"/>
  <c r="E5" i="12"/>
  <c r="E11" i="12" s="1"/>
  <c r="E6" i="12"/>
  <c r="D33" i="12"/>
  <c r="E15" i="12"/>
  <c r="E16" i="12"/>
  <c r="E17" i="12"/>
  <c r="E18" i="12"/>
  <c r="F18" i="12"/>
  <c r="E19" i="12"/>
  <c r="F19" i="12"/>
  <c r="E20" i="12"/>
  <c r="F20" i="12"/>
  <c r="E21" i="12"/>
  <c r="C21" i="12"/>
  <c r="D11" i="12"/>
  <c r="C11" i="12"/>
  <c r="B8" i="8"/>
  <c r="C5" i="6"/>
  <c r="AU45" i="42" l="1"/>
  <c r="AV45" i="42"/>
  <c r="AV59" i="42" s="1"/>
  <c r="AR13" i="42"/>
  <c r="AQ13" i="42"/>
  <c r="AN13" i="42"/>
  <c r="AM13" i="42"/>
  <c r="AE13" i="42"/>
  <c r="AD13" i="42"/>
  <c r="V13" i="42"/>
  <c r="P13" i="42"/>
  <c r="D30" i="2"/>
  <c r="C32" i="2"/>
  <c r="H29" i="2" s="1"/>
  <c r="B28" i="14"/>
  <c r="B44" i="14" s="1"/>
  <c r="W28" i="42"/>
  <c r="W36" i="42" s="1"/>
  <c r="AA28" i="42"/>
  <c r="AA54" i="42" s="1"/>
  <c r="AA60" i="42" s="1"/>
  <c r="AC28" i="42"/>
  <c r="AC50" i="42" s="1"/>
  <c r="V28" i="42"/>
  <c r="V45" i="42" s="1"/>
  <c r="R28" i="42"/>
  <c r="T28" i="42"/>
  <c r="AB28" i="42"/>
  <c r="X28" i="42"/>
  <c r="X50" i="42" s="1"/>
  <c r="M28" i="42"/>
  <c r="K50" i="42"/>
  <c r="S28" i="42"/>
  <c r="AG28" i="42"/>
  <c r="AE28" i="42"/>
  <c r="AE51" i="42" s="1"/>
  <c r="U28" i="42"/>
  <c r="P28" i="42"/>
  <c r="P45" i="42" s="1"/>
  <c r="O28" i="42"/>
  <c r="O50" i="42" s="1"/>
  <c r="N28" i="42"/>
  <c r="K54" i="42"/>
  <c r="K60" i="42" s="1"/>
  <c r="L28" i="42"/>
  <c r="L36" i="42" s="1"/>
  <c r="L40" i="42" s="1"/>
  <c r="K36" i="42"/>
  <c r="K40" i="42" s="1"/>
  <c r="AF28" i="42"/>
  <c r="AF36" i="42" s="1"/>
  <c r="AF40" i="42" s="1"/>
  <c r="AD28" i="42"/>
  <c r="AD50" i="42" s="1"/>
  <c r="Z28" i="42"/>
  <c r="Y28" i="42"/>
  <c r="Q28" i="42"/>
  <c r="Q54" i="42" s="1"/>
  <c r="Q60" i="42" s="1"/>
  <c r="K51" i="42"/>
  <c r="AT28" i="42"/>
  <c r="AH50" i="42"/>
  <c r="AN28" i="42"/>
  <c r="AN50" i="42" s="1"/>
  <c r="AP28" i="42"/>
  <c r="AS28" i="42"/>
  <c r="AL28" i="42"/>
  <c r="AL50" i="42" s="1"/>
  <c r="AQ28" i="42"/>
  <c r="AO28" i="42"/>
  <c r="AH54" i="42"/>
  <c r="AH60" i="42" s="1"/>
  <c r="AJ28" i="42"/>
  <c r="AJ50" i="42" s="1"/>
  <c r="AI28" i="42"/>
  <c r="AI36" i="42" s="1"/>
  <c r="AI40" i="42" s="1"/>
  <c r="AM28" i="42"/>
  <c r="AK28" i="42"/>
  <c r="AK51" i="42" s="1"/>
  <c r="AR28" i="42"/>
  <c r="AH51" i="42"/>
  <c r="AH36" i="42"/>
  <c r="AH40" i="42" s="1"/>
  <c r="E33" i="12"/>
  <c r="D35" i="12" s="1"/>
  <c r="C16" i="2"/>
  <c r="C12" i="2"/>
  <c r="F16" i="12"/>
  <c r="F21" i="12" s="1"/>
  <c r="D23" i="12" s="1"/>
  <c r="AU59" i="42"/>
  <c r="AU63" i="42" s="1"/>
  <c r="S18" i="42"/>
  <c r="S13" i="42" s="1"/>
  <c r="N18" i="42"/>
  <c r="O18" i="42"/>
  <c r="Q18" i="42"/>
  <c r="T18" i="42"/>
  <c r="T13" i="42" s="1"/>
  <c r="M18" i="42"/>
  <c r="R18" i="42"/>
  <c r="R13" i="42" s="1"/>
  <c r="U18" i="42"/>
  <c r="G13" i="7"/>
  <c r="E14" i="7"/>
  <c r="G14" i="7" s="1"/>
  <c r="K17" i="42"/>
  <c r="N17" i="42"/>
  <c r="N13" i="42" s="1"/>
  <c r="O17" i="42"/>
  <c r="O13" i="42" s="1"/>
  <c r="J17" i="42"/>
  <c r="J13" i="42" s="1"/>
  <c r="J45" i="42" s="1"/>
  <c r="J59" i="42" s="1"/>
  <c r="J63" i="42" s="1"/>
  <c r="M17" i="42"/>
  <c r="L17" i="42"/>
  <c r="AT13" i="42"/>
  <c r="L18" i="42"/>
  <c r="L51" i="14"/>
  <c r="AP55" i="14" s="1"/>
  <c r="AP88" i="14" s="1"/>
  <c r="AR88" i="14"/>
  <c r="AO13" i="42"/>
  <c r="Q13" i="42"/>
  <c r="K18" i="42"/>
  <c r="K13" i="42" s="1"/>
  <c r="K45" i="42" s="1"/>
  <c r="L13" i="42" l="1"/>
  <c r="X54" i="42"/>
  <c r="X60" i="42" s="1"/>
  <c r="W54" i="42"/>
  <c r="W60" i="42" s="1"/>
  <c r="C33" i="2"/>
  <c r="E22" i="2" s="1"/>
  <c r="E23" i="2" s="1"/>
  <c r="E24" i="2" s="1"/>
  <c r="E25" i="2" s="1"/>
  <c r="E26" i="2" s="1"/>
  <c r="E27" i="2" s="1"/>
  <c r="B58" i="14"/>
  <c r="B37" i="14" s="1"/>
  <c r="D36" i="14" s="1"/>
  <c r="C40" i="2"/>
  <c r="C41" i="2" s="1"/>
  <c r="AO21" i="42" s="1"/>
  <c r="H83" i="42"/>
  <c r="B7" i="10"/>
  <c r="L7" i="10" s="1"/>
  <c r="N7" i="10" s="1"/>
  <c r="AS14" i="42" s="1"/>
  <c r="AS13" i="42" s="1"/>
  <c r="AS45" i="42" s="1"/>
  <c r="W51" i="42"/>
  <c r="W50" i="42"/>
  <c r="W40" i="42"/>
  <c r="AD45" i="42"/>
  <c r="L45" i="42"/>
  <c r="S45" i="42"/>
  <c r="AO45" i="42"/>
  <c r="R45" i="42"/>
  <c r="B51" i="14"/>
  <c r="B84" i="14"/>
  <c r="AE50" i="42"/>
  <c r="V50" i="42"/>
  <c r="AN51" i="42"/>
  <c r="O45" i="42"/>
  <c r="Q50" i="42"/>
  <c r="P51" i="42"/>
  <c r="AA51" i="42"/>
  <c r="AT45" i="42"/>
  <c r="P36" i="42"/>
  <c r="P40" i="42" s="1"/>
  <c r="AA50" i="42"/>
  <c r="AE54" i="42"/>
  <c r="AE60" i="42" s="1"/>
  <c r="AN36" i="42"/>
  <c r="AN40" i="42" s="1"/>
  <c r="AF45" i="42"/>
  <c r="V36" i="42"/>
  <c r="V40" i="42" s="1"/>
  <c r="Q45" i="42"/>
  <c r="Q36" i="42"/>
  <c r="Q40" i="42" s="1"/>
  <c r="AF51" i="42"/>
  <c r="N45" i="42"/>
  <c r="Q51" i="42"/>
  <c r="AA36" i="42"/>
  <c r="AA40" i="42" s="1"/>
  <c r="AD51" i="42"/>
  <c r="AD36" i="42"/>
  <c r="AD40" i="42" s="1"/>
  <c r="AC51" i="42"/>
  <c r="AD54" i="42"/>
  <c r="AD60" i="42" s="1"/>
  <c r="AC45" i="42"/>
  <c r="AC54" i="42"/>
  <c r="AC60" i="42" s="1"/>
  <c r="AC36" i="42"/>
  <c r="AC40" i="42" s="1"/>
  <c r="T45" i="42"/>
  <c r="AJ54" i="42"/>
  <c r="AJ60" i="42" s="1"/>
  <c r="K59" i="42"/>
  <c r="K63" i="42" s="1"/>
  <c r="Y50" i="42"/>
  <c r="Y51" i="42"/>
  <c r="Y54" i="42"/>
  <c r="Y60" i="42" s="1"/>
  <c r="Y36" i="42"/>
  <c r="Y40" i="42" s="1"/>
  <c r="U51" i="42"/>
  <c r="U50" i="42"/>
  <c r="U36" i="42"/>
  <c r="U40" i="42" s="1"/>
  <c r="U54" i="42"/>
  <c r="U60" i="42" s="1"/>
  <c r="T54" i="42"/>
  <c r="T60" i="42" s="1"/>
  <c r="T36" i="42"/>
  <c r="T40" i="42" s="1"/>
  <c r="T50" i="42"/>
  <c r="T51" i="42"/>
  <c r="Z51" i="42"/>
  <c r="Z54" i="42"/>
  <c r="Z60" i="42" s="1"/>
  <c r="Z50" i="42"/>
  <c r="Z36" i="42"/>
  <c r="Z40" i="42" s="1"/>
  <c r="N50" i="42"/>
  <c r="N54" i="42"/>
  <c r="N60" i="42" s="1"/>
  <c r="N36" i="42"/>
  <c r="N40" i="42" s="1"/>
  <c r="N51" i="42"/>
  <c r="AE36" i="42"/>
  <c r="AE40" i="42" s="1"/>
  <c r="AE45" i="42"/>
  <c r="M50" i="42"/>
  <c r="M51" i="42"/>
  <c r="M36" i="42"/>
  <c r="M40" i="42" s="1"/>
  <c r="M54" i="42"/>
  <c r="M60" i="42" s="1"/>
  <c r="O51" i="42"/>
  <c r="O36" i="42"/>
  <c r="O40" i="42" s="1"/>
  <c r="O54" i="42"/>
  <c r="O60" i="42" s="1"/>
  <c r="AG54" i="42"/>
  <c r="AG60" i="42" s="1"/>
  <c r="AG51" i="42"/>
  <c r="AG36" i="42"/>
  <c r="AG40" i="42" s="1"/>
  <c r="AG50" i="42"/>
  <c r="X51" i="42"/>
  <c r="X36" i="42"/>
  <c r="X40" i="42" s="1"/>
  <c r="R50" i="42"/>
  <c r="R54" i="42"/>
  <c r="R60" i="42" s="1"/>
  <c r="R51" i="42"/>
  <c r="R36" i="42"/>
  <c r="R40" i="42" s="1"/>
  <c r="AF50" i="42"/>
  <c r="AF54" i="42"/>
  <c r="AF60" i="42" s="1"/>
  <c r="L50" i="42"/>
  <c r="L51" i="42"/>
  <c r="L54" i="42"/>
  <c r="L60" i="42" s="1"/>
  <c r="P54" i="42"/>
  <c r="P60" i="42" s="1"/>
  <c r="P50" i="42"/>
  <c r="S51" i="42"/>
  <c r="S50" i="42"/>
  <c r="S54" i="42"/>
  <c r="S60" i="42" s="1"/>
  <c r="S36" i="42"/>
  <c r="S40" i="42" s="1"/>
  <c r="AB51" i="42"/>
  <c r="AB50" i="42"/>
  <c r="AB36" i="42"/>
  <c r="AB40" i="42" s="1"/>
  <c r="AB54" i="42"/>
  <c r="AB60" i="42" s="1"/>
  <c r="V54" i="42"/>
  <c r="V60" i="42" s="1"/>
  <c r="V51" i="42"/>
  <c r="AI50" i="42"/>
  <c r="AI51" i="42"/>
  <c r="AI54" i="42"/>
  <c r="AI60" i="42" s="1"/>
  <c r="AQ50" i="42"/>
  <c r="AQ51" i="42"/>
  <c r="AQ45" i="42"/>
  <c r="AQ54" i="42"/>
  <c r="AQ60" i="42" s="1"/>
  <c r="AQ36" i="42"/>
  <c r="AQ40" i="42" s="1"/>
  <c r="AN54" i="42"/>
  <c r="AN60" i="42" s="1"/>
  <c r="AN45" i="42"/>
  <c r="AR45" i="42"/>
  <c r="AR50" i="42"/>
  <c r="AR36" i="42"/>
  <c r="AR40" i="42" s="1"/>
  <c r="AR51" i="42"/>
  <c r="AR54" i="42"/>
  <c r="AR60" i="42" s="1"/>
  <c r="AJ36" i="42"/>
  <c r="AJ40" i="42" s="1"/>
  <c r="AJ51" i="42"/>
  <c r="AL36" i="42"/>
  <c r="AL40" i="42" s="1"/>
  <c r="AL54" i="42"/>
  <c r="AL60" i="42" s="1"/>
  <c r="AL51" i="42"/>
  <c r="AK50" i="42"/>
  <c r="AK54" i="42"/>
  <c r="AK60" i="42" s="1"/>
  <c r="AK36" i="42"/>
  <c r="AK40" i="42" s="1"/>
  <c r="AS51" i="42"/>
  <c r="AS36" i="42"/>
  <c r="AS40" i="42" s="1"/>
  <c r="AS50" i="42"/>
  <c r="AS54" i="42"/>
  <c r="AS60" i="42" s="1"/>
  <c r="AT54" i="42"/>
  <c r="AT60" i="42" s="1"/>
  <c r="AT50" i="42"/>
  <c r="AT51" i="42"/>
  <c r="AT36" i="42"/>
  <c r="AT40" i="42" s="1"/>
  <c r="AM50" i="42"/>
  <c r="AM45" i="42"/>
  <c r="AM36" i="42"/>
  <c r="AM40" i="42" s="1"/>
  <c r="AM54" i="42"/>
  <c r="AM60" i="42" s="1"/>
  <c r="AM51" i="42"/>
  <c r="AO54" i="42"/>
  <c r="AO60" i="42" s="1"/>
  <c r="AO50" i="42"/>
  <c r="AO51" i="42"/>
  <c r="AO36" i="42"/>
  <c r="AO40" i="42" s="1"/>
  <c r="AP51" i="42"/>
  <c r="AP54" i="42"/>
  <c r="AP60" i="42" s="1"/>
  <c r="AP50" i="42"/>
  <c r="AP45" i="42"/>
  <c r="AP36" i="42"/>
  <c r="AP40" i="42" s="1"/>
  <c r="AI17" i="42"/>
  <c r="AI13" i="42" s="1"/>
  <c r="AI45" i="42" s="1"/>
  <c r="AK17" i="42"/>
  <c r="AK13" i="42" s="1"/>
  <c r="AK45" i="42" s="1"/>
  <c r="AH17" i="42"/>
  <c r="AH13" i="42" s="1"/>
  <c r="AH45" i="42" s="1"/>
  <c r="AH59" i="42" s="1"/>
  <c r="AH63" i="42" s="1"/>
  <c r="AJ17" i="42"/>
  <c r="AJ13" i="42" s="1"/>
  <c r="AJ45" i="42" s="1"/>
  <c r="AL17" i="42"/>
  <c r="AL13" i="42" s="1"/>
  <c r="AL45" i="42" s="1"/>
  <c r="Z17" i="42"/>
  <c r="Z13" i="42" s="1"/>
  <c r="Z45" i="42" s="1"/>
  <c r="W17" i="42"/>
  <c r="W13" i="42" s="1"/>
  <c r="W45" i="42" s="1"/>
  <c r="X17" i="42"/>
  <c r="X13" i="42" s="1"/>
  <c r="X45" i="42" s="1"/>
  <c r="AA17" i="42"/>
  <c r="AA13" i="42" s="1"/>
  <c r="AA45" i="42" s="1"/>
  <c r="Y17" i="42"/>
  <c r="Y13" i="42" s="1"/>
  <c r="Y45" i="42" s="1"/>
  <c r="AB17" i="42"/>
  <c r="AB13" i="42" s="1"/>
  <c r="AB45" i="42" s="1"/>
  <c r="M13" i="42"/>
  <c r="M45" i="42" s="1"/>
  <c r="AP21" i="42" l="1"/>
  <c r="AK21" i="42"/>
  <c r="AD21" i="42"/>
  <c r="AR21" i="42"/>
  <c r="AT21" i="42"/>
  <c r="AV21" i="42"/>
  <c r="Y21" i="42"/>
  <c r="AU21" i="42"/>
  <c r="AN21" i="42"/>
  <c r="AQ21" i="42"/>
  <c r="AM21" i="42"/>
  <c r="B65" i="14"/>
  <c r="C62" i="14"/>
  <c r="AJ21" i="42"/>
  <c r="AI21" i="42"/>
  <c r="Z21" i="42"/>
  <c r="B81" i="14"/>
  <c r="B88" i="14" s="1"/>
  <c r="H11" i="42" s="1"/>
  <c r="H45" i="42" s="1"/>
  <c r="H59" i="42" s="1"/>
  <c r="H63" i="42" s="1"/>
  <c r="AF21" i="42"/>
  <c r="W21" i="42"/>
  <c r="V21" i="42"/>
  <c r="AB21" i="42"/>
  <c r="S21" i="42"/>
  <c r="R21" i="42"/>
  <c r="P21" i="42"/>
  <c r="O21" i="42"/>
  <c r="N21" i="42"/>
  <c r="L21" i="42"/>
  <c r="K21" i="42"/>
  <c r="J21" i="42"/>
  <c r="R7" i="10"/>
  <c r="T7" i="10" s="1"/>
  <c r="AG21" i="42"/>
  <c r="C7" i="10"/>
  <c r="E7" i="10" s="1"/>
  <c r="I14" i="42" s="1"/>
  <c r="I13" i="42" s="1"/>
  <c r="I45" i="42" s="1"/>
  <c r="I59" i="42" s="1"/>
  <c r="I63" i="42" s="1"/>
  <c r="AC21" i="42"/>
  <c r="U21" i="42"/>
  <c r="Q21" i="42"/>
  <c r="H87" i="42"/>
  <c r="W59" i="42"/>
  <c r="W63" i="42" s="1"/>
  <c r="X21" i="42"/>
  <c r="AE21" i="42"/>
  <c r="AL21" i="42"/>
  <c r="AS21" i="42"/>
  <c r="M21" i="42"/>
  <c r="T21" i="42"/>
  <c r="AA21" i="42"/>
  <c r="AH21" i="42"/>
  <c r="O7" i="10"/>
  <c r="Q7" i="10" s="1"/>
  <c r="U7" i="10"/>
  <c r="W7" i="10" s="1"/>
  <c r="F7" i="10"/>
  <c r="H7" i="10" s="1"/>
  <c r="U14" i="42" s="1"/>
  <c r="U13" i="42" s="1"/>
  <c r="U45" i="42" s="1"/>
  <c r="U59" i="42" s="1"/>
  <c r="U63" i="42" s="1"/>
  <c r="I7" i="10"/>
  <c r="K7" i="10" s="1"/>
  <c r="AG14" i="42" s="1"/>
  <c r="AG13" i="42" s="1"/>
  <c r="AG45" i="42" s="1"/>
  <c r="AG59" i="42" s="1"/>
  <c r="AG63" i="42" s="1"/>
  <c r="AA59" i="42"/>
  <c r="AA63" i="42" s="1"/>
  <c r="AD59" i="42"/>
  <c r="AD63" i="42" s="1"/>
  <c r="AE59" i="42"/>
  <c r="AE63" i="42" s="1"/>
  <c r="Q59" i="42"/>
  <c r="Q63" i="42" s="1"/>
  <c r="AJ59" i="42"/>
  <c r="AJ63" i="42" s="1"/>
  <c r="AB59" i="42"/>
  <c r="AB63" i="42" s="1"/>
  <c r="Z59" i="42"/>
  <c r="Z63" i="42" s="1"/>
  <c r="AK59" i="42"/>
  <c r="AK63" i="42" s="1"/>
  <c r="AN59" i="42"/>
  <c r="AN63" i="42" s="1"/>
  <c r="AC59" i="42"/>
  <c r="AC63" i="42" s="1"/>
  <c r="V59" i="42"/>
  <c r="V63" i="42" s="1"/>
  <c r="T59" i="42"/>
  <c r="T63" i="42" s="1"/>
  <c r="AI59" i="42"/>
  <c r="AI63" i="42" s="1"/>
  <c r="O59" i="42"/>
  <c r="O63" i="42" s="1"/>
  <c r="Y59" i="42"/>
  <c r="Y63" i="42" s="1"/>
  <c r="AS59" i="42"/>
  <c r="AS63" i="42" s="1"/>
  <c r="P59" i="42"/>
  <c r="P63" i="42" s="1"/>
  <c r="S59" i="42"/>
  <c r="S63" i="42" s="1"/>
  <c r="AF59" i="42"/>
  <c r="AF63" i="42" s="1"/>
  <c r="AL59" i="42"/>
  <c r="AL63" i="42" s="1"/>
  <c r="AO59" i="42"/>
  <c r="AO63" i="42" s="1"/>
  <c r="AQ59" i="42"/>
  <c r="AQ63" i="42" s="1"/>
  <c r="L59" i="42"/>
  <c r="L63" i="42" s="1"/>
  <c r="R59" i="42"/>
  <c r="R63" i="42" s="1"/>
  <c r="M59" i="42"/>
  <c r="M63" i="42" s="1"/>
  <c r="X59" i="42"/>
  <c r="X63" i="42" s="1"/>
  <c r="N59" i="42"/>
  <c r="N63" i="42" s="1"/>
  <c r="AT59" i="42"/>
  <c r="AT63" i="42" s="1"/>
  <c r="AP59" i="42"/>
  <c r="AP63" i="42" s="1"/>
  <c r="AM59" i="42"/>
  <c r="AM63" i="42" s="1"/>
  <c r="AR59" i="42"/>
  <c r="AR63" i="42" s="1"/>
  <c r="C42" i="2" l="1"/>
  <c r="D36" i="2"/>
  <c r="E36" i="2" s="1"/>
  <c r="H84" i="42"/>
  <c r="H85" i="42" s="1"/>
  <c r="H89" i="42" s="1"/>
  <c r="H90" i="42" s="1"/>
  <c r="H92" i="42" s="1"/>
  <c r="D41" i="2"/>
  <c r="H81" i="42"/>
  <c r="H93" i="42" l="1"/>
  <c r="H94" i="42"/>
  <c r="H95" i="42" l="1"/>
  <c r="H96" i="42" s="1"/>
  <c r="AV32" i="42" s="1"/>
  <c r="AV63" i="42" s="1"/>
  <c r="H72" i="42" s="1"/>
  <c r="H74" i="42" l="1"/>
  <c r="AX63" i="42"/>
  <c r="AV42" i="42"/>
  <c r="AV60" i="42" s="1"/>
</calcChain>
</file>

<file path=xl/sharedStrings.xml><?xml version="1.0" encoding="utf-8"?>
<sst xmlns="http://schemas.openxmlformats.org/spreadsheetml/2006/main" count="487" uniqueCount="300">
  <si>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</si>
  <si>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</si>
  <si>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</si>
  <si>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</si>
  <si>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</si>
  <si>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</si>
  <si>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</si>
  <si>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</si>
  <si>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</si>
  <si>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</si>
  <si>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</si>
  <si>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</si>
  <si>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</si>
  <si>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</si>
  <si>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</si>
  <si>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</si>
  <si>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</si>
  <si>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</si>
  <si>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</si>
  <si>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</si>
  <si>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</si>
  <si>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</si>
  <si>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</si>
  <si>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</si>
  <si>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</si>
  <si>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</si>
  <si>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</si>
  <si>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</si>
  <si>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</si>
  <si>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</si>
  <si>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</si>
  <si>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</si>
  <si>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</si>
  <si>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</si>
  <si>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</si>
  <si>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</si>
  <si>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</si>
  <si>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</si>
  <si>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</si>
  <si>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</si>
  <si>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</si>
  <si>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</si>
  <si>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</si>
  <si>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</si>
  <si>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</si>
  <si>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</si>
  <si>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25.360 vtr</t>
  </si>
  <si>
    <t>Valor/un.</t>
  </si>
  <si>
    <t>Comissão Dibracam Venda usado</t>
  </si>
  <si>
    <t>Adesivos e Acessórios</t>
  </si>
  <si>
    <t>Valor/un. (fornecedor Braspeso)</t>
  </si>
  <si>
    <t>Não Finamizável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</si>
  <si>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</si>
  <si>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</si>
  <si>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</si>
  <si>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</si>
  <si>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% do Valor de Compra</t>
  </si>
  <si>
    <t>% desvalorização ao término do contrato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</si>
  <si>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</si>
  <si>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</si>
  <si>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</si>
  <si>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</si>
  <si>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</si>
  <si>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</si>
  <si>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</si>
  <si>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</si>
  <si>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</si>
  <si>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</si>
  <si>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</si>
  <si>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</si>
  <si>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</si>
  <si>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</si>
  <si>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</si>
  <si>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</si>
  <si>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</si>
  <si>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</si>
  <si>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</si>
  <si>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</si>
  <si>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</si>
  <si>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</si>
  <si>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</si>
  <si>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</si>
  <si>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</si>
  <si>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</si>
  <si>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</si>
  <si>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</si>
  <si>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</si>
  <si>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</si>
  <si>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</si>
  <si>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</si>
  <si>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</si>
  <si>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</si>
  <si>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</si>
  <si>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</si>
  <si>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</si>
  <si>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</si>
  <si>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</si>
  <si>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</si>
  <si>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</si>
  <si>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</si>
  <si>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</si>
  <si>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</si>
  <si>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</si>
  <si>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</si>
  <si>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</si>
  <si>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</si>
  <si>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</si>
  <si>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</si>
  <si>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</si>
  <si>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</si>
  <si>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</si>
  <si>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</si>
  <si>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</si>
  <si>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</si>
  <si>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</si>
  <si>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</si>
  <si>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</si>
  <si>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</si>
  <si>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</si>
  <si>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</si>
  <si>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</si>
  <si>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</si>
  <si>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</si>
  <si>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</si>
  <si>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</si>
  <si>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</si>
  <si>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</si>
  <si>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</si>
  <si>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</si>
  <si>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</si>
  <si>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</si>
  <si>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</si>
  <si>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</si>
  <si>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</si>
  <si>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</si>
  <si>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</si>
  <si>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</si>
  <si>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</si>
  <si>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</si>
  <si>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</si>
  <si>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</si>
  <si>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</si>
  <si>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</si>
  <si>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</si>
  <si>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</si>
  <si>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</si>
  <si>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</si>
  <si>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</si>
  <si>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</si>
  <si>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</si>
  <si>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</si>
  <si>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</si>
  <si>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</si>
  <si>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</si>
  <si>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</si>
  <si>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</si>
  <si>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</si>
  <si>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</si>
  <si>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</si>
  <si>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</si>
  <si>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</si>
  <si>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</si>
  <si>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</si>
  <si>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</si>
  <si>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</si>
  <si>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</si>
  <si>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</si>
  <si>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</si>
  <si>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</si>
  <si>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</si>
  <si>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</si>
  <si>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</si>
  <si>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</si>
  <si>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</si>
  <si>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</si>
  <si>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</si>
  <si>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</si>
  <si>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</si>
  <si>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</si>
  <si>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</si>
  <si>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</si>
  <si>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</si>
  <si>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</si>
  <si>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</si>
  <si>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</si>
  <si>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</si>
  <si>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</si>
  <si>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</si>
  <si>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</si>
  <si>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</si>
  <si>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</si>
  <si>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</si>
  <si>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</si>
  <si>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</si>
  <si>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</si>
  <si>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</si>
  <si>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</si>
  <si>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</si>
  <si>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</si>
  <si>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</si>
  <si>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</si>
  <si>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</si>
  <si>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</si>
  <si>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</si>
  <si>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</si>
  <si>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</si>
  <si>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</si>
  <si>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</si>
  <si>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</si>
  <si>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</si>
  <si>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</si>
  <si>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</si>
  <si>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</si>
  <si>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</si>
  <si>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</si>
  <si>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</si>
  <si>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</si>
  <si>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</si>
  <si>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</si>
  <si>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</si>
  <si>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</si>
  <si>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</si>
  <si>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</si>
  <si>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</si>
  <si>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</si>
  <si>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</si>
  <si>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</si>
  <si>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</si>
  <si>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</si>
  <si>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</si>
  <si>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</si>
  <si>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</si>
  <si>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</si>
  <si>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</si>
  <si>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</si>
  <si>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</si>
  <si>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</si>
  <si>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</si>
  <si>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</si>
  <si>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</si>
  <si>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</si>
  <si>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= R$ 800</t>
  </si>
  <si>
    <t>Cenário - Preço Venda</t>
  </si>
  <si>
    <t>Desp. 2019</t>
  </si>
  <si>
    <t>Desp. 2020 (incide em Janeiro)</t>
  </si>
  <si>
    <t>Desp. 2019 (incide em Janeiro)</t>
  </si>
  <si>
    <t>Desp. 2021 (incide em Janeiro)</t>
  </si>
  <si>
    <t>Desp. 2022 (incide em Janeiro)</t>
  </si>
  <si>
    <t>Desp. 2023 (incide em Janeiro)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</si>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</sst>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3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5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44" fontId="0" fillId="0" borderId="0" xfId="0" applyNumberFormat="1"/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8" fontId="34" fillId="0" borderId="0" xfId="0" applyNumberFormat="1" applyFont="1"/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189" builtinId="8" hidden="1"/>
    <cellStyle name="Hiperlink" xfId="197" builtinId="8" hidden="1"/>
    <cellStyle name="Hiperlink" xfId="205" builtinId="8" hidden="1"/>
    <cellStyle name="Hiperlink" xfId="213" builtinId="8" hidden="1"/>
    <cellStyle name="Hiperlink" xfId="221" builtinId="8" hidden="1"/>
    <cellStyle name="Hiperlink" xfId="229" builtinId="8" hidden="1"/>
    <cellStyle name="Hiperlink" xfId="237" builtinId="8" hidden="1"/>
    <cellStyle name="Hiperlink" xfId="245" builtinId="8" hidden="1"/>
    <cellStyle name="Hiperlink" xfId="253" builtinId="8" hidden="1"/>
    <cellStyle name="Hiperlink" xfId="261" builtinId="8" hidden="1"/>
    <cellStyle name="Hiperlink" xfId="269" builtinId="8" hidden="1"/>
    <cellStyle name="Hiperlink" xfId="277" builtinId="8" hidden="1"/>
    <cellStyle name="Hiperlink" xfId="285" builtinId="8" hidden="1"/>
    <cellStyle name="Hiperlink" xfId="293" builtinId="8" hidden="1"/>
    <cellStyle name="Hiperlink" xfId="301" builtinId="8" hidden="1"/>
    <cellStyle name="Hiperlink" xfId="309" builtinId="8" hidden="1"/>
    <cellStyle name="Hiperlink" xfId="317" builtinId="8" hidden="1"/>
    <cellStyle name="Hiperlink" xfId="325" builtinId="8" hidden="1"/>
    <cellStyle name="Hiperlink" xfId="333" builtinId="8" hidden="1"/>
    <cellStyle name="Hiperlink" xfId="341" builtinId="8" hidden="1"/>
    <cellStyle name="Hiperlink" xfId="349" builtinId="8" hidden="1"/>
    <cellStyle name="Hiperlink" xfId="357" builtinId="8" hidden="1"/>
    <cellStyle name="Hiperlink" xfId="365" builtinId="8" hidden="1"/>
    <cellStyle name="Hiperlink" xfId="373" builtinId="8" hidden="1"/>
    <cellStyle name="Hiperlink" xfId="381" builtinId="8" hidden="1"/>
    <cellStyle name="Hiperlink" xfId="389" builtinId="8" hidden="1"/>
    <cellStyle name="Hiperlink" xfId="397" builtinId="8" hidden="1"/>
    <cellStyle name="Hiperlink" xfId="405" builtinId="8" hidden="1"/>
    <cellStyle name="Hiperlink" xfId="413" builtinId="8" hidden="1"/>
    <cellStyle name="Hiperlink" xfId="421" builtinId="8" hidden="1"/>
    <cellStyle name="Hiperlink" xfId="429" builtinId="8" hidden="1"/>
    <cellStyle name="Hiperlink" xfId="437" builtinId="8" hidden="1"/>
    <cellStyle name="Hiperlink" xfId="445" builtinId="8" hidden="1"/>
    <cellStyle name="Hiperlink" xfId="453" builtinId="8" hidden="1"/>
    <cellStyle name="Hiperlink" xfId="461" builtinId="8" hidden="1"/>
    <cellStyle name="Hiperlink" xfId="469" builtinId="8" hidden="1"/>
    <cellStyle name="Hiperlink" xfId="477" builtinId="8" hidden="1"/>
    <cellStyle name="Hiperlink" xfId="485" builtinId="8" hidden="1"/>
    <cellStyle name="Hiperlink" xfId="493" builtinId="8" hidden="1"/>
    <cellStyle name="Hiperlink" xfId="501" builtinId="8" hidden="1"/>
    <cellStyle name="Hiperlink" xfId="509" builtinId="8" hidden="1"/>
    <cellStyle name="Hiperlink" xfId="517" builtinId="8" hidden="1"/>
    <cellStyle name="Hiperlink" xfId="525" builtinId="8" hidden="1"/>
    <cellStyle name="Hiperlink" xfId="533" builtinId="8" hidden="1"/>
    <cellStyle name="Hiperlink" xfId="541" builtinId="8" hidden="1"/>
    <cellStyle name="Hiperlink" xfId="549" builtinId="8" hidden="1"/>
    <cellStyle name="Hiperlink" xfId="557" builtinId="8" hidden="1"/>
    <cellStyle name="Hiperlink" xfId="565" builtinId="8" hidden="1"/>
    <cellStyle name="Hiperlink" xfId="573" builtinId="8" hidden="1"/>
    <cellStyle name="Hiperlink" xfId="581" builtinId="8" hidden="1"/>
    <cellStyle name="Hiperlink" xfId="589" builtinId="8" hidden="1"/>
    <cellStyle name="Hiperlink" xfId="597" builtinId="8" hidden="1"/>
    <cellStyle name="Hiperlink" xfId="605" builtinId="8" hidden="1"/>
    <cellStyle name="Hiperlink" xfId="613" builtinId="8" hidden="1"/>
    <cellStyle name="Hiperlink" xfId="621" builtinId="8" hidden="1"/>
    <cellStyle name="Hiperlink" xfId="629" builtinId="8" hidden="1"/>
    <cellStyle name="Hiperlink" xfId="637" builtinId="8" hidden="1"/>
    <cellStyle name="Hiperlink" xfId="645" builtinId="8" hidden="1"/>
    <cellStyle name="Hiperlink" xfId="653" builtinId="8" hidden="1"/>
    <cellStyle name="Hiperlink" xfId="661" builtinId="8" hidden="1"/>
    <cellStyle name="Hiperlink" xfId="669" builtinId="8" hidden="1"/>
    <cellStyle name="Hiperlink" xfId="677" builtinId="8" hidden="1"/>
    <cellStyle name="Hiperlink" xfId="685" builtinId="8" hidden="1"/>
    <cellStyle name="Hiperlink" xfId="693" builtinId="8" hidden="1"/>
    <cellStyle name="Hiperlink" xfId="701" builtinId="8" hidden="1"/>
    <cellStyle name="Hiperlink" xfId="709" builtinId="8" hidden="1"/>
    <cellStyle name="Hiperlink" xfId="717" builtinId="8" hidden="1"/>
    <cellStyle name="Hiperlink" xfId="725" builtinId="8" hidden="1"/>
    <cellStyle name="Hiperlink" xfId="733" builtinId="8" hidden="1"/>
    <cellStyle name="Hiperlink" xfId="741" builtinId="8" hidden="1"/>
    <cellStyle name="Hiperlink" xfId="749" builtinId="8" hidden="1"/>
    <cellStyle name="Hiperlink" xfId="757" builtinId="8" hidden="1"/>
    <cellStyle name="Hiperlink" xfId="765" builtinId="8" hidden="1"/>
    <cellStyle name="Hiperlink" xfId="763" builtinId="8" hidden="1"/>
    <cellStyle name="Hiperlink" xfId="755" builtinId="8" hidden="1"/>
    <cellStyle name="Hiperlink" xfId="747" builtinId="8" hidden="1"/>
    <cellStyle name="Hiperlink" xfId="739" builtinId="8" hidden="1"/>
    <cellStyle name="Hiperlink" xfId="731" builtinId="8" hidden="1"/>
    <cellStyle name="Hiperlink" xfId="723" builtinId="8" hidden="1"/>
    <cellStyle name="Hiperlink" xfId="715" builtinId="8" hidden="1"/>
    <cellStyle name="Hiperlink" xfId="707" builtinId="8" hidden="1"/>
    <cellStyle name="Hiperlink" xfId="699" builtinId="8" hidden="1"/>
    <cellStyle name="Hiperlink" xfId="691" builtinId="8" hidden="1"/>
    <cellStyle name="Hiperlink" xfId="683" builtinId="8" hidden="1"/>
    <cellStyle name="Hiperlink" xfId="675" builtinId="8" hidden="1"/>
    <cellStyle name="Hiperlink" xfId="667" builtinId="8" hidden="1"/>
    <cellStyle name="Hiperlink" xfId="659" builtinId="8" hidden="1"/>
    <cellStyle name="Hiperlink" xfId="651" builtinId="8" hidden="1"/>
    <cellStyle name="Hiperlink" xfId="643" builtinId="8" hidden="1"/>
    <cellStyle name="Hiperlink" xfId="635" builtinId="8" hidden="1"/>
    <cellStyle name="Hiperlink" xfId="627" builtinId="8" hidden="1"/>
    <cellStyle name="Hiperlink" xfId="619" builtinId="8" hidden="1"/>
    <cellStyle name="Hiperlink" xfId="611" builtinId="8" hidden="1"/>
    <cellStyle name="Hiperlink" xfId="603" builtinId="8" hidden="1"/>
    <cellStyle name="Hiperlink" xfId="595" builtinId="8" hidden="1"/>
    <cellStyle name="Hiperlink" xfId="587" builtinId="8" hidden="1"/>
    <cellStyle name="Hiperlink" xfId="579" builtinId="8" hidden="1"/>
    <cellStyle name="Hiperlink" xfId="571" builtinId="8" hidden="1"/>
    <cellStyle name="Hiperlink" xfId="563" builtinId="8" hidden="1"/>
    <cellStyle name="Hiperlink" xfId="555" builtinId="8" hidden="1"/>
    <cellStyle name="Hiperlink" xfId="547" builtinId="8" hidden="1"/>
    <cellStyle name="Hiperlink" xfId="539" builtinId="8" hidden="1"/>
    <cellStyle name="Hiperlink" xfId="531" builtinId="8" hidden="1"/>
    <cellStyle name="Hiperlink" xfId="523" builtinId="8" hidden="1"/>
    <cellStyle name="Hiperlink" xfId="515" builtinId="8" hidden="1"/>
    <cellStyle name="Hiperlink" xfId="507" builtinId="8" hidden="1"/>
    <cellStyle name="Hiperlink" xfId="499" builtinId="8" hidden="1"/>
    <cellStyle name="Hiperlink" xfId="491" builtinId="8" hidden="1"/>
    <cellStyle name="Hiperlink" xfId="483" builtinId="8" hidden="1"/>
    <cellStyle name="Hiperlink" xfId="475" builtinId="8" hidden="1"/>
    <cellStyle name="Hiperlink" xfId="467" builtinId="8" hidden="1"/>
    <cellStyle name="Hiperlink" xfId="459" builtinId="8" hidden="1"/>
    <cellStyle name="Hiperlink" xfId="451" builtinId="8" hidden="1"/>
    <cellStyle name="Hiperlink" xfId="443" builtinId="8" hidden="1"/>
    <cellStyle name="Hiperlink" xfId="435" builtinId="8" hidden="1"/>
    <cellStyle name="Hiperlink" xfId="427" builtinId="8" hidden="1"/>
    <cellStyle name="Hiperlink" xfId="419" builtinId="8" hidden="1"/>
    <cellStyle name="Hiperlink" xfId="411" builtinId="8" hidden="1"/>
    <cellStyle name="Hiperlink" xfId="403" builtinId="8" hidden="1"/>
    <cellStyle name="Hiperlink" xfId="395" builtinId="8" hidden="1"/>
    <cellStyle name="Hiperlink" xfId="387" builtinId="8" hidden="1"/>
    <cellStyle name="Hiperlink" xfId="379" builtinId="8" hidden="1"/>
    <cellStyle name="Hiperlink" xfId="371" builtinId="8" hidden="1"/>
    <cellStyle name="Hiperlink" xfId="363" builtinId="8" hidden="1"/>
    <cellStyle name="Hiperlink" xfId="355" builtinId="8" hidden="1"/>
    <cellStyle name="Hiperlink" xfId="347" builtinId="8" hidden="1"/>
    <cellStyle name="Hiperlink" xfId="339" builtinId="8" hidden="1"/>
    <cellStyle name="Hiperlink" xfId="331" builtinId="8" hidden="1"/>
    <cellStyle name="Hiperlink" xfId="323" builtinId="8" hidden="1"/>
    <cellStyle name="Hiperlink" xfId="315" builtinId="8" hidden="1"/>
    <cellStyle name="Hiperlink" xfId="307" builtinId="8" hidden="1"/>
    <cellStyle name="Hiperlink" xfId="299" builtinId="8" hidden="1"/>
    <cellStyle name="Hiperlink" xfId="291" builtinId="8" hidden="1"/>
    <cellStyle name="Hiperlink" xfId="283" builtinId="8" hidden="1"/>
    <cellStyle name="Hiperlink" xfId="275" builtinId="8" hidden="1"/>
    <cellStyle name="Hiperlink" xfId="267" builtinId="8" hidden="1"/>
    <cellStyle name="Hiperlink" xfId="259" builtinId="8" hidden="1"/>
    <cellStyle name="Hiperlink" xfId="251" builtinId="8" hidden="1"/>
    <cellStyle name="Hiperlink" xfId="243" builtinId="8" hidden="1"/>
    <cellStyle name="Hiperlink" xfId="235" builtinId="8" hidden="1"/>
    <cellStyle name="Hiperlink" xfId="227" builtinId="8" hidden="1"/>
    <cellStyle name="Hiperlink" xfId="219" builtinId="8" hidden="1"/>
    <cellStyle name="Hiperlink" xfId="211" builtinId="8" hidden="1"/>
    <cellStyle name="Hiperlink" xfId="203" builtinId="8" hidden="1"/>
    <cellStyle name="Hiperlink" xfId="195" builtinId="8" hidden="1"/>
    <cellStyle name="Hiperlink" xfId="187" builtinId="8" hidden="1"/>
    <cellStyle name="Hiperlink" xfId="179" builtinId="8" hidden="1"/>
    <cellStyle name="Hiperlink" xfId="171" builtinId="8" hidden="1"/>
    <cellStyle name="Hiperlink" xfId="163" builtinId="8" hidden="1"/>
    <cellStyle name="Hiperlink" xfId="155" builtinId="8" hidden="1"/>
    <cellStyle name="Hiperlink" xfId="147" builtinId="8" hidden="1"/>
    <cellStyle name="Hiperlink" xfId="139" builtinId="8" hidden="1"/>
    <cellStyle name="Hiperlink" xfId="131" builtinId="8" hidden="1"/>
    <cellStyle name="Hiperlink" xfId="123" builtinId="8" hidden="1"/>
    <cellStyle name="Hiperlink" xfId="115" builtinId="8" hidden="1"/>
    <cellStyle name="Hiperlink" xfId="107" builtinId="8" hidden="1"/>
    <cellStyle name="Hiperlink" xfId="99" builtinId="8" hidden="1"/>
    <cellStyle name="Hiperlink" xfId="91" builtinId="8" hidden="1"/>
    <cellStyle name="Hiperlink" xfId="83" builtinId="8" hidden="1"/>
    <cellStyle name="Hiperlink" xfId="75" builtinId="8" hidden="1"/>
    <cellStyle name="Hiperlink" xfId="67" builtinId="8" hidden="1"/>
    <cellStyle name="Hiperlink" xfId="23" builtinId="8" hidden="1"/>
    <cellStyle name="Hiperlink" xfId="29" builtinId="8" hidden="1"/>
    <cellStyle name="Hiperlink" xfId="33" builtinId="8" hidden="1"/>
    <cellStyle name="Hiperlink" xfId="39" builtinId="8" hidden="1"/>
    <cellStyle name="Hiperlink" xfId="45" builtinId="8" hidden="1"/>
    <cellStyle name="Hiperlink" xfId="49" builtinId="8" hidden="1"/>
    <cellStyle name="Hiperlink" xfId="55" builtinId="8" hidden="1"/>
    <cellStyle name="Hiperlink" xfId="61" builtinId="8" hidden="1"/>
    <cellStyle name="Hiperlink" xfId="51" builtinId="8" hidden="1"/>
    <cellStyle name="Hiperlink" xfId="35" builtinId="8" hidden="1"/>
    <cellStyle name="Hiperlink" xfId="11" builtinId="8" hidden="1"/>
    <cellStyle name="Hiperlink" xfId="15" builtinId="8" hidden="1"/>
    <cellStyle name="Hiperlink" xfId="21" builtinId="8" hidden="1"/>
    <cellStyle name="Hiperlink" xfId="7" builtinId="8" hidden="1"/>
    <cellStyle name="Hiperlink" xfId="5" builtinId="8" hidden="1"/>
    <cellStyle name="Hiperlink" xfId="3" builtinId="8" hidden="1"/>
    <cellStyle name="Hiperlink" xfId="9" builtinId="8" hidden="1"/>
    <cellStyle name="Hiperlink" xfId="19" builtinId="8" hidden="1"/>
    <cellStyle name="Hiperlink" xfId="17" builtinId="8" hidden="1"/>
    <cellStyle name="Hiperlink" xfId="13" builtinId="8" hidden="1"/>
    <cellStyle name="Hiperlink" xfId="27" builtinId="8" hidden="1"/>
    <cellStyle name="Hiperlink" xfId="43" builtinId="8" hidden="1"/>
    <cellStyle name="Hiperlink" xfId="59" builtinId="8" hidden="1"/>
    <cellStyle name="Hiperlink" xfId="57" builtinId="8" hidden="1"/>
    <cellStyle name="Hiperlink" xfId="53" builtinId="8" hidden="1"/>
    <cellStyle name="Hiperlink" xfId="47" builtinId="8" hidden="1"/>
    <cellStyle name="Hiperlink" xfId="41" builtinId="8" hidden="1"/>
    <cellStyle name="Hiperlink" xfId="37" builtinId="8" hidden="1"/>
    <cellStyle name="Hiperlink" xfId="31" builtinId="8" hidden="1"/>
    <cellStyle name="Hiperlink" xfId="25" builtinId="8" hidden="1"/>
    <cellStyle name="Hiperlink" xfId="63" builtinId="8" hidden="1"/>
    <cellStyle name="Hiperlink" xfId="71" builtinId="8" hidden="1"/>
    <cellStyle name="Hiperlink" xfId="79" builtinId="8" hidden="1"/>
    <cellStyle name="Hiperlink" xfId="87" builtinId="8" hidden="1"/>
    <cellStyle name="Hiperlink" xfId="95" builtinId="8" hidden="1"/>
    <cellStyle name="Hiperlink" xfId="103" builtinId="8" hidden="1"/>
    <cellStyle name="Hiperlink" xfId="111" builtinId="8" hidden="1"/>
    <cellStyle name="Hiperlink" xfId="119" builtinId="8" hidden="1"/>
    <cellStyle name="Hiperlink" xfId="127" builtinId="8" hidden="1"/>
    <cellStyle name="Hiperlink" xfId="135" builtinId="8" hidden="1"/>
    <cellStyle name="Hiperlink" xfId="143" builtinId="8" hidden="1"/>
    <cellStyle name="Hiperlink" xfId="151" builtinId="8" hidden="1"/>
    <cellStyle name="Hiperlink" xfId="159" builtinId="8" hidden="1"/>
    <cellStyle name="Hiperlink" xfId="167" builtinId="8" hidden="1"/>
    <cellStyle name="Hiperlink" xfId="175" builtinId="8" hidden="1"/>
    <cellStyle name="Hiperlink" xfId="183" builtinId="8" hidden="1"/>
    <cellStyle name="Hiperlink" xfId="191" builtinId="8" hidden="1"/>
    <cellStyle name="Hiperlink" xfId="199" builtinId="8" hidden="1"/>
    <cellStyle name="Hiperlink" xfId="207" builtinId="8" hidden="1"/>
    <cellStyle name="Hiperlink" xfId="215" builtinId="8" hidden="1"/>
    <cellStyle name="Hiperlink" xfId="223" builtinId="8" hidden="1"/>
    <cellStyle name="Hiperlink" xfId="231" builtinId="8" hidden="1"/>
    <cellStyle name="Hiperlink" xfId="239" builtinId="8" hidden="1"/>
    <cellStyle name="Hiperlink" xfId="247" builtinId="8" hidden="1"/>
    <cellStyle name="Hiperlink" xfId="255" builtinId="8" hidden="1"/>
    <cellStyle name="Hiperlink" xfId="263" builtinId="8" hidden="1"/>
    <cellStyle name="Hiperlink" xfId="271" builtinId="8" hidden="1"/>
    <cellStyle name="Hiperlink" xfId="279" builtinId="8" hidden="1"/>
    <cellStyle name="Hiperlink" xfId="287" builtinId="8" hidden="1"/>
    <cellStyle name="Hiperlink" xfId="295" builtinId="8" hidden="1"/>
    <cellStyle name="Hiperlink" xfId="303" builtinId="8" hidden="1"/>
    <cellStyle name="Hiperlink" xfId="311" builtinId="8" hidden="1"/>
    <cellStyle name="Hiperlink" xfId="319" builtinId="8" hidden="1"/>
    <cellStyle name="Hiperlink" xfId="327" builtinId="8" hidden="1"/>
    <cellStyle name="Hiperlink" xfId="335" builtinId="8" hidden="1"/>
    <cellStyle name="Hiperlink" xfId="343" builtinId="8" hidden="1"/>
    <cellStyle name="Hiperlink" xfId="351" builtinId="8" hidden="1"/>
    <cellStyle name="Hiperlink" xfId="359" builtinId="8" hidden="1"/>
    <cellStyle name="Hiperlink" xfId="367" builtinId="8" hidden="1"/>
    <cellStyle name="Hiperlink" xfId="375" builtinId="8" hidden="1"/>
    <cellStyle name="Hiperlink" xfId="383" builtinId="8" hidden="1"/>
    <cellStyle name="Hiperlink" xfId="391" builtinId="8" hidden="1"/>
    <cellStyle name="Hiperlink" xfId="399" builtinId="8" hidden="1"/>
    <cellStyle name="Hiperlink" xfId="407" builtinId="8" hidden="1"/>
    <cellStyle name="Hiperlink" xfId="415" builtinId="8" hidden="1"/>
    <cellStyle name="Hiperlink" xfId="423" builtinId="8" hidden="1"/>
    <cellStyle name="Hiperlink" xfId="431" builtinId="8" hidden="1"/>
    <cellStyle name="Hiperlink" xfId="439" builtinId="8" hidden="1"/>
    <cellStyle name="Hiperlink" xfId="447" builtinId="8" hidden="1"/>
    <cellStyle name="Hiperlink" xfId="455" builtinId="8" hidden="1"/>
    <cellStyle name="Hiperlink" xfId="463" builtinId="8" hidden="1"/>
    <cellStyle name="Hiperlink" xfId="471" builtinId="8" hidden="1"/>
    <cellStyle name="Hiperlink" xfId="479" builtinId="8" hidden="1"/>
    <cellStyle name="Hiperlink" xfId="487" builtinId="8" hidden="1"/>
    <cellStyle name="Hiperlink" xfId="495" builtinId="8" hidden="1"/>
    <cellStyle name="Hiperlink" xfId="503" builtinId="8" hidden="1"/>
    <cellStyle name="Hiperlink" xfId="511" builtinId="8" hidden="1"/>
    <cellStyle name="Hiperlink" xfId="519" builtinId="8" hidden="1"/>
    <cellStyle name="Hiperlink" xfId="527" builtinId="8" hidden="1"/>
    <cellStyle name="Hiperlink" xfId="535" builtinId="8" hidden="1"/>
    <cellStyle name="Hiperlink" xfId="543" builtinId="8" hidden="1"/>
    <cellStyle name="Hiperlink" xfId="551" builtinId="8" hidden="1"/>
    <cellStyle name="Hiperlink" xfId="559" builtinId="8" hidden="1"/>
    <cellStyle name="Hiperlink" xfId="567" builtinId="8" hidden="1"/>
    <cellStyle name="Hiperlink" xfId="575" builtinId="8" hidden="1"/>
    <cellStyle name="Hiperlink" xfId="583" builtinId="8" hidden="1"/>
    <cellStyle name="Hiperlink" xfId="591" builtinId="8" hidden="1"/>
    <cellStyle name="Hiperlink" xfId="599" builtinId="8" hidden="1"/>
    <cellStyle name="Hiperlink" xfId="607" builtinId="8" hidden="1"/>
    <cellStyle name="Hiperlink" xfId="615" builtinId="8" hidden="1"/>
    <cellStyle name="Hiperlink" xfId="623" builtinId="8" hidden="1"/>
    <cellStyle name="Hiperlink" xfId="631" builtinId="8" hidden="1"/>
    <cellStyle name="Hiperlink" xfId="639" builtinId="8" hidden="1"/>
    <cellStyle name="Hiperlink" xfId="647" builtinId="8" hidden="1"/>
    <cellStyle name="Hiperlink" xfId="655" builtinId="8" hidden="1"/>
    <cellStyle name="Hiperlink" xfId="663" builtinId="8" hidden="1"/>
    <cellStyle name="Hiperlink" xfId="671" builtinId="8" hidden="1"/>
    <cellStyle name="Hiperlink" xfId="679" builtinId="8" hidden="1"/>
    <cellStyle name="Hiperlink" xfId="687" builtinId="8" hidden="1"/>
    <cellStyle name="Hiperlink" xfId="695" builtinId="8" hidden="1"/>
    <cellStyle name="Hiperlink" xfId="703" builtinId="8" hidden="1"/>
    <cellStyle name="Hiperlink" xfId="711" builtinId="8" hidden="1"/>
    <cellStyle name="Hiperlink" xfId="719" builtinId="8" hidden="1"/>
    <cellStyle name="Hiperlink" xfId="727" builtinId="8" hidden="1"/>
    <cellStyle name="Hiperlink" xfId="735" builtinId="8" hidden="1"/>
    <cellStyle name="Hiperlink" xfId="743" builtinId="8" hidden="1"/>
    <cellStyle name="Hiperlink" xfId="751" builtinId="8" hidden="1"/>
    <cellStyle name="Hiperlink" xfId="759" builtinId="8" hidden="1"/>
    <cellStyle name="Hiperlink" xfId="767" builtinId="8" hidden="1"/>
    <cellStyle name="Hiperlink" xfId="761" builtinId="8" hidden="1"/>
    <cellStyle name="Hiperlink" xfId="753" builtinId="8" hidden="1"/>
    <cellStyle name="Hiperlink" xfId="745" builtinId="8" hidden="1"/>
    <cellStyle name="Hiperlink" xfId="737" builtinId="8" hidden="1"/>
    <cellStyle name="Hiperlink" xfId="729" builtinId="8" hidden="1"/>
    <cellStyle name="Hiperlink" xfId="721" builtinId="8" hidden="1"/>
    <cellStyle name="Hiperlink" xfId="713" builtinId="8" hidden="1"/>
    <cellStyle name="Hiperlink" xfId="705" builtinId="8" hidden="1"/>
    <cellStyle name="Hiperlink" xfId="697" builtinId="8" hidden="1"/>
    <cellStyle name="Hiperlink" xfId="689" builtinId="8" hidden="1"/>
    <cellStyle name="Hiperlink" xfId="681" builtinId="8" hidden="1"/>
    <cellStyle name="Hiperlink" xfId="673" builtinId="8" hidden="1"/>
    <cellStyle name="Hiperlink" xfId="665" builtinId="8" hidden="1"/>
    <cellStyle name="Hiperlink" xfId="657" builtinId="8" hidden="1"/>
    <cellStyle name="Hiperlink" xfId="649" builtinId="8" hidden="1"/>
    <cellStyle name="Hiperlink" xfId="641" builtinId="8" hidden="1"/>
    <cellStyle name="Hiperlink" xfId="633" builtinId="8" hidden="1"/>
    <cellStyle name="Hiperlink" xfId="625" builtinId="8" hidden="1"/>
    <cellStyle name="Hiperlink" xfId="617" builtinId="8" hidden="1"/>
    <cellStyle name="Hiperlink" xfId="609" builtinId="8" hidden="1"/>
    <cellStyle name="Hiperlink" xfId="601" builtinId="8" hidden="1"/>
    <cellStyle name="Hiperlink" xfId="593" builtinId="8" hidden="1"/>
    <cellStyle name="Hiperlink" xfId="585" builtinId="8" hidden="1"/>
    <cellStyle name="Hiperlink" xfId="577" builtinId="8" hidden="1"/>
    <cellStyle name="Hiperlink" xfId="569" builtinId="8" hidden="1"/>
    <cellStyle name="Hiperlink" xfId="561" builtinId="8" hidden="1"/>
    <cellStyle name="Hiperlink" xfId="553" builtinId="8" hidden="1"/>
    <cellStyle name="Hiperlink" xfId="545" builtinId="8" hidden="1"/>
    <cellStyle name="Hiperlink" xfId="537" builtinId="8" hidden="1"/>
    <cellStyle name="Hiperlink" xfId="529" builtinId="8" hidden="1"/>
    <cellStyle name="Hiperlink" xfId="521" builtinId="8" hidden="1"/>
    <cellStyle name="Hiperlink" xfId="513" builtinId="8" hidden="1"/>
    <cellStyle name="Hiperlink" xfId="505" builtinId="8" hidden="1"/>
    <cellStyle name="Hiperlink" xfId="497" builtinId="8" hidden="1"/>
    <cellStyle name="Hiperlink" xfId="489" builtinId="8" hidden="1"/>
    <cellStyle name="Hiperlink" xfId="481" builtinId="8" hidden="1"/>
    <cellStyle name="Hiperlink" xfId="473" builtinId="8" hidden="1"/>
    <cellStyle name="Hiperlink" xfId="465" builtinId="8" hidden="1"/>
    <cellStyle name="Hiperlink" xfId="457" builtinId="8" hidden="1"/>
    <cellStyle name="Hiperlink" xfId="449" builtinId="8" hidden="1"/>
    <cellStyle name="Hiperlink" xfId="441" builtinId="8" hidden="1"/>
    <cellStyle name="Hiperlink" xfId="433" builtinId="8" hidden="1"/>
    <cellStyle name="Hiperlink" xfId="425" builtinId="8" hidden="1"/>
    <cellStyle name="Hiperlink" xfId="417" builtinId="8" hidden="1"/>
    <cellStyle name="Hiperlink" xfId="409" builtinId="8" hidden="1"/>
    <cellStyle name="Hiperlink" xfId="401" builtinId="8" hidden="1"/>
    <cellStyle name="Hiperlink" xfId="393" builtinId="8" hidden="1"/>
    <cellStyle name="Hiperlink" xfId="385" builtinId="8" hidden="1"/>
    <cellStyle name="Hiperlink" xfId="377" builtinId="8" hidden="1"/>
    <cellStyle name="Hiperlink" xfId="369" builtinId="8" hidden="1"/>
    <cellStyle name="Hiperlink" xfId="361" builtinId="8" hidden="1"/>
    <cellStyle name="Hiperlink" xfId="353" builtinId="8" hidden="1"/>
    <cellStyle name="Hiperlink" xfId="345" builtinId="8" hidden="1"/>
    <cellStyle name="Hiperlink" xfId="337" builtinId="8" hidden="1"/>
    <cellStyle name="Hiperlink" xfId="329" builtinId="8" hidden="1"/>
    <cellStyle name="Hiperlink" xfId="321" builtinId="8" hidden="1"/>
    <cellStyle name="Hiperlink" xfId="313" builtinId="8" hidden="1"/>
    <cellStyle name="Hiperlink" xfId="305" builtinId="8" hidden="1"/>
    <cellStyle name="Hiperlink" xfId="297" builtinId="8" hidden="1"/>
    <cellStyle name="Hiperlink" xfId="289" builtinId="8" hidden="1"/>
    <cellStyle name="Hiperlink" xfId="281" builtinId="8" hidden="1"/>
    <cellStyle name="Hiperlink" xfId="273" builtinId="8" hidden="1"/>
    <cellStyle name="Hiperlink" xfId="265" builtinId="8" hidden="1"/>
    <cellStyle name="Hiperlink" xfId="257" builtinId="8" hidden="1"/>
    <cellStyle name="Hiperlink" xfId="249" builtinId="8" hidden="1"/>
    <cellStyle name="Hiperlink" xfId="241" builtinId="8" hidden="1"/>
    <cellStyle name="Hiperlink" xfId="233" builtinId="8" hidden="1"/>
    <cellStyle name="Hiperlink" xfId="225" builtinId="8" hidden="1"/>
    <cellStyle name="Hiperlink" xfId="217" builtinId="8" hidden="1"/>
    <cellStyle name="Hiperlink" xfId="209" builtinId="8" hidden="1"/>
    <cellStyle name="Hiperlink" xfId="201" builtinId="8" hidden="1"/>
    <cellStyle name="Hiperlink" xfId="193" builtinId="8" hidden="1"/>
    <cellStyle name="Hiperlink" xfId="185" builtinId="8" hidden="1"/>
    <cellStyle name="Hiperlink" xfId="105" builtinId="8" hidden="1"/>
    <cellStyle name="Hiperlink" xfId="109" builtinId="8" hidden="1"/>
    <cellStyle name="Hiperlink" xfId="117" builtinId="8" hidden="1"/>
    <cellStyle name="Hiperlink" xfId="121" builtinId="8" hidden="1"/>
    <cellStyle name="Hiperlink" xfId="125" builtinId="8" hidden="1"/>
    <cellStyle name="Hiperlink" xfId="133" builtinId="8" hidden="1"/>
    <cellStyle name="Hiperlink" xfId="137" builtinId="8" hidden="1"/>
    <cellStyle name="Hiperlink" xfId="141" builtinId="8" hidden="1"/>
    <cellStyle name="Hiperlink" xfId="149" builtinId="8" hidden="1"/>
    <cellStyle name="Hiperlink" xfId="153" builtinId="8" hidden="1"/>
    <cellStyle name="Hiperlink" xfId="157" builtinId="8" hidden="1"/>
    <cellStyle name="Hiperlink" xfId="165" builtinId="8" hidden="1"/>
    <cellStyle name="Hiperlink" xfId="169" builtinId="8" hidden="1"/>
    <cellStyle name="Hiperlink" xfId="173" builtinId="8" hidden="1"/>
    <cellStyle name="Hiperlink" xfId="181" builtinId="8" hidden="1"/>
    <cellStyle name="Hiperlink" xfId="177" builtinId="8" hidden="1"/>
    <cellStyle name="Hiperlink" xfId="161" builtinId="8" hidden="1"/>
    <cellStyle name="Hiperlink" xfId="145" builtinId="8" hidden="1"/>
    <cellStyle name="Hiperlink" xfId="129" builtinId="8" hidden="1"/>
    <cellStyle name="Hiperlink" xfId="113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101" builtinId="8" hidden="1"/>
    <cellStyle name="Hiperlink" xfId="97" builtinId="8" hidden="1"/>
    <cellStyle name="Hiperlink" xfId="73" builtinId="8" hidden="1"/>
    <cellStyle name="Hiperlink" xfId="77" builtinId="8" hidden="1"/>
    <cellStyle name="Hiperlink" xfId="69" builtinId="8" hidden="1"/>
    <cellStyle name="Hiperlink" xfId="65" builtinId="8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4" builtinId="9" hidden="1"/>
    <cellStyle name="Hiperlink Visitado" xfId="8" builtinId="9" hidden="1"/>
    <cellStyle name="Hiperlink Visitado" xfId="10" builtinId="9" hidden="1"/>
    <cellStyle name="Hiperlink Visitado" xfId="22" builtinId="9" hidden="1"/>
    <cellStyle name="Hiperlink Visitado" xfId="56" builtinId="9" hidden="1"/>
    <cellStyle name="Hiperlink Visitado" xfId="48" builtinId="9" hidden="1"/>
    <cellStyle name="Hiperlink Visitado" xfId="40" builtinId="9" hidden="1"/>
    <cellStyle name="Hiperlink Visitado" xfId="32" builtinId="9" hidden="1"/>
    <cellStyle name="Hiperlink Visitado" xfId="120" builtinId="9" hidden="1"/>
    <cellStyle name="Hiperlink Visitado" xfId="112" builtinId="9" hidden="1"/>
    <cellStyle name="Hiperlink Visitado" xfId="104" builtinId="9" hidden="1"/>
    <cellStyle name="Hiperlink Visitado" xfId="94" builtinId="9" hidden="1"/>
    <cellStyle name="Hiperlink Visitado" xfId="86" builtinId="9" hidden="1"/>
    <cellStyle name="Hiperlink Visitado" xfId="78" builtinId="9" hidden="1"/>
    <cellStyle name="Hiperlink Visitado" xfId="68" builtinId="9" hidden="1"/>
    <cellStyle name="Hiperlink Visitado" xfId="60" builtinId="9" hidden="1"/>
    <cellStyle name="Hiperlink Visitado" xfId="166" builtinId="9" hidden="1"/>
    <cellStyle name="Hiperlink Visitado" xfId="230" builtinId="9" hidden="1"/>
    <cellStyle name="Hiperlink Visitado" xfId="274" builtinId="9" hidden="1"/>
    <cellStyle name="Hiperlink Visitado" xfId="266" builtinId="9" hidden="1"/>
    <cellStyle name="Hiperlink Visitado" xfId="256" builtinId="9" hidden="1"/>
    <cellStyle name="Hiperlink Visitado" xfId="248" builtinId="9" hidden="1"/>
    <cellStyle name="Hiperlink Visitado" xfId="238" builtinId="9" hidden="1"/>
    <cellStyle name="Hiperlink Visitado" xfId="228" builtinId="9" hidden="1"/>
    <cellStyle name="Hiperlink Visitado" xfId="220" builtinId="9" hidden="1"/>
    <cellStyle name="Hiperlink Visitado" xfId="210" builtinId="9" hidden="1"/>
    <cellStyle name="Hiperlink Visitado" xfId="202" builtinId="9" hidden="1"/>
    <cellStyle name="Hiperlink Visitado" xfId="192" builtinId="9" hidden="1"/>
    <cellStyle name="Hiperlink Visitado" xfId="184" builtinId="9" hidden="1"/>
    <cellStyle name="Hiperlink Visitado" xfId="174" builtinId="9" hidden="1"/>
    <cellStyle name="Hiperlink Visitado" xfId="164" builtinId="9" hidden="1"/>
    <cellStyle name="Hiperlink Visitado" xfId="156" builtinId="9" hidden="1"/>
    <cellStyle name="Hiperlink Visitado" xfId="146" builtinId="9" hidden="1"/>
    <cellStyle name="Hiperlink Visitado" xfId="138" builtinId="9" hidden="1"/>
    <cellStyle name="Hiperlink Visitado" xfId="128" builtinId="9" hidden="1"/>
    <cellStyle name="Hiperlink Visitado" xfId="278" builtinId="9" hidden="1"/>
    <cellStyle name="Hiperlink Visitado" xfId="310" builtinId="9" hidden="1"/>
    <cellStyle name="Hiperlink Visitado" xfId="342" builtinId="9" hidden="1"/>
    <cellStyle name="Hiperlink Visitado" xfId="374" builtinId="9" hidden="1"/>
    <cellStyle name="Hiperlink Visitado" xfId="406" builtinId="9" hidden="1"/>
    <cellStyle name="Hiperlink Visitado" xfId="438" builtinId="9" hidden="1"/>
    <cellStyle name="Hiperlink Visitado" xfId="470" builtinId="9" hidden="1"/>
    <cellStyle name="Hiperlink Visitado" xfId="502" builtinId="9" hidden="1"/>
    <cellStyle name="Hiperlink Visitado" xfId="534" builtinId="9" hidden="1"/>
    <cellStyle name="Hiperlink Visitado" xfId="566" builtinId="9" hidden="1"/>
    <cellStyle name="Hiperlink Visitado" xfId="598" builtinId="9" hidden="1"/>
    <cellStyle name="Hiperlink Visitado" xfId="630" builtinId="9" hidden="1"/>
    <cellStyle name="Hiperlink Visitado" xfId="662" builtinId="9" hidden="1"/>
    <cellStyle name="Hiperlink Visitado" xfId="694" builtinId="9" hidden="1"/>
    <cellStyle name="Hiperlink Visitado" xfId="726" builtinId="9" hidden="1"/>
    <cellStyle name="Hiperlink Visitado" xfId="758" builtinId="9" hidden="1"/>
    <cellStyle name="Hiperlink Visitado" xfId="762" builtinId="9" hidden="1"/>
    <cellStyle name="Hiperlink Visitado" xfId="752" builtinId="9" hidden="1"/>
    <cellStyle name="Hiperlink Visitado" xfId="740" builtinId="9" hidden="1"/>
    <cellStyle name="Hiperlink Visitado" xfId="730" builtinId="9" hidden="1"/>
    <cellStyle name="Hiperlink Visitado" xfId="720" builtinId="9" hidden="1"/>
    <cellStyle name="Hiperlink Visitado" xfId="708" builtinId="9" hidden="1"/>
    <cellStyle name="Hiperlink Visitado" xfId="698" builtinId="9" hidden="1"/>
    <cellStyle name="Hiperlink Visitado" xfId="688" builtinId="9" hidden="1"/>
    <cellStyle name="Hiperlink Visitado" xfId="676" builtinId="9" hidden="1"/>
    <cellStyle name="Hiperlink Visitado" xfId="666" builtinId="9" hidden="1"/>
    <cellStyle name="Hiperlink Visitado" xfId="656" builtinId="9" hidden="1"/>
    <cellStyle name="Hiperlink Visitado" xfId="64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24" builtinId="9" hidden="1"/>
    <cellStyle name="Hiperlink Visitado" xfId="602" builtinId="9" hidden="1"/>
    <cellStyle name="Hiperlink Visitado" xfId="580" builtinId="9" hidden="1"/>
    <cellStyle name="Hiperlink Visitado" xfId="560" builtinId="9" hidden="1"/>
    <cellStyle name="Hiperlink Visitado" xfId="538" builtinId="9" hidden="1"/>
    <cellStyle name="Hiperlink Visitado" xfId="516" builtinId="9" hidden="1"/>
    <cellStyle name="Hiperlink Visitado" xfId="496" builtinId="9" hidden="1"/>
    <cellStyle name="Hiperlink Visitado" xfId="474" builtinId="9" hidden="1"/>
    <cellStyle name="Hiperlink Visitado" xfId="452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10" builtinId="9" hidden="1"/>
    <cellStyle name="Hiperlink Visitado" xfId="368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82" builtinId="9" hidden="1"/>
    <cellStyle name="Hiperlink Visitado" xfId="284" builtinId="9" hidden="1"/>
    <cellStyle name="Hiperlink Visitado" xfId="280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787400</xdr:colOff>
      <xdr:row>23</xdr:row>
      <xdr:rowOff>190500</xdr:rowOff>
    </xdr:from>
    <xdr:to>
      <xdr:col>12</xdr:col>
      <xdr:colOff>495300</xdr:colOff>
      <xdr:row>34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E59EBC-F25D-DBBF-52BD-B8D7FA994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0" y="1600200"/>
          <a:ext cx="5715000" cy="378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5" workbookViewId="0">
      <selection activeCell="C36" sqref="C36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42" t="s">
        <v>0</v>
      </c>
      <c r="B1" s="242"/>
      <c r="C1" s="242"/>
    </row>
    <row r="2" spans="1:15" ht="15" customHeight="1" x14ac:dyDescent="0.25">
      <c r="A2" s="242"/>
      <c r="B2" s="242"/>
      <c r="C2" s="242"/>
      <c r="F2" t="s">
        <v>1</v>
      </c>
      <c r="H2" s="214">
        <v>125000</v>
      </c>
    </row>
    <row r="3" spans="1:15" ht="15" customHeight="1" x14ac:dyDescent="0.25">
      <c r="A3" s="242"/>
      <c r="B3" s="242"/>
      <c r="C3" s="242"/>
      <c r="F3" t="s">
        <v>2</v>
      </c>
      <c r="H3" s="84">
        <v>137000</v>
      </c>
    </row>
    <row r="4" spans="1:15" ht="15" customHeight="1" x14ac:dyDescent="0.25">
      <c r="A4" s="242"/>
      <c r="B4" s="242"/>
      <c r="C4" s="242"/>
      <c r="F4" t="s">
        <v>3</v>
      </c>
    </row>
    <row r="5" spans="1:15" ht="15" customHeight="1" x14ac:dyDescent="0.25">
      <c r="A5" s="243" t="s">
        <v>4</v>
      </c>
      <c r="B5" s="243"/>
      <c r="C5" s="243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43922</v>
      </c>
      <c r="F12" t="s">
        <v>21</v>
      </c>
      <c r="G12" s="211">
        <v>600</v>
      </c>
    </row>
    <row r="13" spans="1:15" ht="15" customHeight="1" x14ac:dyDescent="0.25">
      <c r="A13" s="247" t="s">
        <v>22</v>
      </c>
      <c r="B13" s="55" t="s">
        <v>23</v>
      </c>
      <c r="C13" s="55">
        <v>36</v>
      </c>
      <c r="F13" s="55" t="s">
        <v>24</v>
      </c>
      <c r="G13" s="211">
        <v>500</v>
      </c>
    </row>
    <row r="14" spans="1:15" ht="15" customHeight="1" x14ac:dyDescent="0.25">
      <c r="A14" s="247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47"/>
      <c r="B15" s="55" t="s">
        <v>27</v>
      </c>
      <c r="C15" s="167">
        <f>EDATE(C10,C13)</f>
        <v>43862</v>
      </c>
    </row>
    <row r="16" spans="1:15" ht="15" customHeight="1" x14ac:dyDescent="0.25">
      <c r="A16" s="247"/>
      <c r="B16" s="55" t="s">
        <v>20</v>
      </c>
      <c r="C16" s="167">
        <f>EDATE(C15,2)</f>
        <v>43922</v>
      </c>
    </row>
    <row r="17" spans="1:8" x14ac:dyDescent="0.25">
      <c r="A17" s="247"/>
      <c r="B17" s="55" t="s">
        <v>28</v>
      </c>
      <c r="C17" s="181"/>
    </row>
    <row r="18" spans="1:8" x14ac:dyDescent="0.25">
      <c r="A18" s="243" t="s">
        <v>29</v>
      </c>
      <c r="B18" s="243"/>
      <c r="C18" s="243"/>
    </row>
    <row r="19" spans="1:8" x14ac:dyDescent="0.25">
      <c r="B19" t="s">
        <v>30</v>
      </c>
      <c r="C19">
        <v>12</v>
      </c>
      <c r="E19" s="246" t="s">
        <v>31</v>
      </c>
      <c r="F19" s="246"/>
    </row>
    <row r="20" spans="1:8" x14ac:dyDescent="0.25">
      <c r="B20" t="s">
        <v>32</v>
      </c>
      <c r="C20" s="3">
        <f>EDATE(C10,C19)</f>
        <v>43132</v>
      </c>
      <c r="E20" s="246"/>
      <c r="F20" s="246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23.25" x14ac:dyDescent="0.35">
      <c r="B22" s="59" t="s">
        <v>37</v>
      </c>
      <c r="C22" s="60">
        <v>0.04</v>
      </c>
      <c r="D22" s="223" t="s">
        <v>38</v>
      </c>
      <c r="E22" s="222">
        <f>C33</f>
        <v>297000</v>
      </c>
      <c r="F22" s="225">
        <v>0</v>
      </c>
    </row>
    <row r="23" spans="1:8" x14ac:dyDescent="0.25">
      <c r="A23" s="243" t="s">
        <v>39</v>
      </c>
      <c r="B23" s="243"/>
      <c r="C23" s="243"/>
      <c r="D23" s="195">
        <v>0.25</v>
      </c>
      <c r="E23" s="177">
        <f>E22*(1-D23)</f>
        <v>222750</v>
      </c>
      <c r="F23" s="209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5">
        <v>0.12</v>
      </c>
      <c r="E24" s="154">
        <f>E23*(1-D24)</f>
        <v>196020</v>
      </c>
      <c r="F24" s="225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5">
        <v>0.12</v>
      </c>
      <c r="E25" s="177">
        <f>E24*(1-D25)</f>
        <v>172497.6</v>
      </c>
      <c r="F25" s="209">
        <v>3</v>
      </c>
    </row>
    <row r="26" spans="1:8" x14ac:dyDescent="0.25">
      <c r="A26" s="226" t="s">
        <v>22</v>
      </c>
      <c r="B26" s="55" t="s">
        <v>44</v>
      </c>
      <c r="C26" s="94"/>
      <c r="D26" s="195">
        <v>0.12</v>
      </c>
      <c r="E26" s="176">
        <f>E25*(1-D26)</f>
        <v>151797.88800000001</v>
      </c>
      <c r="F26" s="225">
        <v>4</v>
      </c>
    </row>
    <row r="27" spans="1:8" x14ac:dyDescent="0.25">
      <c r="A27" s="226"/>
      <c r="B27" s="55"/>
      <c r="C27" s="94"/>
      <c r="D27" s="195">
        <v>0.12</v>
      </c>
      <c r="E27" s="176">
        <f>E26*(1-D27)</f>
        <v>133582.14144000001</v>
      </c>
      <c r="F27" s="209">
        <v>5</v>
      </c>
    </row>
    <row r="28" spans="1:8" ht="16.5" thickBot="1" x14ac:dyDescent="0.3">
      <c r="A28" s="243" t="s">
        <v>45</v>
      </c>
      <c r="B28" s="243"/>
      <c r="C28" s="243"/>
      <c r="E28" s="154">
        <f>1*0.8*0.85</f>
        <v>0.68</v>
      </c>
    </row>
    <row r="29" spans="1:8" ht="16.5" thickBot="1" x14ac:dyDescent="0.3">
      <c r="A29" s="221" t="s">
        <v>46</v>
      </c>
      <c r="B29" s="92" t="s">
        <v>47</v>
      </c>
      <c r="C29" s="93">
        <v>275000</v>
      </c>
      <c r="E29" s="217" t="s">
        <v>48</v>
      </c>
      <c r="F29" s="219">
        <v>5.8000000000000003E-2</v>
      </c>
      <c r="H29" s="176">
        <f>C32</f>
        <v>297000</v>
      </c>
    </row>
    <row r="30" spans="1:8" ht="16.5" thickBot="1" x14ac:dyDescent="0.3">
      <c r="A30" s="91"/>
      <c r="B30" s="92" t="s">
        <v>47</v>
      </c>
      <c r="C30" s="93">
        <v>22000</v>
      </c>
      <c r="D30" s="176">
        <f>C30*0.3</f>
        <v>6600</v>
      </c>
      <c r="E30" s="154"/>
      <c r="F30" s="176"/>
    </row>
    <row r="31" spans="1:8" ht="16.5" thickBot="1" x14ac:dyDescent="0.3">
      <c r="A31" s="91" t="s">
        <v>49</v>
      </c>
      <c r="B31" s="92" t="s">
        <v>50</v>
      </c>
      <c r="C31" s="93"/>
      <c r="D31" s="176" t="s">
        <v>51</v>
      </c>
      <c r="E31" s="154"/>
      <c r="F31" s="176"/>
    </row>
    <row r="32" spans="1:8" ht="30" customHeight="1" thickBot="1" x14ac:dyDescent="0.3">
      <c r="A32" s="185" t="s">
        <v>52</v>
      </c>
      <c r="B32" s="92" t="s">
        <v>47</v>
      </c>
      <c r="C32" s="93">
        <f>C29+C30</f>
        <v>297000</v>
      </c>
      <c r="E32" s="154"/>
      <c r="F32" s="176"/>
    </row>
    <row r="33" spans="1:5" ht="30" customHeight="1" x14ac:dyDescent="0.25">
      <c r="A33" s="166" t="s">
        <v>53</v>
      </c>
      <c r="B33" t="s">
        <v>47</v>
      </c>
      <c r="C33" s="90">
        <f>SUM(C31:C32)</f>
        <v>297000</v>
      </c>
      <c r="E33" s="154"/>
    </row>
    <row r="34" spans="1:5" ht="16.5" thickBot="1" x14ac:dyDescent="0.3">
      <c r="A34" s="243" t="s">
        <v>54</v>
      </c>
      <c r="B34" s="243"/>
      <c r="C34" s="243"/>
      <c r="D34" s="243"/>
      <c r="E34" s="243"/>
    </row>
    <row r="35" spans="1:5" ht="33" customHeight="1" thickBot="1" x14ac:dyDescent="0.3">
      <c r="A35" s="186" t="s">
        <v>55</v>
      </c>
      <c r="B35" s="168"/>
      <c r="C35" s="169">
        <v>3</v>
      </c>
      <c r="D35" s="170" t="s">
        <v>56</v>
      </c>
      <c r="E35" s="171" t="s">
        <v>57</v>
      </c>
    </row>
    <row r="36" spans="1:5" ht="30.95" customHeight="1" thickBot="1" x14ac:dyDescent="0.3">
      <c r="A36" s="91" t="str">
        <f>A29</f>
        <v>25.360 vtr</v>
      </c>
      <c r="B36" s="92" t="s">
        <v>47</v>
      </c>
      <c r="C36" s="93">
        <v>162492.73920000001</v>
      </c>
      <c r="D36" s="179">
        <f>C36/(C29+C30)</f>
        <v>0.54711360000000009</v>
      </c>
      <c r="E36" s="179">
        <f>1-D36</f>
        <v>0.45288639999999991</v>
      </c>
    </row>
    <row r="37" spans="1:5" x14ac:dyDescent="0.25">
      <c r="A37" s="243" t="s">
        <v>58</v>
      </c>
      <c r="B37" s="243"/>
      <c r="C37" s="243"/>
    </row>
    <row r="38" spans="1:5" x14ac:dyDescent="0.25">
      <c r="A38" s="244" t="s">
        <v>59</v>
      </c>
      <c r="B38" s="244"/>
      <c r="C38" s="42">
        <v>0.25</v>
      </c>
    </row>
    <row r="39" spans="1:5" x14ac:dyDescent="0.25">
      <c r="A39" s="244" t="s">
        <v>60</v>
      </c>
      <c r="B39" s="245"/>
      <c r="C39" s="159">
        <f>C38/12</f>
        <v>2.0833333333333332E-2</v>
      </c>
    </row>
    <row r="40" spans="1:5" ht="16.5" thickBot="1" x14ac:dyDescent="0.3">
      <c r="A40" s="244" t="s">
        <v>61</v>
      </c>
      <c r="B40" s="244"/>
      <c r="C40" s="187">
        <f>C32</f>
        <v>297000</v>
      </c>
    </row>
    <row r="41" spans="1:5" ht="16.5" thickBot="1" x14ac:dyDescent="0.3">
      <c r="A41" s="248" t="s">
        <v>62</v>
      </c>
      <c r="B41" s="249"/>
      <c r="C41" s="188">
        <f>C40*C39</f>
        <v>6187.5</v>
      </c>
      <c r="D41" s="224">
        <f>C36+35000</f>
        <v>197492.73920000001</v>
      </c>
    </row>
    <row r="42" spans="1:5" ht="16.5" thickBot="1" x14ac:dyDescent="0.3">
      <c r="A42" s="249" t="s">
        <v>63</v>
      </c>
      <c r="B42" s="249"/>
      <c r="C42" s="201">
        <f>SUM(Cashflow!H21:DG21)</f>
        <v>241312.5</v>
      </c>
    </row>
    <row r="43" spans="1:5" ht="16.5" thickBot="1" x14ac:dyDescent="0.3">
      <c r="A43" s="249"/>
      <c r="B43" s="249"/>
      <c r="C43" s="201"/>
    </row>
    <row r="44" spans="1:5" x14ac:dyDescent="0.25">
      <c r="A44" s="241" t="s">
        <v>64</v>
      </c>
      <c r="B44" s="241"/>
      <c r="C44" s="241"/>
    </row>
    <row r="45" spans="1:5" x14ac:dyDescent="0.25">
      <c r="B45" s="5"/>
      <c r="C45" s="5" t="s">
        <v>65</v>
      </c>
    </row>
    <row r="46" spans="1:5" x14ac:dyDescent="0.25">
      <c r="B46" s="5" t="s">
        <v>66</v>
      </c>
      <c r="C46" s="35">
        <v>6.4999999999999997E-3</v>
      </c>
    </row>
    <row r="47" spans="1:5" x14ac:dyDescent="0.25">
      <c r="B47" s="5" t="s">
        <v>67</v>
      </c>
      <c r="C47" s="36">
        <v>0.03</v>
      </c>
    </row>
    <row r="48" spans="1:5" x14ac:dyDescent="0.25">
      <c r="B48" s="5" t="s">
        <v>68</v>
      </c>
      <c r="C48" s="36">
        <v>3.6999999999999998E-2</v>
      </c>
    </row>
    <row r="54" ht="27" customHeight="1" x14ac:dyDescent="0.25"/>
  </sheetData>
  <mergeCells count="16"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34:E34"/>
    <mergeCell ref="E19:F20"/>
    <mergeCell ref="A13:A17"/>
    <mergeCell ref="A40:B40"/>
    <mergeCell ref="A41:B41"/>
    <mergeCell ref="A42:B42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EF96"/>
  <sheetViews>
    <sheetView showGridLines="0" topLeftCell="F1" zoomScale="90" zoomScaleNormal="90" zoomScalePageLayoutView="90" workbookViewId="0">
      <pane xSplit="5" ySplit="9" topLeftCell="AC84" activePane="bottomRight" state="frozen"/>
      <selection pane="topRight" activeCell="K1" sqref="K1"/>
      <selection pane="bottomLeft" activeCell="F15" sqref="F15"/>
      <selection pane="bottomRight" activeCell="A94" sqref="A94:XFD94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48" x14ac:dyDescent="0.25">
      <c r="G1" s="255" t="s">
        <v>69</v>
      </c>
      <c r="H1" s="256"/>
    </row>
    <row r="2" spans="1:48" ht="15.95" customHeight="1" x14ac:dyDescent="0.25">
      <c r="G2" s="85" t="s">
        <v>70</v>
      </c>
      <c r="H2" s="86">
        <f>Dados!C13</f>
        <v>36</v>
      </c>
    </row>
    <row r="3" spans="1:48" ht="32.1" customHeight="1" x14ac:dyDescent="0.25">
      <c r="G3" s="85" t="s">
        <v>71</v>
      </c>
      <c r="H3" s="207" t="str">
        <f>Dados!A29</f>
        <v>25.360 vtr</v>
      </c>
    </row>
    <row r="4" spans="1:48" x14ac:dyDescent="0.25">
      <c r="G4" s="85" t="s">
        <v>72</v>
      </c>
      <c r="H4" s="86">
        <f>Dados!C14</f>
        <v>0</v>
      </c>
    </row>
    <row r="5" spans="1:48" x14ac:dyDescent="0.25">
      <c r="G5" s="257"/>
      <c r="H5" s="257"/>
      <c r="I5" s="101"/>
      <c r="J5" s="258" t="s">
        <v>73</v>
      </c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9" t="s">
        <v>74</v>
      </c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60" t="s">
        <v>75</v>
      </c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08" t="s">
        <v>76</v>
      </c>
      <c r="AU5" s="208"/>
      <c r="AV5" s="208"/>
    </row>
    <row r="6" spans="1:48" x14ac:dyDescent="0.25">
      <c r="E6">
        <v>6</v>
      </c>
      <c r="AT6" s="102"/>
      <c r="AU6" s="102"/>
      <c r="AV6" s="102"/>
    </row>
    <row r="7" spans="1:48" x14ac:dyDescent="0.25">
      <c r="G7" s="5"/>
      <c r="H7" s="14">
        <v>43466</v>
      </c>
      <c r="I7" s="14">
        <f>EDATE(H7,1)</f>
        <v>43497</v>
      </c>
      <c r="J7" s="14">
        <f t="shared" ref="J7:T7" si="0">EDATE(I7,1)</f>
        <v>43525</v>
      </c>
      <c r="K7" s="14">
        <f t="shared" si="0"/>
        <v>43556</v>
      </c>
      <c r="L7" s="14">
        <f t="shared" si="0"/>
        <v>43586</v>
      </c>
      <c r="M7" s="14">
        <f t="shared" si="0"/>
        <v>43617</v>
      </c>
      <c r="N7" s="14">
        <f t="shared" si="0"/>
        <v>43647</v>
      </c>
      <c r="O7" s="14">
        <f t="shared" si="0"/>
        <v>43678</v>
      </c>
      <c r="P7" s="14">
        <f t="shared" si="0"/>
        <v>43709</v>
      </c>
      <c r="Q7" s="14">
        <f t="shared" si="0"/>
        <v>43739</v>
      </c>
      <c r="R7" s="14">
        <f t="shared" si="0"/>
        <v>43770</v>
      </c>
      <c r="S7" s="14">
        <f t="shared" si="0"/>
        <v>43800</v>
      </c>
      <c r="T7" s="14">
        <f t="shared" si="0"/>
        <v>43831</v>
      </c>
      <c r="U7" s="14">
        <f>EDATE(T7,1)</f>
        <v>43862</v>
      </c>
      <c r="V7" s="14">
        <f t="shared" ref="V7:AG7" si="1">EDATE(U7,1)</f>
        <v>43891</v>
      </c>
      <c r="W7" s="14">
        <f t="shared" si="1"/>
        <v>43922</v>
      </c>
      <c r="X7" s="14">
        <f t="shared" si="1"/>
        <v>43952</v>
      </c>
      <c r="Y7" s="14">
        <f t="shared" si="1"/>
        <v>43983</v>
      </c>
      <c r="Z7" s="14">
        <f t="shared" si="1"/>
        <v>44013</v>
      </c>
      <c r="AA7" s="14">
        <f t="shared" si="1"/>
        <v>44044</v>
      </c>
      <c r="AB7" s="14">
        <f t="shared" si="1"/>
        <v>44075</v>
      </c>
      <c r="AC7" s="14">
        <f t="shared" si="1"/>
        <v>44105</v>
      </c>
      <c r="AD7" s="14">
        <f t="shared" si="1"/>
        <v>44136</v>
      </c>
      <c r="AE7" s="14">
        <f t="shared" si="1"/>
        <v>44166</v>
      </c>
      <c r="AF7" s="14">
        <f t="shared" si="1"/>
        <v>44197</v>
      </c>
      <c r="AG7" s="14">
        <f t="shared" si="1"/>
        <v>44228</v>
      </c>
      <c r="AH7" s="14">
        <f>EDATE(AG7,1)</f>
        <v>44256</v>
      </c>
      <c r="AI7" s="14">
        <f t="shared" ref="AI7:AS7" si="2">EDATE(AH7,1)</f>
        <v>44287</v>
      </c>
      <c r="AJ7" s="14">
        <f t="shared" si="2"/>
        <v>44317</v>
      </c>
      <c r="AK7" s="14">
        <f t="shared" si="2"/>
        <v>44348</v>
      </c>
      <c r="AL7" s="14">
        <f t="shared" si="2"/>
        <v>44378</v>
      </c>
      <c r="AM7" s="14">
        <f t="shared" si="2"/>
        <v>44409</v>
      </c>
      <c r="AN7" s="14">
        <f t="shared" si="2"/>
        <v>44440</v>
      </c>
      <c r="AO7" s="14">
        <f t="shared" si="2"/>
        <v>44470</v>
      </c>
      <c r="AP7" s="14">
        <f t="shared" si="2"/>
        <v>44501</v>
      </c>
      <c r="AQ7" s="14">
        <f t="shared" si="2"/>
        <v>44531</v>
      </c>
      <c r="AR7" s="14">
        <f t="shared" si="2"/>
        <v>44562</v>
      </c>
      <c r="AS7" s="14">
        <f t="shared" si="2"/>
        <v>44593</v>
      </c>
      <c r="AT7" s="14">
        <f t="shared" ref="AT7" si="3">EDATE(AS7,1)</f>
        <v>44621</v>
      </c>
      <c r="AU7" s="14">
        <f t="shared" ref="AU7" si="4">EDATE(AT7,1)</f>
        <v>44652</v>
      </c>
      <c r="AV7" s="14">
        <f t="shared" ref="AV7" si="5">EDATE(AU7,1)</f>
        <v>44682</v>
      </c>
    </row>
    <row r="8" spans="1:48" x14ac:dyDescent="0.25">
      <c r="G8" s="16" t="s">
        <v>77</v>
      </c>
      <c r="H8" s="15">
        <v>0</v>
      </c>
      <c r="I8" s="15">
        <f>H8+1</f>
        <v>1</v>
      </c>
      <c r="J8" s="15">
        <f>I8+1</f>
        <v>2</v>
      </c>
      <c r="K8" s="15">
        <f t="shared" ref="K8:T8" si="6">J8+1</f>
        <v>3</v>
      </c>
      <c r="L8" s="15">
        <f t="shared" si="6"/>
        <v>4</v>
      </c>
      <c r="M8" s="15">
        <f t="shared" si="6"/>
        <v>5</v>
      </c>
      <c r="N8" s="15">
        <f t="shared" si="6"/>
        <v>6</v>
      </c>
      <c r="O8" s="15">
        <f t="shared" si="6"/>
        <v>7</v>
      </c>
      <c r="P8" s="15">
        <f t="shared" si="6"/>
        <v>8</v>
      </c>
      <c r="Q8" s="15">
        <f t="shared" si="6"/>
        <v>9</v>
      </c>
      <c r="R8" s="15">
        <f t="shared" si="6"/>
        <v>10</v>
      </c>
      <c r="S8" s="15">
        <f t="shared" si="6"/>
        <v>11</v>
      </c>
      <c r="T8" s="15">
        <f t="shared" si="6"/>
        <v>12</v>
      </c>
      <c r="U8" s="15">
        <f>T8+1</f>
        <v>13</v>
      </c>
      <c r="V8" s="15">
        <f t="shared" ref="V8:AG8" si="7">U8+1</f>
        <v>14</v>
      </c>
      <c r="W8" s="15">
        <f t="shared" si="7"/>
        <v>15</v>
      </c>
      <c r="X8" s="15">
        <f t="shared" si="7"/>
        <v>16</v>
      </c>
      <c r="Y8" s="15">
        <f t="shared" si="7"/>
        <v>17</v>
      </c>
      <c r="Z8" s="15">
        <f t="shared" si="7"/>
        <v>18</v>
      </c>
      <c r="AA8" s="15">
        <f t="shared" si="7"/>
        <v>19</v>
      </c>
      <c r="AB8" s="15">
        <f t="shared" si="7"/>
        <v>20</v>
      </c>
      <c r="AC8" s="15">
        <f t="shared" si="7"/>
        <v>21</v>
      </c>
      <c r="AD8" s="15">
        <f t="shared" si="7"/>
        <v>22</v>
      </c>
      <c r="AE8" s="15">
        <f t="shared" si="7"/>
        <v>23</v>
      </c>
      <c r="AF8" s="15">
        <f t="shared" si="7"/>
        <v>24</v>
      </c>
      <c r="AG8" s="15">
        <f t="shared" si="7"/>
        <v>25</v>
      </c>
      <c r="AH8" s="15">
        <f>AG8+1</f>
        <v>26</v>
      </c>
      <c r="AI8" s="15">
        <f t="shared" ref="AI8:AS8" si="8">AH8+1</f>
        <v>27</v>
      </c>
      <c r="AJ8" s="15">
        <f t="shared" si="8"/>
        <v>28</v>
      </c>
      <c r="AK8" s="15">
        <f t="shared" si="8"/>
        <v>29</v>
      </c>
      <c r="AL8" s="15">
        <f t="shared" si="8"/>
        <v>30</v>
      </c>
      <c r="AM8" s="15">
        <f t="shared" si="8"/>
        <v>31</v>
      </c>
      <c r="AN8" s="15">
        <f t="shared" si="8"/>
        <v>32</v>
      </c>
      <c r="AO8" s="15">
        <f t="shared" si="8"/>
        <v>33</v>
      </c>
      <c r="AP8" s="15">
        <f t="shared" si="8"/>
        <v>34</v>
      </c>
      <c r="AQ8" s="15">
        <f t="shared" si="8"/>
        <v>35</v>
      </c>
      <c r="AR8" s="15">
        <f t="shared" si="8"/>
        <v>36</v>
      </c>
      <c r="AS8" s="15">
        <f t="shared" si="8"/>
        <v>37</v>
      </c>
      <c r="AT8" s="15">
        <f t="shared" ref="AT8" si="9">AS8+1</f>
        <v>38</v>
      </c>
      <c r="AU8" s="15">
        <f t="shared" ref="AU8" si="10">AT8+1</f>
        <v>39</v>
      </c>
      <c r="AV8" s="15">
        <f t="shared" ref="AV8" si="11">AU8+1</f>
        <v>40</v>
      </c>
    </row>
    <row r="9" spans="1:48" x14ac:dyDescent="0.25">
      <c r="A9" t="s">
        <v>78</v>
      </c>
      <c r="G9" s="107" t="s">
        <v>79</v>
      </c>
      <c r="H9" s="21"/>
      <c r="I9" s="21"/>
      <c r="J9" s="115">
        <v>1</v>
      </c>
      <c r="K9" s="107">
        <f>J9+1</f>
        <v>2</v>
      </c>
      <c r="L9" s="107">
        <f t="shared" ref="L9:T9" si="12">K9+1</f>
        <v>3</v>
      </c>
      <c r="M9" s="107">
        <f t="shared" si="12"/>
        <v>4</v>
      </c>
      <c r="N9" s="107">
        <f t="shared" si="12"/>
        <v>5</v>
      </c>
      <c r="O9" s="107">
        <f t="shared" si="12"/>
        <v>6</v>
      </c>
      <c r="P9" s="107">
        <f t="shared" si="12"/>
        <v>7</v>
      </c>
      <c r="Q9" s="107">
        <f t="shared" si="12"/>
        <v>8</v>
      </c>
      <c r="R9" s="107">
        <f t="shared" si="12"/>
        <v>9</v>
      </c>
      <c r="S9" s="107">
        <f t="shared" si="12"/>
        <v>10</v>
      </c>
      <c r="T9" s="107">
        <f t="shared" si="12"/>
        <v>11</v>
      </c>
      <c r="U9" s="107">
        <f>T9+1</f>
        <v>12</v>
      </c>
      <c r="V9" s="107">
        <f t="shared" ref="V9:AG9" si="13">U9+1</f>
        <v>13</v>
      </c>
      <c r="W9" s="107">
        <f t="shared" si="13"/>
        <v>14</v>
      </c>
      <c r="X9" s="107">
        <f t="shared" si="13"/>
        <v>15</v>
      </c>
      <c r="Y9" s="107">
        <f t="shared" si="13"/>
        <v>16</v>
      </c>
      <c r="Z9" s="107">
        <f t="shared" si="13"/>
        <v>17</v>
      </c>
      <c r="AA9" s="107">
        <f t="shared" si="13"/>
        <v>18</v>
      </c>
      <c r="AB9" s="107">
        <f t="shared" si="13"/>
        <v>19</v>
      </c>
      <c r="AC9" s="107">
        <f t="shared" si="13"/>
        <v>20</v>
      </c>
      <c r="AD9" s="107">
        <f t="shared" si="13"/>
        <v>21</v>
      </c>
      <c r="AE9" s="107">
        <f t="shared" si="13"/>
        <v>22</v>
      </c>
      <c r="AF9" s="107">
        <f t="shared" si="13"/>
        <v>23</v>
      </c>
      <c r="AG9" s="107">
        <f t="shared" si="13"/>
        <v>24</v>
      </c>
      <c r="AH9" s="107">
        <f>AG9+1</f>
        <v>25</v>
      </c>
      <c r="AI9" s="107">
        <f t="shared" ref="AI9:AS9" si="14">AH9+1</f>
        <v>26</v>
      </c>
      <c r="AJ9" s="107">
        <f t="shared" si="14"/>
        <v>27</v>
      </c>
      <c r="AK9" s="107">
        <f t="shared" si="14"/>
        <v>28</v>
      </c>
      <c r="AL9" s="107">
        <f t="shared" si="14"/>
        <v>29</v>
      </c>
      <c r="AM9" s="107">
        <f t="shared" si="14"/>
        <v>30</v>
      </c>
      <c r="AN9" s="107">
        <f t="shared" si="14"/>
        <v>31</v>
      </c>
      <c r="AO9" s="107">
        <f t="shared" si="14"/>
        <v>32</v>
      </c>
      <c r="AP9" s="107">
        <f t="shared" si="14"/>
        <v>33</v>
      </c>
      <c r="AQ9" s="107">
        <f t="shared" si="14"/>
        <v>34</v>
      </c>
      <c r="AR9" s="107">
        <f t="shared" si="14"/>
        <v>35</v>
      </c>
      <c r="AS9" s="107">
        <f t="shared" si="14"/>
        <v>36</v>
      </c>
      <c r="AT9" s="208" t="s">
        <v>76</v>
      </c>
      <c r="AU9" s="208"/>
      <c r="AV9" s="208"/>
    </row>
    <row r="10" spans="1:48" x14ac:dyDescent="0.25">
      <c r="A10" t="s">
        <v>42</v>
      </c>
      <c r="F10" s="17">
        <v>1</v>
      </c>
      <c r="G10" s="16" t="s">
        <v>80</v>
      </c>
      <c r="J10" s="116"/>
      <c r="AV10" s="111"/>
    </row>
    <row r="11" spans="1:48" x14ac:dyDescent="0.25">
      <c r="F11" s="17">
        <f>F10+1</f>
        <v>2</v>
      </c>
      <c r="G11" s="12" t="s">
        <v>68</v>
      </c>
      <c r="H11" s="13">
        <f>'Financ '!B88</f>
        <v>0</v>
      </c>
      <c r="I11" s="13">
        <f>'Financ '!C88</f>
        <v>9881.681039300609</v>
      </c>
      <c r="J11" s="13">
        <f>'Financ '!D88</f>
        <v>9881.681039300609</v>
      </c>
      <c r="K11" s="13">
        <f>'Financ '!E88</f>
        <v>9881.681039300609</v>
      </c>
      <c r="L11" s="13">
        <f>'Financ '!F88</f>
        <v>9881.681039300609</v>
      </c>
      <c r="M11" s="13">
        <f>'Financ '!G88</f>
        <v>9881.681039300609</v>
      </c>
      <c r="N11" s="13">
        <f>'Financ '!H88</f>
        <v>9881.681039300609</v>
      </c>
      <c r="O11" s="13">
        <f>'Financ '!I88</f>
        <v>9881.681039300609</v>
      </c>
      <c r="P11" s="13">
        <f>'Financ '!J88</f>
        <v>9881.681039300609</v>
      </c>
      <c r="Q11" s="13">
        <f>'Financ '!K88</f>
        <v>9881.681039300609</v>
      </c>
      <c r="R11" s="13">
        <f>'Financ '!L88</f>
        <v>9881.681039300609</v>
      </c>
      <c r="S11" s="13">
        <f>'Financ '!M88</f>
        <v>9881.681039300609</v>
      </c>
      <c r="T11" s="13">
        <f>'Financ '!N88</f>
        <v>9881.681039300609</v>
      </c>
      <c r="U11" s="13">
        <f>'Financ '!O88</f>
        <v>9881.681039300609</v>
      </c>
      <c r="V11" s="13">
        <f>'Financ '!P88</f>
        <v>9881.681039300609</v>
      </c>
      <c r="W11" s="13">
        <f>'Financ '!Q88</f>
        <v>9881.681039300609</v>
      </c>
      <c r="X11" s="13">
        <f>'Financ '!R88</f>
        <v>9881.681039300609</v>
      </c>
      <c r="Y11" s="13">
        <f>'Financ '!S88</f>
        <v>9881.681039300609</v>
      </c>
      <c r="Z11" s="13">
        <f>'Financ '!T88</f>
        <v>9881.681039300609</v>
      </c>
      <c r="AA11" s="13">
        <f>'Financ '!U88</f>
        <v>9881.681039300609</v>
      </c>
      <c r="AB11" s="13">
        <f>'Financ '!V88</f>
        <v>9881.681039300609</v>
      </c>
      <c r="AC11" s="13">
        <f>'Financ '!W88</f>
        <v>9881.681039300609</v>
      </c>
      <c r="AD11" s="13">
        <f>'Financ '!X88</f>
        <v>9881.681039300609</v>
      </c>
      <c r="AE11" s="13">
        <f>'Financ '!Y88</f>
        <v>9881.681039300609</v>
      </c>
      <c r="AF11" s="13">
        <f>'Financ '!Z88</f>
        <v>9881.681039300609</v>
      </c>
      <c r="AG11" s="13">
        <f>'Financ '!AA88</f>
        <v>9881.681039300609</v>
      </c>
      <c r="AH11" s="13">
        <f>'Financ '!AB88</f>
        <v>9881.681039300609</v>
      </c>
      <c r="AI11" s="13">
        <f>'Financ '!AC88</f>
        <v>9881.681039300609</v>
      </c>
      <c r="AJ11" s="13">
        <f>'Financ '!AD88</f>
        <v>9881.681039300609</v>
      </c>
      <c r="AK11" s="13">
        <f>'Financ '!AE88</f>
        <v>9881.681039300609</v>
      </c>
      <c r="AL11" s="13">
        <f>'Financ '!AF88</f>
        <v>9881.681039300609</v>
      </c>
      <c r="AM11" s="13">
        <f>'Financ '!AG88</f>
        <v>9881.681039300609</v>
      </c>
      <c r="AN11" s="13">
        <f>'Financ '!AH88</f>
        <v>9881.681039300609</v>
      </c>
      <c r="AO11" s="13">
        <f>'Financ '!AI88</f>
        <v>9881.681039300609</v>
      </c>
      <c r="AP11" s="13">
        <f>'Financ '!AJ88</f>
        <v>9881.681039300609</v>
      </c>
      <c r="AQ11" s="13">
        <f>'Financ '!AK88</f>
        <v>9881.681039300609</v>
      </c>
      <c r="AR11" s="13">
        <f>'Financ '!AL88</f>
        <v>9881.681039300609</v>
      </c>
      <c r="AS11" s="13">
        <f>'Financ '!AM88</f>
        <v>0</v>
      </c>
      <c r="AT11" s="13">
        <f>'Financ '!BL88</f>
        <v>0</v>
      </c>
      <c r="AU11" s="13">
        <f>'Financ '!BM88</f>
        <v>0</v>
      </c>
      <c r="AV11" s="13">
        <f>'Financ '!BN88</f>
        <v>0</v>
      </c>
    </row>
    <row r="12" spans="1:48" x14ac:dyDescent="0.25">
      <c r="F12" s="17">
        <f t="shared" ref="F12:F76" si="15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112"/>
    </row>
    <row r="13" spans="1:48" x14ac:dyDescent="0.25">
      <c r="F13" s="17">
        <f t="shared" si="15"/>
        <v>4</v>
      </c>
      <c r="G13" s="16" t="s">
        <v>81</v>
      </c>
      <c r="H13" s="24">
        <f>SUM(H14:H18)</f>
        <v>0</v>
      </c>
      <c r="I13" s="24">
        <f>SUM(I14:I18)</f>
        <v>4921.3499999999995</v>
      </c>
      <c r="J13" s="205">
        <f t="shared" ref="J13:AS13" si="16">SUM(J14:J18)</f>
        <v>0</v>
      </c>
      <c r="K13" s="24">
        <f>SUM(K14:K18)</f>
        <v>0</v>
      </c>
      <c r="L13" s="24">
        <f t="shared" si="16"/>
        <v>0</v>
      </c>
      <c r="M13" s="24">
        <f t="shared" si="16"/>
        <v>0</v>
      </c>
      <c r="N13" s="24">
        <f t="shared" si="16"/>
        <v>0</v>
      </c>
      <c r="O13" s="24">
        <f t="shared" si="16"/>
        <v>0</v>
      </c>
      <c r="P13" s="24">
        <f t="shared" si="16"/>
        <v>0</v>
      </c>
      <c r="Q13" s="24">
        <f t="shared" si="16"/>
        <v>0</v>
      </c>
      <c r="R13" s="24">
        <f t="shared" si="16"/>
        <v>0</v>
      </c>
      <c r="S13" s="24">
        <f t="shared" si="16"/>
        <v>0</v>
      </c>
      <c r="T13" s="24">
        <f t="shared" si="16"/>
        <v>0</v>
      </c>
      <c r="U13" s="24">
        <f>SUM(U14:U18)</f>
        <v>4471.3499999999995</v>
      </c>
      <c r="V13" s="24">
        <f t="shared" si="16"/>
        <v>0</v>
      </c>
      <c r="W13" s="24">
        <f>SUM(W14:W18)</f>
        <v>0</v>
      </c>
      <c r="X13" s="24">
        <f t="shared" si="16"/>
        <v>0</v>
      </c>
      <c r="Y13" s="24">
        <f t="shared" si="16"/>
        <v>0</v>
      </c>
      <c r="Z13" s="24">
        <f t="shared" si="16"/>
        <v>0</v>
      </c>
      <c r="AA13" s="24">
        <f t="shared" si="16"/>
        <v>0</v>
      </c>
      <c r="AB13" s="24">
        <f t="shared" si="16"/>
        <v>0</v>
      </c>
      <c r="AC13" s="24">
        <f t="shared" si="16"/>
        <v>0</v>
      </c>
      <c r="AD13" s="24">
        <f t="shared" si="16"/>
        <v>0</v>
      </c>
      <c r="AE13" s="24">
        <f t="shared" si="16"/>
        <v>0</v>
      </c>
      <c r="AF13" s="24">
        <f t="shared" si="16"/>
        <v>0</v>
      </c>
      <c r="AG13" s="24">
        <f>SUM(AG14:AG18)</f>
        <v>3823.1475</v>
      </c>
      <c r="AH13" s="24">
        <f t="shared" si="16"/>
        <v>0</v>
      </c>
      <c r="AI13" s="24">
        <f t="shared" ref="AI13:AN13" si="17">SUM(AI14:AI18)</f>
        <v>0</v>
      </c>
      <c r="AJ13" s="24">
        <f t="shared" si="17"/>
        <v>0</v>
      </c>
      <c r="AK13" s="24">
        <f t="shared" si="17"/>
        <v>0</v>
      </c>
      <c r="AL13" s="24">
        <f t="shared" si="17"/>
        <v>0</v>
      </c>
      <c r="AM13" s="24">
        <f t="shared" si="17"/>
        <v>0</v>
      </c>
      <c r="AN13" s="24">
        <f t="shared" si="17"/>
        <v>0</v>
      </c>
      <c r="AO13" s="24">
        <f t="shared" si="16"/>
        <v>0</v>
      </c>
      <c r="AP13" s="24">
        <f t="shared" si="16"/>
        <v>0</v>
      </c>
      <c r="AQ13" s="24">
        <f t="shared" si="16"/>
        <v>0</v>
      </c>
      <c r="AR13" s="24">
        <f t="shared" si="16"/>
        <v>0</v>
      </c>
      <c r="AS13" s="24">
        <f t="shared" si="16"/>
        <v>3272.1753749999998</v>
      </c>
      <c r="AT13" s="24">
        <f t="shared" ref="AT13:AV13" si="18">SUM(AT14:AT18)</f>
        <v>0</v>
      </c>
      <c r="AU13" s="24">
        <f t="shared" si="18"/>
        <v>0</v>
      </c>
      <c r="AV13" s="24">
        <f t="shared" si="18"/>
        <v>0</v>
      </c>
    </row>
    <row r="14" spans="1:48" x14ac:dyDescent="0.25">
      <c r="F14" s="17">
        <f t="shared" si="15"/>
        <v>5</v>
      </c>
      <c r="G14" t="s">
        <v>82</v>
      </c>
      <c r="H14" s="24"/>
      <c r="I14" s="197">
        <f>Licenciamento!E7</f>
        <v>4921.3499999999995</v>
      </c>
      <c r="J14" s="119"/>
      <c r="L14" s="11"/>
      <c r="M14" s="11"/>
      <c r="N14" s="11"/>
      <c r="O14" s="11"/>
      <c r="P14" s="11"/>
      <c r="Q14" s="11"/>
      <c r="S14" s="11"/>
      <c r="T14" s="11"/>
      <c r="U14" s="197">
        <f>Licenciamento!H7</f>
        <v>4471.3499999999995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Licenciamento!K7</f>
        <v>3823.1475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Licenciamento!N7</f>
        <v>3272.1753749999998</v>
      </c>
      <c r="AT14" s="11"/>
      <c r="AU14" s="11"/>
      <c r="AV14" s="45"/>
    </row>
    <row r="15" spans="1:48" s="95" customFormat="1" x14ac:dyDescent="0.25">
      <c r="F15" s="17">
        <f t="shared" si="15"/>
        <v>6</v>
      </c>
      <c r="G15" s="96" t="s">
        <v>83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  <c r="AK15" s="120">
        <f>Dados!$C$17</f>
        <v>0</v>
      </c>
      <c r="AL15" s="120">
        <f>Dados!$C$17</f>
        <v>0</v>
      </c>
      <c r="AM15" s="120">
        <f>Dados!$C$17</f>
        <v>0</v>
      </c>
      <c r="AN15" s="120">
        <f>Dados!$C$17</f>
        <v>0</v>
      </c>
      <c r="AO15" s="120">
        <f>Dados!$C$17</f>
        <v>0</v>
      </c>
      <c r="AP15" s="120">
        <f>Dados!$C$17</f>
        <v>0</v>
      </c>
      <c r="AQ15" s="120">
        <f>Dados!$C$17</f>
        <v>0</v>
      </c>
      <c r="AR15" s="120">
        <f>Dados!$C$17</f>
        <v>0</v>
      </c>
      <c r="AS15" s="120">
        <f>Dados!$C$17</f>
        <v>0</v>
      </c>
      <c r="AT15" s="120">
        <f>Dados!$C$17</f>
        <v>0</v>
      </c>
      <c r="AU15" s="120">
        <f>Dados!$C$17</f>
        <v>0</v>
      </c>
      <c r="AV15" s="120">
        <f>Dados!$C$17</f>
        <v>0</v>
      </c>
    </row>
    <row r="16" spans="1:48" x14ac:dyDescent="0.25">
      <c r="F16" s="17">
        <f t="shared" si="15"/>
        <v>7</v>
      </c>
      <c r="G16" t="s">
        <v>84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/>
      <c r="AV16" s="113"/>
    </row>
    <row r="17" spans="1:16360" x14ac:dyDescent="0.25">
      <c r="F17" s="17">
        <f t="shared" si="15"/>
        <v>8</v>
      </c>
      <c r="G17" s="20" t="s">
        <v>85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06">
        <f>'Seguros-Rastreamento'!$G$14</f>
        <v>0</v>
      </c>
      <c r="AI17" s="206">
        <f>'Seguros-Rastreamento'!$G$14</f>
        <v>0</v>
      </c>
      <c r="AJ17" s="206">
        <f>'Seguros-Rastreamento'!$G$14</f>
        <v>0</v>
      </c>
      <c r="AK17" s="206">
        <f>'Seguros-Rastreamento'!$G$14</f>
        <v>0</v>
      </c>
      <c r="AL17" s="206">
        <f>'Seguros-Rastreamento'!$G$14</f>
        <v>0</v>
      </c>
      <c r="AM17" s="25"/>
      <c r="AN17" s="25"/>
      <c r="AT17" s="25"/>
      <c r="AU17" s="25"/>
      <c r="AV17" s="75"/>
    </row>
    <row r="18" spans="1:16360" s="95" customFormat="1" x14ac:dyDescent="0.25">
      <c r="F18" s="17">
        <f t="shared" si="15"/>
        <v>9</v>
      </c>
      <c r="G18" s="96" t="s">
        <v>86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Manutenção!$F$36</f>
        <v>0</v>
      </c>
      <c r="AI18" s="194">
        <f>Manutenção!$H$36</f>
        <v>0</v>
      </c>
      <c r="AJ18" s="194">
        <f>Manutenção!$H$36</f>
        <v>0</v>
      </c>
      <c r="AK18" s="194">
        <f>Manutenção!$H$36</f>
        <v>0</v>
      </c>
      <c r="AL18" s="194">
        <f>Manutenção!$H$36</f>
        <v>0</v>
      </c>
      <c r="AM18" s="194">
        <f>Manutenção!$H$36</f>
        <v>0</v>
      </c>
      <c r="AN18" s="194">
        <f>Manutenção!$H$36</f>
        <v>0</v>
      </c>
      <c r="AO18" s="194">
        <f>Manutenção!$H$36</f>
        <v>0</v>
      </c>
      <c r="AP18" s="194">
        <f>Manutenção!$H$36</f>
        <v>0</v>
      </c>
      <c r="AQ18" s="194">
        <f>Manutenção!$H$36</f>
        <v>0</v>
      </c>
      <c r="AR18" s="194">
        <f>Manutenção!$H$36</f>
        <v>0</v>
      </c>
      <c r="AS18" s="194">
        <f>Manutenção!$H$36</f>
        <v>0</v>
      </c>
      <c r="AT18" s="194">
        <f>Manutenção!$J$36</f>
        <v>0</v>
      </c>
      <c r="AU18" s="97"/>
      <c r="AV18" s="97"/>
    </row>
    <row r="19" spans="1:16360" x14ac:dyDescent="0.25">
      <c r="F19" s="17">
        <f t="shared" si="15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spans="1:16360" ht="29.1" customHeight="1" x14ac:dyDescent="0.25">
      <c r="F20" s="17">
        <f t="shared" si="15"/>
        <v>11</v>
      </c>
      <c r="G20" s="172" t="s">
        <v>87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</row>
    <row r="21" spans="1:16360" x14ac:dyDescent="0.25">
      <c r="F21" s="17">
        <f t="shared" si="15"/>
        <v>12</v>
      </c>
      <c r="G21" s="12" t="s">
        <v>88</v>
      </c>
      <c r="H21" s="13"/>
      <c r="I21" s="13"/>
      <c r="J21" s="13">
        <f>Dados!$C$41</f>
        <v>6187.5</v>
      </c>
      <c r="K21" s="13">
        <f>Dados!$C$41</f>
        <v>6187.5</v>
      </c>
      <c r="L21" s="13">
        <f>Dados!$C$41</f>
        <v>6187.5</v>
      </c>
      <c r="M21" s="13">
        <f>Dados!$C$41</f>
        <v>6187.5</v>
      </c>
      <c r="N21" s="13">
        <f>Dados!$C$41</f>
        <v>6187.5</v>
      </c>
      <c r="O21" s="13">
        <f>Dados!$C$41</f>
        <v>6187.5</v>
      </c>
      <c r="P21" s="13">
        <f>Dados!$C$41</f>
        <v>6187.5</v>
      </c>
      <c r="Q21" s="13">
        <f>Dados!$C$41</f>
        <v>6187.5</v>
      </c>
      <c r="R21" s="13">
        <f>Dados!$C$41</f>
        <v>6187.5</v>
      </c>
      <c r="S21" s="13">
        <f>Dados!$C$41</f>
        <v>6187.5</v>
      </c>
      <c r="T21" s="13">
        <f>Dados!$C$41</f>
        <v>6187.5</v>
      </c>
      <c r="U21" s="13">
        <f>Dados!$C$41</f>
        <v>6187.5</v>
      </c>
      <c r="V21" s="13">
        <f>Dados!$C$41</f>
        <v>6187.5</v>
      </c>
      <c r="W21" s="13">
        <f>Dados!$C$41</f>
        <v>6187.5</v>
      </c>
      <c r="X21" s="13">
        <f>Dados!$C$41</f>
        <v>6187.5</v>
      </c>
      <c r="Y21" s="13">
        <f>Dados!$C$41</f>
        <v>6187.5</v>
      </c>
      <c r="Z21" s="13">
        <f>Dados!$C$41</f>
        <v>6187.5</v>
      </c>
      <c r="AA21" s="13">
        <f>Dados!$C$41</f>
        <v>6187.5</v>
      </c>
      <c r="AB21" s="13">
        <f>Dados!$C$41</f>
        <v>6187.5</v>
      </c>
      <c r="AC21" s="13">
        <f>Dados!$C$41</f>
        <v>6187.5</v>
      </c>
      <c r="AD21" s="13">
        <f>Dados!$C$41</f>
        <v>6187.5</v>
      </c>
      <c r="AE21" s="13">
        <f>Dados!$C$41</f>
        <v>6187.5</v>
      </c>
      <c r="AF21" s="13">
        <f>Dados!$C$41</f>
        <v>6187.5</v>
      </c>
      <c r="AG21" s="13">
        <f>Dados!$C$41</f>
        <v>6187.5</v>
      </c>
      <c r="AH21" s="13">
        <f>Dados!$C$41</f>
        <v>6187.5</v>
      </c>
      <c r="AI21" s="13">
        <f>Dados!$C$41</f>
        <v>6187.5</v>
      </c>
      <c r="AJ21" s="13">
        <f>Dados!$C$41</f>
        <v>6187.5</v>
      </c>
      <c r="AK21" s="13">
        <f>Dados!$C$41</f>
        <v>6187.5</v>
      </c>
      <c r="AL21" s="13">
        <f>Dados!$C$41</f>
        <v>6187.5</v>
      </c>
      <c r="AM21" s="13">
        <f>Dados!$C$41</f>
        <v>6187.5</v>
      </c>
      <c r="AN21" s="13">
        <f>Dados!$C$41</f>
        <v>6187.5</v>
      </c>
      <c r="AO21" s="13">
        <f>Dados!$C$41</f>
        <v>6187.5</v>
      </c>
      <c r="AP21" s="13">
        <f>Dados!$C$41</f>
        <v>6187.5</v>
      </c>
      <c r="AQ21" s="13">
        <f>Dados!$C$41</f>
        <v>6187.5</v>
      </c>
      <c r="AR21" s="13">
        <f>Dados!$C$41</f>
        <v>6187.5</v>
      </c>
      <c r="AS21" s="13">
        <f>Dados!$C$41</f>
        <v>6187.5</v>
      </c>
      <c r="AT21" s="13">
        <f>Dados!$C$41</f>
        <v>6187.5</v>
      </c>
      <c r="AU21" s="13">
        <f>Dados!$C$41</f>
        <v>6187.5</v>
      </c>
      <c r="AV21" s="13">
        <f>Dados!$C$41</f>
        <v>6187.5</v>
      </c>
    </row>
    <row r="22" spans="1:16360" x14ac:dyDescent="0.25">
      <c r="F22" s="17">
        <f t="shared" si="15"/>
        <v>13</v>
      </c>
    </row>
    <row r="23" spans="1:16360" x14ac:dyDescent="0.25">
      <c r="F23" s="17">
        <f t="shared" si="15"/>
        <v>14</v>
      </c>
    </row>
    <row r="24" spans="1:16360" x14ac:dyDescent="0.25">
      <c r="F24" s="17">
        <f t="shared" si="15"/>
        <v>15</v>
      </c>
      <c r="G24" s="16" t="s">
        <v>89</v>
      </c>
    </row>
    <row r="25" spans="1:16360" x14ac:dyDescent="0.25">
      <c r="A25" s="5"/>
      <c r="B25" s="4"/>
      <c r="C25" s="28"/>
      <c r="D25" s="28"/>
      <c r="E25" s="28"/>
      <c r="F25" s="17">
        <f t="shared" si="15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6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5"/>
      <c r="BH25" s="4"/>
      <c r="BI25" s="28"/>
      <c r="BJ25" s="28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5"/>
      <c r="CI25" s="4"/>
      <c r="CJ25" s="28"/>
      <c r="CK25" s="28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5"/>
      <c r="DJ25" s="4"/>
      <c r="DK25" s="28"/>
      <c r="DL25" s="28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5"/>
      <c r="EK25" s="4"/>
      <c r="EL25" s="28"/>
      <c r="EM25" s="28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5"/>
      <c r="FL25" s="4"/>
      <c r="FM25" s="28"/>
      <c r="FN25" s="28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5"/>
      <c r="GM25" s="4"/>
      <c r="GN25" s="28"/>
      <c r="GO25" s="28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5"/>
      <c r="HN25" s="4"/>
      <c r="HO25" s="28"/>
      <c r="HP25" s="28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5"/>
      <c r="IO25" s="4"/>
      <c r="IP25" s="28"/>
      <c r="IQ25" s="28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5"/>
      <c r="JP25" s="4"/>
      <c r="JQ25" s="28"/>
      <c r="JR25" s="28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5"/>
      <c r="KQ25" s="4"/>
      <c r="KR25" s="28"/>
      <c r="KS25" s="28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5"/>
      <c r="LR25" s="4"/>
      <c r="LS25" s="28"/>
      <c r="LT25" s="28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5"/>
      <c r="MS25" s="4"/>
      <c r="MT25" s="28"/>
      <c r="MU25" s="28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5"/>
      <c r="NT25" s="4"/>
      <c r="NU25" s="28"/>
      <c r="NV25" s="28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5"/>
      <c r="OU25" s="4"/>
      <c r="OV25" s="28"/>
      <c r="OW25" s="28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5"/>
      <c r="PV25" s="4"/>
      <c r="PW25" s="28"/>
      <c r="PX25" s="28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5"/>
      <c r="QW25" s="4"/>
      <c r="QX25" s="28"/>
      <c r="QY25" s="28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5"/>
      <c r="RX25" s="4"/>
      <c r="RY25" s="28"/>
      <c r="RZ25" s="28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5"/>
      <c r="SY25" s="4"/>
      <c r="SZ25" s="28"/>
      <c r="TA25" s="28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5"/>
      <c r="TZ25" s="4"/>
      <c r="UA25" s="28"/>
      <c r="UB25" s="28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5"/>
      <c r="VA25" s="4"/>
      <c r="VB25" s="28"/>
      <c r="VC25" s="28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5"/>
      <c r="WB25" s="4"/>
      <c r="WC25" s="28"/>
      <c r="WD25" s="28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5"/>
      <c r="XC25" s="4"/>
      <c r="XD25" s="28"/>
      <c r="XE25" s="28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5"/>
      <c r="YD25" s="4"/>
      <c r="YE25" s="28"/>
      <c r="YF25" s="28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5"/>
      <c r="ZE25" s="4"/>
      <c r="ZF25" s="28"/>
      <c r="ZG25" s="28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5"/>
      <c r="AAF25" s="4"/>
      <c r="AAG25" s="28"/>
      <c r="AAH25" s="28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5"/>
      <c r="ABG25" s="4"/>
      <c r="ABH25" s="28"/>
      <c r="ABI25" s="28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5"/>
      <c r="ACH25" s="4"/>
      <c r="ACI25" s="28"/>
      <c r="ACJ25" s="28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5"/>
      <c r="ADI25" s="4"/>
      <c r="ADJ25" s="28"/>
      <c r="ADK25" s="28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5"/>
      <c r="AEJ25" s="4"/>
      <c r="AEK25" s="28"/>
      <c r="AEL25" s="28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5"/>
      <c r="AFK25" s="4"/>
      <c r="AFL25" s="28"/>
      <c r="AFM25" s="28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5"/>
      <c r="AGL25" s="4"/>
      <c r="AGM25" s="28"/>
      <c r="AGN25" s="28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5"/>
      <c r="AHM25" s="4"/>
      <c r="AHN25" s="28"/>
      <c r="AHO25" s="28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5"/>
      <c r="AIN25" s="4"/>
      <c r="AIO25" s="28"/>
      <c r="AIP25" s="28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5"/>
      <c r="AJO25" s="4"/>
      <c r="AJP25" s="28"/>
      <c r="AJQ25" s="28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5"/>
      <c r="AKP25" s="4"/>
      <c r="AKQ25" s="28"/>
      <c r="AKR25" s="28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5"/>
      <c r="ALQ25" s="4"/>
      <c r="ALR25" s="28"/>
      <c r="ALS25" s="28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5"/>
      <c r="AMR25" s="4"/>
      <c r="AMS25" s="28"/>
      <c r="AMT25" s="28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5"/>
      <c r="ANS25" s="4"/>
      <c r="ANT25" s="28"/>
      <c r="ANU25" s="28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5"/>
      <c r="AOT25" s="4"/>
      <c r="AOU25" s="28"/>
      <c r="AOV25" s="28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5"/>
      <c r="APU25" s="4"/>
      <c r="APV25" s="28"/>
      <c r="APW25" s="28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5"/>
      <c r="AQV25" s="4"/>
      <c r="AQW25" s="28"/>
      <c r="AQX25" s="28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5"/>
      <c r="ARW25" s="4"/>
      <c r="ARX25" s="28"/>
      <c r="ARY25" s="28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5"/>
      <c r="ASX25" s="4"/>
      <c r="ASY25" s="28"/>
      <c r="ASZ25" s="28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5"/>
      <c r="ATY25" s="4"/>
      <c r="ATZ25" s="28"/>
      <c r="AUA25" s="28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5"/>
      <c r="AUZ25" s="4"/>
      <c r="AVA25" s="28"/>
      <c r="AVB25" s="28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5"/>
      <c r="AWA25" s="4"/>
      <c r="AWB25" s="28"/>
      <c r="AWC25" s="28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5"/>
      <c r="AXB25" s="4"/>
      <c r="AXC25" s="28"/>
      <c r="AXD25" s="28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5"/>
      <c r="AYC25" s="4"/>
      <c r="AYD25" s="28"/>
      <c r="AYE25" s="28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5"/>
      <c r="AZD25" s="4"/>
      <c r="AZE25" s="28"/>
      <c r="AZF25" s="28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5"/>
      <c r="BAE25" s="4"/>
      <c r="BAF25" s="28"/>
      <c r="BAG25" s="28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5"/>
      <c r="BBF25" s="4"/>
      <c r="BBG25" s="28"/>
      <c r="BBH25" s="28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5"/>
      <c r="BCG25" s="4"/>
      <c r="BCH25" s="28"/>
      <c r="BCI25" s="28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5"/>
      <c r="BDH25" s="4"/>
      <c r="BDI25" s="28"/>
      <c r="BDJ25" s="28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5"/>
      <c r="BEI25" s="4"/>
      <c r="BEJ25" s="28"/>
      <c r="BEK25" s="28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5"/>
      <c r="BFJ25" s="4"/>
      <c r="BFK25" s="28"/>
      <c r="BFL25" s="28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5"/>
      <c r="BGK25" s="4"/>
      <c r="BGL25" s="28"/>
      <c r="BGM25" s="28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5"/>
      <c r="BHL25" s="4"/>
      <c r="BHM25" s="28"/>
      <c r="BHN25" s="28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5"/>
      <c r="BIM25" s="4"/>
      <c r="BIN25" s="28"/>
      <c r="BIO25" s="28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5"/>
      <c r="BJN25" s="4"/>
      <c r="BJO25" s="28"/>
      <c r="BJP25" s="28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5"/>
      <c r="BKO25" s="4"/>
      <c r="BKP25" s="28"/>
      <c r="BKQ25" s="28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5"/>
      <c r="BLP25" s="4"/>
      <c r="BLQ25" s="28"/>
      <c r="BLR25" s="28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5"/>
      <c r="BMQ25" s="4"/>
      <c r="BMR25" s="28"/>
      <c r="BMS25" s="28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5"/>
      <c r="BNR25" s="4"/>
      <c r="BNS25" s="28"/>
      <c r="BNT25" s="28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5"/>
      <c r="BOS25" s="4"/>
      <c r="BOT25" s="28"/>
      <c r="BOU25" s="28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5"/>
      <c r="BPT25" s="4"/>
      <c r="BPU25" s="28"/>
      <c r="BPV25" s="28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5"/>
      <c r="BQU25" s="4"/>
      <c r="BQV25" s="28"/>
      <c r="BQW25" s="28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5"/>
      <c r="BRV25" s="4"/>
      <c r="BRW25" s="28"/>
      <c r="BRX25" s="28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5"/>
      <c r="BSW25" s="4"/>
      <c r="BSX25" s="28"/>
      <c r="BSY25" s="28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5"/>
      <c r="BTX25" s="4"/>
      <c r="BTY25" s="28"/>
      <c r="BTZ25" s="28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5"/>
      <c r="BUY25" s="4"/>
      <c r="BUZ25" s="28"/>
      <c r="BVA25" s="28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5"/>
      <c r="BVZ25" s="4"/>
      <c r="BWA25" s="28"/>
      <c r="BWB25" s="28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5"/>
      <c r="BXA25" s="4"/>
      <c r="BXB25" s="28"/>
      <c r="BXC25" s="28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5"/>
      <c r="BYB25" s="4"/>
      <c r="BYC25" s="28"/>
      <c r="BYD25" s="28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5"/>
      <c r="BZC25" s="4"/>
      <c r="BZD25" s="28"/>
      <c r="BZE25" s="28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5"/>
      <c r="CAD25" s="4"/>
      <c r="CAE25" s="28"/>
      <c r="CAF25" s="28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5"/>
      <c r="CBE25" s="4"/>
      <c r="CBF25" s="28"/>
      <c r="CBG25" s="28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5"/>
      <c r="CCF25" s="4"/>
      <c r="CCG25" s="28"/>
      <c r="CCH25" s="28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5"/>
      <c r="CDG25" s="4"/>
      <c r="CDH25" s="28"/>
      <c r="CDI25" s="28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5"/>
      <c r="CEH25" s="4"/>
      <c r="CEI25" s="28"/>
      <c r="CEJ25" s="28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5"/>
      <c r="CFI25" s="4"/>
      <c r="CFJ25" s="28"/>
      <c r="CFK25" s="28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5"/>
      <c r="CGJ25" s="4"/>
      <c r="CGK25" s="28"/>
      <c r="CGL25" s="28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5"/>
      <c r="CHK25" s="4"/>
      <c r="CHL25" s="28"/>
      <c r="CHM25" s="28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5"/>
      <c r="CIL25" s="4"/>
      <c r="CIM25" s="28"/>
      <c r="CIN25" s="28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5"/>
      <c r="CJM25" s="4"/>
      <c r="CJN25" s="28"/>
      <c r="CJO25" s="28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5"/>
      <c r="CKN25" s="4"/>
      <c r="CKO25" s="28"/>
      <c r="CKP25" s="28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5"/>
      <c r="CLO25" s="4"/>
      <c r="CLP25" s="28"/>
      <c r="CLQ25" s="28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5"/>
      <c r="CMP25" s="4"/>
      <c r="CMQ25" s="28"/>
      <c r="CMR25" s="28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5"/>
      <c r="CNQ25" s="4"/>
      <c r="CNR25" s="28"/>
      <c r="CNS25" s="28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5"/>
      <c r="COR25" s="4"/>
      <c r="COS25" s="28"/>
      <c r="COT25" s="28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5"/>
      <c r="CPS25" s="4"/>
      <c r="CPT25" s="28"/>
      <c r="CPU25" s="28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5"/>
      <c r="CQT25" s="4"/>
      <c r="CQU25" s="28"/>
      <c r="CQV25" s="28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5"/>
      <c r="CRU25" s="4"/>
      <c r="CRV25" s="28"/>
      <c r="CRW25" s="28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5"/>
      <c r="CSV25" s="4"/>
      <c r="CSW25" s="28"/>
      <c r="CSX25" s="28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5"/>
      <c r="CTW25" s="4"/>
      <c r="CTX25" s="28"/>
      <c r="CTY25" s="28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5"/>
      <c r="CUX25" s="4"/>
      <c r="CUY25" s="28"/>
      <c r="CUZ25" s="28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5"/>
      <c r="CVY25" s="4"/>
      <c r="CVZ25" s="28"/>
      <c r="CWA25" s="28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5"/>
      <c r="CWZ25" s="4"/>
      <c r="CXA25" s="28"/>
      <c r="CXB25" s="28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5"/>
      <c r="CYA25" s="4"/>
      <c r="CYB25" s="28"/>
      <c r="CYC25" s="28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5"/>
      <c r="CZB25" s="4"/>
      <c r="CZC25" s="28"/>
      <c r="CZD25" s="28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5"/>
      <c r="DAC25" s="4"/>
      <c r="DAD25" s="28"/>
      <c r="DAE25" s="28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5"/>
      <c r="DBD25" s="4"/>
      <c r="DBE25" s="28"/>
      <c r="DBF25" s="28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5"/>
      <c r="DCE25" s="4"/>
      <c r="DCF25" s="28"/>
      <c r="DCG25" s="28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5"/>
      <c r="DDF25" s="4"/>
      <c r="DDG25" s="28"/>
      <c r="DDH25" s="28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5"/>
      <c r="DEG25" s="4"/>
      <c r="DEH25" s="28"/>
      <c r="DEI25" s="28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5"/>
      <c r="DFH25" s="4"/>
      <c r="DFI25" s="28"/>
      <c r="DFJ25" s="28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5"/>
      <c r="DGI25" s="4"/>
      <c r="DGJ25" s="28"/>
      <c r="DGK25" s="28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5"/>
      <c r="DHJ25" s="4"/>
      <c r="DHK25" s="28"/>
      <c r="DHL25" s="28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5"/>
      <c r="DIK25" s="4"/>
      <c r="DIL25" s="28"/>
      <c r="DIM25" s="28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5"/>
      <c r="DJL25" s="4"/>
      <c r="DJM25" s="28"/>
      <c r="DJN25" s="28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5"/>
      <c r="DKM25" s="4"/>
      <c r="DKN25" s="28"/>
      <c r="DKO25" s="28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5"/>
      <c r="DLN25" s="4"/>
      <c r="DLO25" s="28"/>
      <c r="DLP25" s="28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5"/>
      <c r="DMO25" s="4"/>
      <c r="DMP25" s="28"/>
      <c r="DMQ25" s="28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5"/>
      <c r="DNP25" s="4"/>
      <c r="DNQ25" s="28"/>
      <c r="DNR25" s="28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5"/>
      <c r="DOQ25" s="4"/>
      <c r="DOR25" s="28"/>
      <c r="DOS25" s="28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5"/>
      <c r="DPR25" s="4"/>
      <c r="DPS25" s="28"/>
      <c r="DPT25" s="28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5"/>
      <c r="DQS25" s="4"/>
      <c r="DQT25" s="28"/>
      <c r="DQU25" s="28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5"/>
      <c r="DRT25" s="4"/>
      <c r="DRU25" s="28"/>
      <c r="DRV25" s="28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5"/>
      <c r="DSU25" s="4"/>
      <c r="DSV25" s="28"/>
      <c r="DSW25" s="28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5"/>
      <c r="DTV25" s="4"/>
      <c r="DTW25" s="28"/>
      <c r="DTX25" s="28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5"/>
      <c r="DUW25" s="4"/>
      <c r="DUX25" s="28"/>
      <c r="DUY25" s="28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5"/>
      <c r="DVX25" s="4"/>
      <c r="DVY25" s="28"/>
      <c r="DVZ25" s="28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5"/>
      <c r="DWY25" s="4"/>
      <c r="DWZ25" s="28"/>
      <c r="DXA25" s="28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5"/>
      <c r="DXZ25" s="4"/>
      <c r="DYA25" s="28"/>
      <c r="DYB25" s="28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5"/>
      <c r="DZA25" s="4"/>
      <c r="DZB25" s="28"/>
      <c r="DZC25" s="28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5"/>
      <c r="EAB25" s="4"/>
      <c r="EAC25" s="28"/>
      <c r="EAD25" s="28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5"/>
      <c r="EBC25" s="4"/>
      <c r="EBD25" s="28"/>
      <c r="EBE25" s="28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5"/>
      <c r="ECD25" s="4"/>
      <c r="ECE25" s="28"/>
      <c r="ECF25" s="28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5"/>
      <c r="EDE25" s="4"/>
      <c r="EDF25" s="28"/>
      <c r="EDG25" s="28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5"/>
      <c r="EEF25" s="4"/>
      <c r="EEG25" s="28"/>
      <c r="EEH25" s="28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5"/>
      <c r="EFG25" s="4"/>
      <c r="EFH25" s="28"/>
      <c r="EFI25" s="28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5"/>
      <c r="EGH25" s="4"/>
      <c r="EGI25" s="28"/>
      <c r="EGJ25" s="28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5"/>
      <c r="EHI25" s="4"/>
      <c r="EHJ25" s="28"/>
      <c r="EHK25" s="28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5"/>
      <c r="EIJ25" s="4"/>
      <c r="EIK25" s="28"/>
      <c r="EIL25" s="28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5"/>
      <c r="EJK25" s="4"/>
      <c r="EJL25" s="28"/>
      <c r="EJM25" s="28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5"/>
      <c r="EKL25" s="4"/>
      <c r="EKM25" s="28"/>
      <c r="EKN25" s="28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5"/>
      <c r="ELM25" s="4"/>
      <c r="ELN25" s="28"/>
      <c r="ELO25" s="28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5"/>
      <c r="EMN25" s="4"/>
      <c r="EMO25" s="28"/>
      <c r="EMP25" s="28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5"/>
      <c r="ENO25" s="4"/>
      <c r="ENP25" s="28"/>
      <c r="ENQ25" s="28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5"/>
      <c r="EOP25" s="4"/>
      <c r="EOQ25" s="28"/>
      <c r="EOR25" s="28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5"/>
      <c r="EPQ25" s="4"/>
      <c r="EPR25" s="28"/>
      <c r="EPS25" s="28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5"/>
      <c r="EQR25" s="4"/>
      <c r="EQS25" s="28"/>
      <c r="EQT25" s="28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5"/>
      <c r="ERS25" s="4"/>
      <c r="ERT25" s="28"/>
      <c r="ERU25" s="28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5"/>
      <c r="EST25" s="4"/>
      <c r="ESU25" s="28"/>
      <c r="ESV25" s="28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5"/>
      <c r="ETU25" s="4"/>
      <c r="ETV25" s="28"/>
      <c r="ETW25" s="28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5"/>
      <c r="EUV25" s="4"/>
      <c r="EUW25" s="28"/>
      <c r="EUX25" s="28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5"/>
      <c r="EVW25" s="4"/>
      <c r="EVX25" s="28"/>
      <c r="EVY25" s="28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5"/>
      <c r="EWX25" s="4"/>
      <c r="EWY25" s="28"/>
      <c r="EWZ25" s="28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5"/>
      <c r="EXY25" s="4"/>
      <c r="EXZ25" s="28"/>
      <c r="EYA25" s="28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5"/>
      <c r="EYZ25" s="4"/>
      <c r="EZA25" s="28"/>
      <c r="EZB25" s="28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5"/>
      <c r="FAA25" s="4"/>
      <c r="FAB25" s="28"/>
      <c r="FAC25" s="28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5"/>
      <c r="FBB25" s="4"/>
      <c r="FBC25" s="28"/>
      <c r="FBD25" s="28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5"/>
      <c r="FCC25" s="4"/>
      <c r="FCD25" s="28"/>
      <c r="FCE25" s="28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5"/>
      <c r="FDD25" s="4"/>
      <c r="FDE25" s="28"/>
      <c r="FDF25" s="28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5"/>
      <c r="FEE25" s="4"/>
      <c r="FEF25" s="28"/>
      <c r="FEG25" s="28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5"/>
      <c r="FFF25" s="4"/>
      <c r="FFG25" s="28"/>
      <c r="FFH25" s="28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5"/>
      <c r="FGG25" s="4"/>
      <c r="FGH25" s="28"/>
      <c r="FGI25" s="28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5"/>
      <c r="FHH25" s="4"/>
      <c r="FHI25" s="28"/>
      <c r="FHJ25" s="28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5"/>
      <c r="FII25" s="4"/>
      <c r="FIJ25" s="28"/>
      <c r="FIK25" s="28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5"/>
      <c r="FJJ25" s="4"/>
      <c r="FJK25" s="28"/>
      <c r="FJL25" s="28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5"/>
      <c r="FKK25" s="4"/>
      <c r="FKL25" s="28"/>
      <c r="FKM25" s="28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5"/>
      <c r="FLL25" s="4"/>
      <c r="FLM25" s="28"/>
      <c r="FLN25" s="28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5"/>
      <c r="FMM25" s="4"/>
      <c r="FMN25" s="28"/>
      <c r="FMO25" s="28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5"/>
      <c r="FNN25" s="4"/>
      <c r="FNO25" s="28"/>
      <c r="FNP25" s="28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5"/>
      <c r="FOO25" s="4"/>
      <c r="FOP25" s="28"/>
      <c r="FOQ25" s="28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5"/>
      <c r="FPP25" s="4"/>
      <c r="FPQ25" s="28"/>
      <c r="FPR25" s="28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5"/>
      <c r="FQQ25" s="4"/>
      <c r="FQR25" s="28"/>
      <c r="FQS25" s="28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5"/>
      <c r="FRR25" s="4"/>
      <c r="FRS25" s="28"/>
      <c r="FRT25" s="28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5"/>
      <c r="FSS25" s="4"/>
      <c r="FST25" s="28"/>
      <c r="FSU25" s="28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5"/>
      <c r="FTT25" s="4"/>
      <c r="FTU25" s="28"/>
      <c r="FTV25" s="28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5"/>
      <c r="FUU25" s="4"/>
      <c r="FUV25" s="28"/>
      <c r="FUW25" s="28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5"/>
      <c r="FVV25" s="4"/>
      <c r="FVW25" s="28"/>
      <c r="FVX25" s="28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5"/>
      <c r="FWW25" s="4"/>
      <c r="FWX25" s="28"/>
      <c r="FWY25" s="28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5"/>
      <c r="FXX25" s="4"/>
      <c r="FXY25" s="28"/>
      <c r="FXZ25" s="28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5"/>
      <c r="FYY25" s="4"/>
      <c r="FYZ25" s="28"/>
      <c r="FZA25" s="28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5"/>
      <c r="FZZ25" s="4"/>
      <c r="GAA25" s="28"/>
      <c r="GAB25" s="28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5"/>
      <c r="GBA25" s="4"/>
      <c r="GBB25" s="28"/>
      <c r="GBC25" s="28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5"/>
      <c r="GCB25" s="4"/>
      <c r="GCC25" s="28"/>
      <c r="GCD25" s="28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5"/>
      <c r="GDC25" s="4"/>
      <c r="GDD25" s="28"/>
      <c r="GDE25" s="28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5"/>
      <c r="GED25" s="4"/>
      <c r="GEE25" s="28"/>
      <c r="GEF25" s="28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5"/>
      <c r="GFE25" s="4"/>
      <c r="GFF25" s="28"/>
      <c r="GFG25" s="28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5"/>
      <c r="GGF25" s="4"/>
      <c r="GGG25" s="28"/>
      <c r="GGH25" s="28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5"/>
      <c r="GHG25" s="4"/>
      <c r="GHH25" s="28"/>
      <c r="GHI25" s="28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5"/>
      <c r="GIH25" s="4"/>
      <c r="GII25" s="28"/>
      <c r="GIJ25" s="28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5"/>
      <c r="GJI25" s="4"/>
      <c r="GJJ25" s="28"/>
      <c r="GJK25" s="28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5"/>
      <c r="GKJ25" s="4"/>
      <c r="GKK25" s="28"/>
      <c r="GKL25" s="28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5"/>
      <c r="GLK25" s="4"/>
      <c r="GLL25" s="28"/>
      <c r="GLM25" s="28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5"/>
      <c r="GML25" s="4"/>
      <c r="GMM25" s="28"/>
      <c r="GMN25" s="28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5"/>
      <c r="GNM25" s="4"/>
      <c r="GNN25" s="28"/>
      <c r="GNO25" s="28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5"/>
      <c r="GON25" s="4"/>
      <c r="GOO25" s="28"/>
      <c r="GOP25" s="28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5"/>
      <c r="GPO25" s="4"/>
      <c r="GPP25" s="28"/>
      <c r="GPQ25" s="28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5"/>
      <c r="GQP25" s="4"/>
      <c r="GQQ25" s="28"/>
      <c r="GQR25" s="28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5"/>
      <c r="GRQ25" s="4"/>
      <c r="GRR25" s="28"/>
      <c r="GRS25" s="28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5"/>
      <c r="GSR25" s="4"/>
      <c r="GSS25" s="28"/>
      <c r="GST25" s="28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5"/>
      <c r="GTS25" s="4"/>
      <c r="GTT25" s="28"/>
      <c r="GTU25" s="28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5"/>
      <c r="GUT25" s="4"/>
      <c r="GUU25" s="28"/>
      <c r="GUV25" s="28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5"/>
      <c r="GVU25" s="4"/>
      <c r="GVV25" s="28"/>
      <c r="GVW25" s="28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5"/>
      <c r="GWV25" s="4"/>
      <c r="GWW25" s="28"/>
      <c r="GWX25" s="28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5"/>
      <c r="GXW25" s="4"/>
      <c r="GXX25" s="28"/>
      <c r="GXY25" s="28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5"/>
      <c r="GYX25" s="4"/>
      <c r="GYY25" s="28"/>
      <c r="GYZ25" s="28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5"/>
      <c r="GZY25" s="4"/>
      <c r="GZZ25" s="28"/>
      <c r="HAA25" s="28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5"/>
      <c r="HAZ25" s="4"/>
      <c r="HBA25" s="28"/>
      <c r="HBB25" s="28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5"/>
      <c r="HCA25" s="4"/>
      <c r="HCB25" s="28"/>
      <c r="HCC25" s="28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5"/>
      <c r="HDB25" s="4"/>
      <c r="HDC25" s="28"/>
      <c r="HDD25" s="28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5"/>
      <c r="HEC25" s="4"/>
      <c r="HED25" s="28"/>
      <c r="HEE25" s="28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5"/>
      <c r="HFD25" s="4"/>
      <c r="HFE25" s="28"/>
      <c r="HFF25" s="28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5"/>
      <c r="HGE25" s="4"/>
      <c r="HGF25" s="28"/>
      <c r="HGG25" s="28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5"/>
      <c r="HHF25" s="4"/>
      <c r="HHG25" s="28"/>
      <c r="HHH25" s="28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5"/>
      <c r="HIG25" s="4"/>
      <c r="HIH25" s="28"/>
      <c r="HII25" s="28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5"/>
      <c r="HJH25" s="4"/>
      <c r="HJI25" s="28"/>
      <c r="HJJ25" s="28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5"/>
      <c r="HKI25" s="4"/>
      <c r="HKJ25" s="28"/>
      <c r="HKK25" s="28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5"/>
      <c r="HLJ25" s="4"/>
      <c r="HLK25" s="28"/>
      <c r="HLL25" s="28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5"/>
      <c r="HMK25" s="4"/>
      <c r="HML25" s="28"/>
      <c r="HMM25" s="28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5"/>
      <c r="HNL25" s="4"/>
      <c r="HNM25" s="28"/>
      <c r="HNN25" s="28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5"/>
      <c r="HOM25" s="4"/>
      <c r="HON25" s="28"/>
      <c r="HOO25" s="28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5"/>
      <c r="HPN25" s="4"/>
      <c r="HPO25" s="28"/>
      <c r="HPP25" s="28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5"/>
      <c r="HQO25" s="4"/>
      <c r="HQP25" s="28"/>
      <c r="HQQ25" s="28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5"/>
      <c r="HRP25" s="4"/>
      <c r="HRQ25" s="28"/>
      <c r="HRR25" s="28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5"/>
      <c r="HSQ25" s="4"/>
      <c r="HSR25" s="28"/>
      <c r="HSS25" s="28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5"/>
      <c r="HTR25" s="4"/>
      <c r="HTS25" s="28"/>
      <c r="HTT25" s="28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5"/>
      <c r="HUS25" s="4"/>
      <c r="HUT25" s="28"/>
      <c r="HUU25" s="28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5"/>
      <c r="HVT25" s="4"/>
      <c r="HVU25" s="28"/>
      <c r="HVV25" s="28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5"/>
      <c r="HWU25" s="4"/>
      <c r="HWV25" s="28"/>
      <c r="HWW25" s="28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5"/>
      <c r="HXV25" s="4"/>
      <c r="HXW25" s="28"/>
      <c r="HXX25" s="28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5"/>
      <c r="HYW25" s="4"/>
      <c r="HYX25" s="28"/>
      <c r="HYY25" s="28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5"/>
      <c r="HZX25" s="4"/>
      <c r="HZY25" s="28"/>
      <c r="HZZ25" s="28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5"/>
      <c r="IAY25" s="4"/>
      <c r="IAZ25" s="28"/>
      <c r="IBA25" s="28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5"/>
      <c r="IBZ25" s="4"/>
      <c r="ICA25" s="28"/>
      <c r="ICB25" s="28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5"/>
      <c r="IDA25" s="4"/>
      <c r="IDB25" s="28"/>
      <c r="IDC25" s="28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5"/>
      <c r="IEB25" s="4"/>
      <c r="IEC25" s="28"/>
      <c r="IED25" s="28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5"/>
      <c r="IFC25" s="4"/>
      <c r="IFD25" s="28"/>
      <c r="IFE25" s="28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5"/>
      <c r="IGD25" s="4"/>
      <c r="IGE25" s="28"/>
      <c r="IGF25" s="28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5"/>
      <c r="IHE25" s="4"/>
      <c r="IHF25" s="28"/>
      <c r="IHG25" s="28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5"/>
      <c r="IIF25" s="4"/>
      <c r="IIG25" s="28"/>
      <c r="IIH25" s="28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5"/>
      <c r="IJG25" s="4"/>
      <c r="IJH25" s="28"/>
      <c r="IJI25" s="28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5"/>
      <c r="IKH25" s="4"/>
      <c r="IKI25" s="28"/>
      <c r="IKJ25" s="28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5"/>
      <c r="ILI25" s="4"/>
      <c r="ILJ25" s="28"/>
      <c r="ILK25" s="28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5"/>
      <c r="IMJ25" s="4"/>
      <c r="IMK25" s="28"/>
      <c r="IML25" s="28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5"/>
      <c r="INK25" s="4"/>
      <c r="INL25" s="28"/>
      <c r="INM25" s="28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5"/>
      <c r="IOL25" s="4"/>
      <c r="IOM25" s="28"/>
      <c r="ION25" s="28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5"/>
      <c r="IPM25" s="4"/>
      <c r="IPN25" s="28"/>
      <c r="IPO25" s="28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5"/>
      <c r="IQN25" s="4"/>
      <c r="IQO25" s="28"/>
      <c r="IQP25" s="28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5"/>
      <c r="IRO25" s="4"/>
      <c r="IRP25" s="28"/>
      <c r="IRQ25" s="28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5"/>
      <c r="ISP25" s="4"/>
      <c r="ISQ25" s="28"/>
      <c r="ISR25" s="28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5"/>
      <c r="ITQ25" s="4"/>
      <c r="ITR25" s="28"/>
      <c r="ITS25" s="28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5"/>
      <c r="IUR25" s="4"/>
      <c r="IUS25" s="28"/>
      <c r="IUT25" s="28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5"/>
      <c r="IVS25" s="4"/>
      <c r="IVT25" s="28"/>
      <c r="IVU25" s="28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5"/>
      <c r="IWT25" s="4"/>
      <c r="IWU25" s="28"/>
      <c r="IWV25" s="28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5"/>
      <c r="IXU25" s="4"/>
      <c r="IXV25" s="28"/>
      <c r="IXW25" s="28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5"/>
      <c r="IYV25" s="4"/>
      <c r="IYW25" s="28"/>
      <c r="IYX25" s="28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5"/>
      <c r="IZW25" s="4"/>
      <c r="IZX25" s="28"/>
      <c r="IZY25" s="28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5"/>
      <c r="JAX25" s="4"/>
      <c r="JAY25" s="28"/>
      <c r="JAZ25" s="28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5"/>
      <c r="JBY25" s="4"/>
      <c r="JBZ25" s="28"/>
      <c r="JCA25" s="28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5"/>
      <c r="JCZ25" s="4"/>
      <c r="JDA25" s="28"/>
      <c r="JDB25" s="28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5"/>
      <c r="JEA25" s="4"/>
      <c r="JEB25" s="28"/>
      <c r="JEC25" s="28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5"/>
      <c r="JFB25" s="4"/>
      <c r="JFC25" s="28"/>
      <c r="JFD25" s="28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5"/>
      <c r="JGC25" s="4"/>
      <c r="JGD25" s="28"/>
      <c r="JGE25" s="28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5"/>
      <c r="JHD25" s="4"/>
      <c r="JHE25" s="28"/>
      <c r="JHF25" s="28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5"/>
      <c r="JIE25" s="4"/>
      <c r="JIF25" s="28"/>
      <c r="JIG25" s="28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5"/>
      <c r="JJF25" s="4"/>
      <c r="JJG25" s="28"/>
      <c r="JJH25" s="28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5"/>
      <c r="JKG25" s="4"/>
      <c r="JKH25" s="28"/>
      <c r="JKI25" s="28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5"/>
      <c r="JLH25" s="4"/>
      <c r="JLI25" s="28"/>
      <c r="JLJ25" s="28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5"/>
      <c r="JMI25" s="4"/>
      <c r="JMJ25" s="28"/>
      <c r="JMK25" s="28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5"/>
      <c r="JNJ25" s="4"/>
      <c r="JNK25" s="28"/>
      <c r="JNL25" s="28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5"/>
      <c r="JOK25" s="4"/>
      <c r="JOL25" s="28"/>
      <c r="JOM25" s="28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5"/>
      <c r="JPL25" s="4"/>
      <c r="JPM25" s="28"/>
      <c r="JPN25" s="28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5"/>
      <c r="JQM25" s="4"/>
      <c r="JQN25" s="28"/>
      <c r="JQO25" s="28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5"/>
      <c r="JRN25" s="4"/>
      <c r="JRO25" s="28"/>
      <c r="JRP25" s="28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5"/>
      <c r="JSO25" s="4"/>
      <c r="JSP25" s="28"/>
      <c r="JSQ25" s="28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5"/>
      <c r="JTP25" s="4"/>
      <c r="JTQ25" s="28"/>
      <c r="JTR25" s="28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5"/>
      <c r="JUQ25" s="4"/>
      <c r="JUR25" s="28"/>
      <c r="JUS25" s="28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5"/>
      <c r="JVR25" s="4"/>
      <c r="JVS25" s="28"/>
      <c r="JVT25" s="28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5"/>
      <c r="JWS25" s="4"/>
      <c r="JWT25" s="28"/>
      <c r="JWU25" s="28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5"/>
      <c r="JXT25" s="4"/>
      <c r="JXU25" s="28"/>
      <c r="JXV25" s="28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5"/>
      <c r="JYU25" s="4"/>
      <c r="JYV25" s="28"/>
      <c r="JYW25" s="28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5"/>
      <c r="JZV25" s="4"/>
      <c r="JZW25" s="28"/>
      <c r="JZX25" s="28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5"/>
      <c r="KAW25" s="4"/>
      <c r="KAX25" s="28"/>
      <c r="KAY25" s="28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5"/>
      <c r="KBX25" s="4"/>
      <c r="KBY25" s="28"/>
      <c r="KBZ25" s="28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5"/>
      <c r="KCY25" s="4"/>
      <c r="KCZ25" s="28"/>
      <c r="KDA25" s="28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5"/>
      <c r="KDZ25" s="4"/>
      <c r="KEA25" s="28"/>
      <c r="KEB25" s="28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5"/>
      <c r="KFA25" s="4"/>
      <c r="KFB25" s="28"/>
      <c r="KFC25" s="28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5"/>
      <c r="KGB25" s="4"/>
      <c r="KGC25" s="28"/>
      <c r="KGD25" s="28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5"/>
      <c r="KHC25" s="4"/>
      <c r="KHD25" s="28"/>
      <c r="KHE25" s="28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5"/>
      <c r="KID25" s="4"/>
      <c r="KIE25" s="28"/>
      <c r="KIF25" s="28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5"/>
      <c r="KJE25" s="4"/>
      <c r="KJF25" s="28"/>
      <c r="KJG25" s="28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5"/>
      <c r="KKF25" s="4"/>
      <c r="KKG25" s="28"/>
      <c r="KKH25" s="28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5"/>
      <c r="KLG25" s="4"/>
      <c r="KLH25" s="28"/>
      <c r="KLI25" s="28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5"/>
      <c r="KMH25" s="4"/>
      <c r="KMI25" s="28"/>
      <c r="KMJ25" s="28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5"/>
      <c r="KNI25" s="4"/>
      <c r="KNJ25" s="28"/>
      <c r="KNK25" s="28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5"/>
      <c r="KOJ25" s="4"/>
      <c r="KOK25" s="28"/>
      <c r="KOL25" s="28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5"/>
      <c r="KPK25" s="4"/>
      <c r="KPL25" s="28"/>
      <c r="KPM25" s="28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5"/>
      <c r="KQL25" s="4"/>
      <c r="KQM25" s="28"/>
      <c r="KQN25" s="28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5"/>
      <c r="KRM25" s="4"/>
      <c r="KRN25" s="28"/>
      <c r="KRO25" s="28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5"/>
      <c r="KSN25" s="4"/>
      <c r="KSO25" s="28"/>
      <c r="KSP25" s="28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5"/>
      <c r="KTO25" s="4"/>
      <c r="KTP25" s="28"/>
      <c r="KTQ25" s="28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5"/>
      <c r="KUP25" s="4"/>
      <c r="KUQ25" s="28"/>
      <c r="KUR25" s="28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5"/>
      <c r="KVQ25" s="4"/>
      <c r="KVR25" s="28"/>
      <c r="KVS25" s="28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5"/>
      <c r="KWR25" s="4"/>
      <c r="KWS25" s="28"/>
      <c r="KWT25" s="28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5"/>
      <c r="KXS25" s="4"/>
      <c r="KXT25" s="28"/>
      <c r="KXU25" s="28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5"/>
      <c r="KYT25" s="4"/>
      <c r="KYU25" s="28"/>
      <c r="KYV25" s="28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5"/>
      <c r="KZU25" s="4"/>
      <c r="KZV25" s="28"/>
      <c r="KZW25" s="28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5"/>
      <c r="LAV25" s="4"/>
      <c r="LAW25" s="28"/>
      <c r="LAX25" s="28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5"/>
      <c r="LBW25" s="4"/>
      <c r="LBX25" s="28"/>
      <c r="LBY25" s="28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5"/>
      <c r="LCX25" s="4"/>
      <c r="LCY25" s="28"/>
      <c r="LCZ25" s="28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5"/>
      <c r="LDY25" s="4"/>
      <c r="LDZ25" s="28"/>
      <c r="LEA25" s="28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5"/>
      <c r="LEZ25" s="4"/>
      <c r="LFA25" s="28"/>
      <c r="LFB25" s="28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5"/>
      <c r="LGA25" s="4"/>
      <c r="LGB25" s="28"/>
      <c r="LGC25" s="28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5"/>
      <c r="LHB25" s="4"/>
      <c r="LHC25" s="28"/>
      <c r="LHD25" s="28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5"/>
      <c r="LIC25" s="4"/>
      <c r="LID25" s="28"/>
      <c r="LIE25" s="28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5"/>
      <c r="LJD25" s="4"/>
      <c r="LJE25" s="28"/>
      <c r="LJF25" s="28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5"/>
      <c r="LKE25" s="4"/>
      <c r="LKF25" s="28"/>
      <c r="LKG25" s="28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5"/>
      <c r="LLF25" s="4"/>
      <c r="LLG25" s="28"/>
      <c r="LLH25" s="28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5"/>
      <c r="LMG25" s="4"/>
      <c r="LMH25" s="28"/>
      <c r="LMI25" s="28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5"/>
      <c r="LNH25" s="4"/>
      <c r="LNI25" s="28"/>
      <c r="LNJ25" s="28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5"/>
      <c r="LOI25" s="4"/>
      <c r="LOJ25" s="28"/>
      <c r="LOK25" s="28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5"/>
      <c r="LPJ25" s="4"/>
      <c r="LPK25" s="28"/>
      <c r="LPL25" s="28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5"/>
      <c r="LQK25" s="4"/>
      <c r="LQL25" s="28"/>
      <c r="LQM25" s="28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5"/>
      <c r="LRL25" s="4"/>
      <c r="LRM25" s="28"/>
      <c r="LRN25" s="28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5"/>
      <c r="LSM25" s="4"/>
      <c r="LSN25" s="28"/>
      <c r="LSO25" s="28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5"/>
      <c r="LTN25" s="4"/>
      <c r="LTO25" s="28"/>
      <c r="LTP25" s="28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5"/>
      <c r="LUO25" s="4"/>
      <c r="LUP25" s="28"/>
      <c r="LUQ25" s="28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5"/>
      <c r="LVP25" s="4"/>
      <c r="LVQ25" s="28"/>
      <c r="LVR25" s="28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5"/>
      <c r="LWQ25" s="4"/>
      <c r="LWR25" s="28"/>
      <c r="LWS25" s="28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5"/>
      <c r="LXR25" s="4"/>
      <c r="LXS25" s="28"/>
      <c r="LXT25" s="28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5"/>
      <c r="LYS25" s="4"/>
      <c r="LYT25" s="28"/>
      <c r="LYU25" s="28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5"/>
      <c r="LZT25" s="4"/>
      <c r="LZU25" s="28"/>
      <c r="LZV25" s="28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5"/>
      <c r="MAU25" s="4"/>
      <c r="MAV25" s="28"/>
      <c r="MAW25" s="28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5"/>
      <c r="MBV25" s="4"/>
      <c r="MBW25" s="28"/>
      <c r="MBX25" s="28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5"/>
      <c r="MCW25" s="4"/>
      <c r="MCX25" s="28"/>
      <c r="MCY25" s="28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5"/>
      <c r="MDX25" s="4"/>
      <c r="MDY25" s="28"/>
      <c r="MDZ25" s="28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5"/>
      <c r="MEY25" s="4"/>
      <c r="MEZ25" s="28"/>
      <c r="MFA25" s="28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5"/>
      <c r="MFZ25" s="4"/>
      <c r="MGA25" s="28"/>
      <c r="MGB25" s="28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5"/>
      <c r="MHA25" s="4"/>
      <c r="MHB25" s="28"/>
      <c r="MHC25" s="28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5"/>
      <c r="MIB25" s="4"/>
      <c r="MIC25" s="28"/>
      <c r="MID25" s="28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5"/>
      <c r="MJC25" s="4"/>
      <c r="MJD25" s="28"/>
      <c r="MJE25" s="28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5"/>
      <c r="MKD25" s="4"/>
      <c r="MKE25" s="28"/>
      <c r="MKF25" s="28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5"/>
      <c r="MLE25" s="4"/>
      <c r="MLF25" s="28"/>
      <c r="MLG25" s="28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5"/>
      <c r="MMF25" s="4"/>
      <c r="MMG25" s="28"/>
      <c r="MMH25" s="28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5"/>
      <c r="MNG25" s="4"/>
      <c r="MNH25" s="28"/>
      <c r="MNI25" s="28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5"/>
      <c r="MOH25" s="4"/>
      <c r="MOI25" s="28"/>
      <c r="MOJ25" s="28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5"/>
      <c r="MPI25" s="4"/>
      <c r="MPJ25" s="28"/>
      <c r="MPK25" s="28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5"/>
      <c r="MQJ25" s="4"/>
      <c r="MQK25" s="28"/>
      <c r="MQL25" s="28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5"/>
      <c r="MRK25" s="4"/>
      <c r="MRL25" s="28"/>
      <c r="MRM25" s="28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5"/>
      <c r="MSL25" s="4"/>
      <c r="MSM25" s="28"/>
      <c r="MSN25" s="28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5"/>
      <c r="MTM25" s="4"/>
      <c r="MTN25" s="28"/>
      <c r="MTO25" s="28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5"/>
      <c r="MUN25" s="4"/>
      <c r="MUO25" s="28"/>
      <c r="MUP25" s="28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5"/>
      <c r="MVO25" s="4"/>
      <c r="MVP25" s="28"/>
      <c r="MVQ25" s="28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5"/>
      <c r="MWP25" s="4"/>
      <c r="MWQ25" s="28"/>
      <c r="MWR25" s="28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5"/>
      <c r="MXQ25" s="4"/>
      <c r="MXR25" s="28"/>
      <c r="MXS25" s="28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5"/>
      <c r="MYR25" s="4"/>
      <c r="MYS25" s="28"/>
      <c r="MYT25" s="28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5"/>
      <c r="MZS25" s="4"/>
      <c r="MZT25" s="28"/>
      <c r="MZU25" s="28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5"/>
      <c r="NAT25" s="4"/>
      <c r="NAU25" s="28"/>
      <c r="NAV25" s="28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5"/>
      <c r="NBU25" s="4"/>
      <c r="NBV25" s="28"/>
      <c r="NBW25" s="28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5"/>
      <c r="NCV25" s="4"/>
      <c r="NCW25" s="28"/>
      <c r="NCX25" s="28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5"/>
      <c r="NDW25" s="4"/>
      <c r="NDX25" s="28"/>
      <c r="NDY25" s="28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5"/>
      <c r="NEX25" s="4"/>
      <c r="NEY25" s="28"/>
      <c r="NEZ25" s="28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5"/>
      <c r="NFY25" s="4"/>
      <c r="NFZ25" s="28"/>
      <c r="NGA25" s="28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5"/>
      <c r="NGZ25" s="4"/>
      <c r="NHA25" s="28"/>
      <c r="NHB25" s="28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5"/>
      <c r="NIA25" s="4"/>
      <c r="NIB25" s="28"/>
      <c r="NIC25" s="28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5"/>
      <c r="NJB25" s="4"/>
      <c r="NJC25" s="28"/>
      <c r="NJD25" s="28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5"/>
      <c r="NKC25" s="4"/>
      <c r="NKD25" s="28"/>
      <c r="NKE25" s="28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5"/>
      <c r="NLD25" s="4"/>
      <c r="NLE25" s="28"/>
      <c r="NLF25" s="28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5"/>
      <c r="NME25" s="4"/>
      <c r="NMF25" s="28"/>
      <c r="NMG25" s="28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5"/>
      <c r="NNF25" s="4"/>
      <c r="NNG25" s="28"/>
      <c r="NNH25" s="28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5"/>
      <c r="NOG25" s="4"/>
      <c r="NOH25" s="28"/>
      <c r="NOI25" s="28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5"/>
      <c r="NPH25" s="4"/>
      <c r="NPI25" s="28"/>
      <c r="NPJ25" s="28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5"/>
      <c r="NQI25" s="4"/>
      <c r="NQJ25" s="28"/>
      <c r="NQK25" s="28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5"/>
      <c r="NRJ25" s="4"/>
      <c r="NRK25" s="28"/>
      <c r="NRL25" s="28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5"/>
      <c r="NSK25" s="4"/>
      <c r="NSL25" s="28"/>
      <c r="NSM25" s="28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5"/>
      <c r="NTL25" s="4"/>
      <c r="NTM25" s="28"/>
      <c r="NTN25" s="28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5"/>
      <c r="NUM25" s="4"/>
      <c r="NUN25" s="28"/>
      <c r="NUO25" s="28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5"/>
      <c r="NVN25" s="4"/>
      <c r="NVO25" s="28"/>
      <c r="NVP25" s="28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5"/>
      <c r="NWO25" s="4"/>
      <c r="NWP25" s="28"/>
      <c r="NWQ25" s="28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5"/>
      <c r="NXP25" s="4"/>
      <c r="NXQ25" s="28"/>
      <c r="NXR25" s="28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5"/>
      <c r="NYQ25" s="4"/>
      <c r="NYR25" s="28"/>
      <c r="NYS25" s="28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5"/>
      <c r="NZR25" s="4"/>
      <c r="NZS25" s="28"/>
      <c r="NZT25" s="28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5"/>
      <c r="OAS25" s="4"/>
      <c r="OAT25" s="28"/>
      <c r="OAU25" s="28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5"/>
      <c r="OBT25" s="4"/>
      <c r="OBU25" s="28"/>
      <c r="OBV25" s="28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5"/>
      <c r="OCU25" s="4"/>
      <c r="OCV25" s="28"/>
      <c r="OCW25" s="28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5"/>
      <c r="ODV25" s="4"/>
      <c r="ODW25" s="28"/>
      <c r="ODX25" s="28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5"/>
      <c r="OEW25" s="4"/>
      <c r="OEX25" s="28"/>
      <c r="OEY25" s="28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5"/>
      <c r="OFX25" s="4"/>
      <c r="OFY25" s="28"/>
      <c r="OFZ25" s="28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5"/>
      <c r="OGY25" s="4"/>
      <c r="OGZ25" s="28"/>
      <c r="OHA25" s="28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5"/>
      <c r="OHZ25" s="4"/>
      <c r="OIA25" s="28"/>
      <c r="OIB25" s="28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5"/>
      <c r="OJA25" s="4"/>
      <c r="OJB25" s="28"/>
      <c r="OJC25" s="28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5"/>
      <c r="OKB25" s="4"/>
      <c r="OKC25" s="28"/>
      <c r="OKD25" s="28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5"/>
      <c r="OLC25" s="4"/>
      <c r="OLD25" s="28"/>
      <c r="OLE25" s="28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5"/>
      <c r="OMD25" s="4"/>
      <c r="OME25" s="28"/>
      <c r="OMF25" s="28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5"/>
      <c r="ONE25" s="4"/>
      <c r="ONF25" s="28"/>
      <c r="ONG25" s="28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5"/>
      <c r="OOF25" s="4"/>
      <c r="OOG25" s="28"/>
      <c r="OOH25" s="28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5"/>
      <c r="OPG25" s="4"/>
      <c r="OPH25" s="28"/>
      <c r="OPI25" s="28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5"/>
      <c r="OQH25" s="4"/>
      <c r="OQI25" s="28"/>
      <c r="OQJ25" s="28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5"/>
      <c r="ORI25" s="4"/>
      <c r="ORJ25" s="28"/>
      <c r="ORK25" s="28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5"/>
      <c r="OSJ25" s="4"/>
      <c r="OSK25" s="28"/>
      <c r="OSL25" s="28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5"/>
      <c r="OTK25" s="4"/>
      <c r="OTL25" s="28"/>
      <c r="OTM25" s="28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5"/>
      <c r="OUL25" s="4"/>
      <c r="OUM25" s="28"/>
      <c r="OUN25" s="28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5"/>
      <c r="OVM25" s="4"/>
      <c r="OVN25" s="28"/>
      <c r="OVO25" s="28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5"/>
      <c r="OWN25" s="4"/>
      <c r="OWO25" s="28"/>
      <c r="OWP25" s="28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5"/>
      <c r="OXO25" s="4"/>
      <c r="OXP25" s="28"/>
      <c r="OXQ25" s="28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5"/>
      <c r="OYP25" s="4"/>
      <c r="OYQ25" s="28"/>
      <c r="OYR25" s="28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5"/>
      <c r="OZQ25" s="4"/>
      <c r="OZR25" s="28"/>
      <c r="OZS25" s="28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5"/>
      <c r="PAR25" s="4"/>
      <c r="PAS25" s="28"/>
      <c r="PAT25" s="28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5"/>
      <c r="PBS25" s="4"/>
      <c r="PBT25" s="28"/>
      <c r="PBU25" s="28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5"/>
      <c r="PCT25" s="4"/>
      <c r="PCU25" s="28"/>
      <c r="PCV25" s="28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5"/>
      <c r="PDU25" s="4"/>
      <c r="PDV25" s="28"/>
      <c r="PDW25" s="28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5"/>
      <c r="PEV25" s="4"/>
      <c r="PEW25" s="28"/>
      <c r="PEX25" s="28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5"/>
      <c r="PFW25" s="4"/>
      <c r="PFX25" s="28"/>
      <c r="PFY25" s="28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5"/>
      <c r="PGX25" s="4"/>
      <c r="PGY25" s="28"/>
      <c r="PGZ25" s="28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5"/>
      <c r="PHY25" s="4"/>
      <c r="PHZ25" s="28"/>
      <c r="PIA25" s="28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5"/>
      <c r="PIZ25" s="4"/>
      <c r="PJA25" s="28"/>
      <c r="PJB25" s="28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5"/>
      <c r="PKA25" s="4"/>
      <c r="PKB25" s="28"/>
      <c r="PKC25" s="28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5"/>
      <c r="PLB25" s="4"/>
      <c r="PLC25" s="28"/>
      <c r="PLD25" s="28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5"/>
      <c r="PMC25" s="4"/>
      <c r="PMD25" s="28"/>
      <c r="PME25" s="28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5"/>
      <c r="PND25" s="4"/>
      <c r="PNE25" s="28"/>
      <c r="PNF25" s="28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5"/>
      <c r="POE25" s="4"/>
      <c r="POF25" s="28"/>
      <c r="POG25" s="28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5"/>
      <c r="PPF25" s="4"/>
      <c r="PPG25" s="28"/>
      <c r="PPH25" s="28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5"/>
      <c r="PQG25" s="4"/>
      <c r="PQH25" s="28"/>
      <c r="PQI25" s="28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5"/>
      <c r="PRH25" s="4"/>
      <c r="PRI25" s="28"/>
      <c r="PRJ25" s="28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5"/>
      <c r="PSI25" s="4"/>
      <c r="PSJ25" s="28"/>
      <c r="PSK25" s="28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5"/>
      <c r="PTJ25" s="4"/>
      <c r="PTK25" s="28"/>
      <c r="PTL25" s="28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5"/>
      <c r="PUK25" s="4"/>
      <c r="PUL25" s="28"/>
      <c r="PUM25" s="28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5"/>
      <c r="PVL25" s="4"/>
      <c r="PVM25" s="28"/>
      <c r="PVN25" s="28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5"/>
      <c r="PWM25" s="4"/>
      <c r="PWN25" s="28"/>
      <c r="PWO25" s="28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5"/>
      <c r="PXN25" s="4"/>
      <c r="PXO25" s="28"/>
      <c r="PXP25" s="28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5"/>
      <c r="PYO25" s="4"/>
      <c r="PYP25" s="28"/>
      <c r="PYQ25" s="28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5"/>
      <c r="PZP25" s="4"/>
      <c r="PZQ25" s="28"/>
      <c r="PZR25" s="28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5"/>
      <c r="QAQ25" s="4"/>
      <c r="QAR25" s="28"/>
      <c r="QAS25" s="28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5"/>
      <c r="QBR25" s="4"/>
      <c r="QBS25" s="28"/>
      <c r="QBT25" s="28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5"/>
      <c r="QCS25" s="4"/>
      <c r="QCT25" s="28"/>
      <c r="QCU25" s="28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5"/>
      <c r="QDT25" s="4"/>
      <c r="QDU25" s="28"/>
      <c r="QDV25" s="28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5"/>
      <c r="QEU25" s="4"/>
      <c r="QEV25" s="28"/>
      <c r="QEW25" s="28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5"/>
      <c r="QFV25" s="4"/>
      <c r="QFW25" s="28"/>
      <c r="QFX25" s="28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5"/>
      <c r="QGW25" s="4"/>
      <c r="QGX25" s="28"/>
      <c r="QGY25" s="28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5"/>
      <c r="QHX25" s="4"/>
      <c r="QHY25" s="28"/>
      <c r="QHZ25" s="28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5"/>
      <c r="QIY25" s="4"/>
      <c r="QIZ25" s="28"/>
      <c r="QJA25" s="28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5"/>
      <c r="QJZ25" s="4"/>
      <c r="QKA25" s="28"/>
      <c r="QKB25" s="28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5"/>
      <c r="QLA25" s="4"/>
      <c r="QLB25" s="28"/>
      <c r="QLC25" s="28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5"/>
      <c r="QMB25" s="4"/>
      <c r="QMC25" s="28"/>
      <c r="QMD25" s="28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5"/>
      <c r="QNC25" s="4"/>
      <c r="QND25" s="28"/>
      <c r="QNE25" s="28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5"/>
      <c r="QOD25" s="4"/>
      <c r="QOE25" s="28"/>
      <c r="QOF25" s="28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5"/>
      <c r="QPE25" s="4"/>
      <c r="QPF25" s="28"/>
      <c r="QPG25" s="28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5"/>
      <c r="QQF25" s="4"/>
      <c r="QQG25" s="28"/>
      <c r="QQH25" s="28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5"/>
      <c r="QRG25" s="4"/>
      <c r="QRH25" s="28"/>
      <c r="QRI25" s="28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5"/>
      <c r="QSH25" s="4"/>
      <c r="QSI25" s="28"/>
      <c r="QSJ25" s="28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5"/>
      <c r="QTI25" s="4"/>
      <c r="QTJ25" s="28"/>
      <c r="QTK25" s="28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5"/>
      <c r="QUJ25" s="4"/>
      <c r="QUK25" s="28"/>
      <c r="QUL25" s="28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5"/>
      <c r="QVK25" s="4"/>
      <c r="QVL25" s="28"/>
      <c r="QVM25" s="28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5"/>
      <c r="QWL25" s="4"/>
      <c r="QWM25" s="28"/>
      <c r="QWN25" s="28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5"/>
      <c r="QXM25" s="4"/>
      <c r="QXN25" s="28"/>
      <c r="QXO25" s="28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5"/>
      <c r="QYN25" s="4"/>
      <c r="QYO25" s="28"/>
      <c r="QYP25" s="28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5"/>
      <c r="QZO25" s="4"/>
      <c r="QZP25" s="28"/>
      <c r="QZQ25" s="28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5"/>
      <c r="RAP25" s="4"/>
      <c r="RAQ25" s="28"/>
      <c r="RAR25" s="28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5"/>
      <c r="RBQ25" s="4"/>
      <c r="RBR25" s="28"/>
      <c r="RBS25" s="28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5"/>
      <c r="RCR25" s="4"/>
      <c r="RCS25" s="28"/>
      <c r="RCT25" s="28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5"/>
      <c r="RDS25" s="4"/>
      <c r="RDT25" s="28"/>
      <c r="RDU25" s="28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5"/>
      <c r="RET25" s="4"/>
      <c r="REU25" s="28"/>
      <c r="REV25" s="28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5"/>
      <c r="RFU25" s="4"/>
      <c r="RFV25" s="28"/>
      <c r="RFW25" s="28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5"/>
      <c r="RGV25" s="4"/>
      <c r="RGW25" s="28"/>
      <c r="RGX25" s="28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5"/>
      <c r="RHW25" s="4"/>
      <c r="RHX25" s="28"/>
      <c r="RHY25" s="28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5"/>
      <c r="RIX25" s="4"/>
      <c r="RIY25" s="28"/>
      <c r="RIZ25" s="28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5"/>
      <c r="RJY25" s="4"/>
      <c r="RJZ25" s="28"/>
      <c r="RKA25" s="28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5"/>
      <c r="RKZ25" s="4"/>
      <c r="RLA25" s="28"/>
      <c r="RLB25" s="28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5"/>
      <c r="RMA25" s="4"/>
      <c r="RMB25" s="28"/>
      <c r="RMC25" s="28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5"/>
      <c r="RNB25" s="4"/>
      <c r="RNC25" s="28"/>
      <c r="RND25" s="28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5"/>
      <c r="ROC25" s="4"/>
      <c r="ROD25" s="28"/>
      <c r="ROE25" s="28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5"/>
      <c r="RPD25" s="4"/>
      <c r="RPE25" s="28"/>
      <c r="RPF25" s="28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5"/>
      <c r="RQE25" s="4"/>
      <c r="RQF25" s="28"/>
      <c r="RQG25" s="28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5"/>
      <c r="RRF25" s="4"/>
      <c r="RRG25" s="28"/>
      <c r="RRH25" s="28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5"/>
      <c r="RSG25" s="4"/>
      <c r="RSH25" s="28"/>
      <c r="RSI25" s="28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5"/>
      <c r="RTH25" s="4"/>
      <c r="RTI25" s="28"/>
      <c r="RTJ25" s="28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5"/>
      <c r="RUI25" s="4"/>
      <c r="RUJ25" s="28"/>
      <c r="RUK25" s="28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5"/>
      <c r="RVJ25" s="4"/>
      <c r="RVK25" s="28"/>
      <c r="RVL25" s="28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5"/>
      <c r="RWK25" s="4"/>
      <c r="RWL25" s="28"/>
      <c r="RWM25" s="28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5"/>
      <c r="RXL25" s="4"/>
      <c r="RXM25" s="28"/>
      <c r="RXN25" s="28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5"/>
      <c r="RYM25" s="4"/>
      <c r="RYN25" s="28"/>
      <c r="RYO25" s="28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5"/>
      <c r="RZN25" s="4"/>
      <c r="RZO25" s="28"/>
      <c r="RZP25" s="28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5"/>
      <c r="SAO25" s="4"/>
      <c r="SAP25" s="28"/>
      <c r="SAQ25" s="28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5"/>
      <c r="SBP25" s="4"/>
      <c r="SBQ25" s="28"/>
      <c r="SBR25" s="28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5"/>
      <c r="SCQ25" s="4"/>
      <c r="SCR25" s="28"/>
      <c r="SCS25" s="28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5"/>
      <c r="SDR25" s="4"/>
      <c r="SDS25" s="28"/>
      <c r="SDT25" s="28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5"/>
      <c r="SES25" s="4"/>
      <c r="SET25" s="28"/>
      <c r="SEU25" s="28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5"/>
      <c r="SFT25" s="4"/>
      <c r="SFU25" s="28"/>
      <c r="SFV25" s="28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5"/>
      <c r="SGU25" s="4"/>
      <c r="SGV25" s="28"/>
      <c r="SGW25" s="28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5"/>
      <c r="SHV25" s="4"/>
      <c r="SHW25" s="28"/>
      <c r="SHX25" s="28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5"/>
      <c r="SIW25" s="4"/>
      <c r="SIX25" s="28"/>
      <c r="SIY25" s="28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5"/>
      <c r="SJX25" s="4"/>
      <c r="SJY25" s="28"/>
      <c r="SJZ25" s="28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5"/>
      <c r="SKY25" s="4"/>
      <c r="SKZ25" s="28"/>
      <c r="SLA25" s="28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5"/>
      <c r="SLZ25" s="4"/>
      <c r="SMA25" s="28"/>
      <c r="SMB25" s="28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5"/>
      <c r="SNA25" s="4"/>
      <c r="SNB25" s="28"/>
      <c r="SNC25" s="28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5"/>
      <c r="SOB25" s="4"/>
      <c r="SOC25" s="28"/>
      <c r="SOD25" s="28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5"/>
      <c r="SPC25" s="4"/>
      <c r="SPD25" s="28"/>
      <c r="SPE25" s="28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5"/>
      <c r="SQD25" s="4"/>
      <c r="SQE25" s="28"/>
      <c r="SQF25" s="28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5"/>
      <c r="SRE25" s="4"/>
      <c r="SRF25" s="28"/>
      <c r="SRG25" s="28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5"/>
      <c r="SSF25" s="4"/>
      <c r="SSG25" s="28"/>
      <c r="SSH25" s="28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5"/>
      <c r="STG25" s="4"/>
      <c r="STH25" s="28"/>
      <c r="STI25" s="28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5"/>
      <c r="SUH25" s="4"/>
      <c r="SUI25" s="28"/>
      <c r="SUJ25" s="28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5"/>
      <c r="SVI25" s="4"/>
      <c r="SVJ25" s="28"/>
      <c r="SVK25" s="28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5"/>
      <c r="SWJ25" s="4"/>
      <c r="SWK25" s="28"/>
      <c r="SWL25" s="28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5"/>
      <c r="SXK25" s="4"/>
      <c r="SXL25" s="28"/>
      <c r="SXM25" s="28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5"/>
      <c r="SYL25" s="4"/>
      <c r="SYM25" s="28"/>
      <c r="SYN25" s="28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5"/>
      <c r="SZM25" s="4"/>
      <c r="SZN25" s="28"/>
      <c r="SZO25" s="28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5"/>
      <c r="TAN25" s="4"/>
      <c r="TAO25" s="28"/>
      <c r="TAP25" s="28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5"/>
      <c r="TBO25" s="4"/>
      <c r="TBP25" s="28"/>
      <c r="TBQ25" s="28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5"/>
      <c r="TCP25" s="4"/>
      <c r="TCQ25" s="28"/>
      <c r="TCR25" s="28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5"/>
      <c r="TDQ25" s="4"/>
      <c r="TDR25" s="28"/>
      <c r="TDS25" s="28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5"/>
      <c r="TER25" s="4"/>
      <c r="TES25" s="28"/>
      <c r="TET25" s="28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5"/>
      <c r="TFS25" s="4"/>
      <c r="TFT25" s="28"/>
      <c r="TFU25" s="28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5"/>
      <c r="TGT25" s="4"/>
      <c r="TGU25" s="28"/>
      <c r="TGV25" s="28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5"/>
      <c r="THU25" s="4"/>
      <c r="THV25" s="28"/>
      <c r="THW25" s="28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5"/>
      <c r="TIV25" s="4"/>
      <c r="TIW25" s="28"/>
      <c r="TIX25" s="28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5"/>
      <c r="TJW25" s="4"/>
      <c r="TJX25" s="28"/>
      <c r="TJY25" s="28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5"/>
      <c r="TKX25" s="4"/>
      <c r="TKY25" s="28"/>
      <c r="TKZ25" s="28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5"/>
      <c r="TLY25" s="4"/>
      <c r="TLZ25" s="28"/>
      <c r="TMA25" s="28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5"/>
      <c r="TMZ25" s="4"/>
      <c r="TNA25" s="28"/>
      <c r="TNB25" s="28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5"/>
      <c r="TOA25" s="4"/>
      <c r="TOB25" s="28"/>
      <c r="TOC25" s="28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5"/>
      <c r="TPB25" s="4"/>
      <c r="TPC25" s="28"/>
      <c r="TPD25" s="28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5"/>
      <c r="TQC25" s="4"/>
      <c r="TQD25" s="28"/>
      <c r="TQE25" s="28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5"/>
      <c r="TRD25" s="4"/>
      <c r="TRE25" s="28"/>
      <c r="TRF25" s="28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5"/>
      <c r="TSE25" s="4"/>
      <c r="TSF25" s="28"/>
      <c r="TSG25" s="28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5"/>
      <c r="TTF25" s="4"/>
      <c r="TTG25" s="28"/>
      <c r="TTH25" s="28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5"/>
      <c r="TUG25" s="4"/>
      <c r="TUH25" s="28"/>
      <c r="TUI25" s="28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5"/>
      <c r="TVH25" s="4"/>
      <c r="TVI25" s="28"/>
      <c r="TVJ25" s="28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5"/>
      <c r="TWI25" s="4"/>
      <c r="TWJ25" s="28"/>
      <c r="TWK25" s="28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5"/>
      <c r="TXJ25" s="4"/>
      <c r="TXK25" s="28"/>
      <c r="TXL25" s="28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5"/>
      <c r="TYK25" s="4"/>
      <c r="TYL25" s="28"/>
      <c r="TYM25" s="28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5"/>
      <c r="TZL25" s="4"/>
      <c r="TZM25" s="28"/>
      <c r="TZN25" s="28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5"/>
      <c r="UAM25" s="4"/>
      <c r="UAN25" s="28"/>
      <c r="UAO25" s="28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5"/>
      <c r="UBN25" s="4"/>
      <c r="UBO25" s="28"/>
      <c r="UBP25" s="28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5"/>
      <c r="UCO25" s="4"/>
      <c r="UCP25" s="28"/>
      <c r="UCQ25" s="28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5"/>
      <c r="UDP25" s="4"/>
      <c r="UDQ25" s="28"/>
      <c r="UDR25" s="28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5"/>
      <c r="UEQ25" s="4"/>
      <c r="UER25" s="28"/>
      <c r="UES25" s="28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5"/>
      <c r="UFR25" s="4"/>
      <c r="UFS25" s="28"/>
      <c r="UFT25" s="28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5"/>
      <c r="UGS25" s="4"/>
      <c r="UGT25" s="28"/>
      <c r="UGU25" s="28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5"/>
      <c r="UHT25" s="4"/>
      <c r="UHU25" s="28"/>
      <c r="UHV25" s="28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5"/>
      <c r="UIU25" s="4"/>
      <c r="UIV25" s="28"/>
      <c r="UIW25" s="28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5"/>
      <c r="UJV25" s="4"/>
      <c r="UJW25" s="28"/>
      <c r="UJX25" s="28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5"/>
      <c r="UKW25" s="4"/>
      <c r="UKX25" s="28"/>
      <c r="UKY25" s="28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5"/>
      <c r="ULX25" s="4"/>
      <c r="ULY25" s="28"/>
      <c r="ULZ25" s="28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5"/>
      <c r="UMY25" s="4"/>
      <c r="UMZ25" s="28"/>
      <c r="UNA25" s="28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5"/>
      <c r="UNZ25" s="4"/>
      <c r="UOA25" s="28"/>
      <c r="UOB25" s="28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5"/>
      <c r="UPA25" s="4"/>
      <c r="UPB25" s="28"/>
      <c r="UPC25" s="28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5"/>
      <c r="UQB25" s="4"/>
      <c r="UQC25" s="28"/>
      <c r="UQD25" s="28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5"/>
      <c r="URC25" s="4"/>
      <c r="URD25" s="28"/>
      <c r="URE25" s="28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5"/>
      <c r="USD25" s="4"/>
      <c r="USE25" s="28"/>
      <c r="USF25" s="28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5"/>
      <c r="UTE25" s="4"/>
      <c r="UTF25" s="28"/>
      <c r="UTG25" s="28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5"/>
      <c r="UUF25" s="4"/>
      <c r="UUG25" s="28"/>
      <c r="UUH25" s="28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5"/>
      <c r="UVG25" s="4"/>
      <c r="UVH25" s="28"/>
      <c r="UVI25" s="28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5"/>
      <c r="UWH25" s="4"/>
      <c r="UWI25" s="28"/>
      <c r="UWJ25" s="28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5"/>
      <c r="UXI25" s="4"/>
      <c r="UXJ25" s="28"/>
      <c r="UXK25" s="28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5"/>
      <c r="UYJ25" s="4"/>
      <c r="UYK25" s="28"/>
      <c r="UYL25" s="28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5"/>
      <c r="UZK25" s="4"/>
      <c r="UZL25" s="28"/>
      <c r="UZM25" s="28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5"/>
      <c r="VAL25" s="4"/>
      <c r="VAM25" s="28"/>
      <c r="VAN25" s="28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5"/>
      <c r="VBM25" s="4"/>
      <c r="VBN25" s="28"/>
      <c r="VBO25" s="28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5"/>
      <c r="VCN25" s="4"/>
      <c r="VCO25" s="28"/>
      <c r="VCP25" s="28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5"/>
      <c r="VDO25" s="4"/>
      <c r="VDP25" s="28"/>
      <c r="VDQ25" s="28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5"/>
      <c r="VEP25" s="4"/>
      <c r="VEQ25" s="28"/>
      <c r="VER25" s="28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5"/>
      <c r="VFQ25" s="4"/>
      <c r="VFR25" s="28"/>
      <c r="VFS25" s="28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5"/>
      <c r="VGR25" s="4"/>
      <c r="VGS25" s="28"/>
      <c r="VGT25" s="28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5"/>
      <c r="VHS25" s="4"/>
      <c r="VHT25" s="28"/>
      <c r="VHU25" s="28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5"/>
      <c r="VIT25" s="4"/>
      <c r="VIU25" s="28"/>
      <c r="VIV25" s="28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5"/>
      <c r="VJU25" s="4"/>
      <c r="VJV25" s="28"/>
      <c r="VJW25" s="28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5"/>
      <c r="VKV25" s="4"/>
      <c r="VKW25" s="28"/>
      <c r="VKX25" s="28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5"/>
      <c r="VLW25" s="4"/>
      <c r="VLX25" s="28"/>
      <c r="VLY25" s="28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5"/>
      <c r="VMX25" s="4"/>
      <c r="VMY25" s="28"/>
      <c r="VMZ25" s="28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5"/>
      <c r="VNY25" s="4"/>
      <c r="VNZ25" s="28"/>
      <c r="VOA25" s="28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5"/>
      <c r="VOZ25" s="4"/>
      <c r="VPA25" s="28"/>
      <c r="VPB25" s="28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5"/>
      <c r="VQA25" s="4"/>
      <c r="VQB25" s="28"/>
      <c r="VQC25" s="28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5"/>
      <c r="VRB25" s="4"/>
      <c r="VRC25" s="28"/>
      <c r="VRD25" s="28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5"/>
      <c r="VSC25" s="4"/>
      <c r="VSD25" s="28"/>
      <c r="VSE25" s="28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5"/>
      <c r="VTD25" s="4"/>
      <c r="VTE25" s="28"/>
      <c r="VTF25" s="28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5"/>
      <c r="VUE25" s="4"/>
      <c r="VUF25" s="28"/>
      <c r="VUG25" s="28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5"/>
      <c r="VVF25" s="4"/>
      <c r="VVG25" s="28"/>
      <c r="VVH25" s="28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5"/>
      <c r="VWG25" s="4"/>
      <c r="VWH25" s="28"/>
      <c r="VWI25" s="28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5"/>
      <c r="VXH25" s="4"/>
      <c r="VXI25" s="28"/>
      <c r="VXJ25" s="28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5"/>
      <c r="VYI25" s="4"/>
      <c r="VYJ25" s="28"/>
      <c r="VYK25" s="28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5"/>
      <c r="VZJ25" s="4"/>
      <c r="VZK25" s="28"/>
      <c r="VZL25" s="28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5"/>
      <c r="WAK25" s="4"/>
      <c r="WAL25" s="28"/>
      <c r="WAM25" s="28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5"/>
      <c r="WBL25" s="4"/>
      <c r="WBM25" s="28"/>
      <c r="WBN25" s="28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5"/>
      <c r="WCM25" s="4"/>
      <c r="WCN25" s="28"/>
      <c r="WCO25" s="28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5"/>
      <c r="WDN25" s="4"/>
      <c r="WDO25" s="28"/>
      <c r="WDP25" s="28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5"/>
      <c r="WEO25" s="4"/>
      <c r="WEP25" s="28"/>
      <c r="WEQ25" s="28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5"/>
      <c r="WFP25" s="4"/>
      <c r="WFQ25" s="28"/>
      <c r="WFR25" s="28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5"/>
      <c r="WGQ25" s="4"/>
      <c r="WGR25" s="28"/>
      <c r="WGS25" s="28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5"/>
      <c r="WHR25" s="4"/>
      <c r="WHS25" s="28"/>
      <c r="WHT25" s="28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5"/>
      <c r="WIS25" s="4"/>
      <c r="WIT25" s="28"/>
      <c r="WIU25" s="28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5"/>
      <c r="WJT25" s="4"/>
      <c r="WJU25" s="28"/>
      <c r="WJV25" s="28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5"/>
      <c r="WKU25" s="4"/>
      <c r="WKV25" s="28"/>
      <c r="WKW25" s="28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5"/>
      <c r="WLV25" s="4"/>
      <c r="WLW25" s="28"/>
      <c r="WLX25" s="28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5"/>
      <c r="WMW25" s="4"/>
      <c r="WMX25" s="28"/>
      <c r="WMY25" s="28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5"/>
      <c r="WNX25" s="4"/>
      <c r="WNY25" s="28"/>
      <c r="WNZ25" s="28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5"/>
      <c r="WOY25" s="4"/>
      <c r="WOZ25" s="28"/>
      <c r="WPA25" s="28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5"/>
      <c r="WPZ25" s="4"/>
      <c r="WQA25" s="28"/>
      <c r="WQB25" s="28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5"/>
      <c r="WRA25" s="4"/>
      <c r="WRB25" s="28"/>
      <c r="WRC25" s="28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5"/>
      <c r="WSB25" s="4"/>
      <c r="WSC25" s="28"/>
      <c r="WSD25" s="28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5"/>
      <c r="WTC25" s="4"/>
      <c r="WTD25" s="28"/>
      <c r="WTE25" s="28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5"/>
      <c r="WUD25" s="4"/>
      <c r="WUE25" s="28"/>
      <c r="WUF25" s="28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5"/>
      <c r="WVE25" s="4"/>
      <c r="WVF25" s="28"/>
      <c r="WVG25" s="28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5"/>
      <c r="WWF25" s="4"/>
      <c r="WWG25" s="28"/>
      <c r="WWH25" s="28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5"/>
      <c r="WXG25" s="4"/>
      <c r="WXH25" s="28"/>
      <c r="WXI25" s="28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5"/>
      <c r="WYH25" s="4"/>
      <c r="WYI25" s="28"/>
      <c r="WYJ25" s="28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5"/>
      <c r="WZI25" s="4"/>
      <c r="WZJ25" s="28"/>
      <c r="WZK25" s="28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5"/>
      <c r="XAJ25" s="4"/>
      <c r="XAK25" s="28"/>
      <c r="XAL25" s="28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5"/>
      <c r="XBK25" s="4"/>
      <c r="XBL25" s="28"/>
      <c r="XBM25" s="28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5"/>
      <c r="XCL25" s="4"/>
      <c r="XCM25" s="28"/>
      <c r="XCN25" s="28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5"/>
      <c r="XDM25" s="4"/>
      <c r="XDN25" s="28"/>
      <c r="XDO25" s="28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</row>
    <row r="26" spans="1:16360" x14ac:dyDescent="0.25">
      <c r="A26" s="5"/>
      <c r="B26" s="4"/>
      <c r="C26" s="28"/>
      <c r="D26" s="28"/>
      <c r="E26" s="28"/>
      <c r="F26" s="17">
        <f t="shared" si="15"/>
        <v>17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5"/>
      <c r="BH26" s="4"/>
      <c r="BI26" s="28"/>
      <c r="BJ26" s="28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5"/>
      <c r="CI26" s="4"/>
      <c r="CJ26" s="28"/>
      <c r="CK26" s="28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5"/>
      <c r="DJ26" s="4"/>
      <c r="DK26" s="28"/>
      <c r="DL26" s="28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5"/>
      <c r="EK26" s="4"/>
      <c r="EL26" s="28"/>
      <c r="EM26" s="28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5"/>
      <c r="FL26" s="4"/>
      <c r="FM26" s="28"/>
      <c r="FN26" s="28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5"/>
      <c r="GM26" s="4"/>
      <c r="GN26" s="28"/>
      <c r="GO26" s="28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5"/>
      <c r="HN26" s="4"/>
      <c r="HO26" s="28"/>
      <c r="HP26" s="28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5"/>
      <c r="IO26" s="4"/>
      <c r="IP26" s="28"/>
      <c r="IQ26" s="28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5"/>
      <c r="JP26" s="4"/>
      <c r="JQ26" s="28"/>
      <c r="JR26" s="28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5"/>
      <c r="KQ26" s="4"/>
      <c r="KR26" s="28"/>
      <c r="KS26" s="28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5"/>
      <c r="LR26" s="4"/>
      <c r="LS26" s="28"/>
      <c r="LT26" s="28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5"/>
      <c r="MS26" s="4"/>
      <c r="MT26" s="28"/>
      <c r="MU26" s="28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5"/>
      <c r="NT26" s="4"/>
      <c r="NU26" s="28"/>
      <c r="NV26" s="28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5"/>
      <c r="OU26" s="4"/>
      <c r="OV26" s="28"/>
      <c r="OW26" s="28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5"/>
      <c r="PV26" s="4"/>
      <c r="PW26" s="28"/>
      <c r="PX26" s="28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5"/>
      <c r="QW26" s="4"/>
      <c r="QX26" s="28"/>
      <c r="QY26" s="28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5"/>
      <c r="RX26" s="4"/>
      <c r="RY26" s="28"/>
      <c r="RZ26" s="28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5"/>
      <c r="SY26" s="4"/>
      <c r="SZ26" s="28"/>
      <c r="TA26" s="28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5"/>
      <c r="TZ26" s="4"/>
      <c r="UA26" s="28"/>
      <c r="UB26" s="28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5"/>
      <c r="VA26" s="4"/>
      <c r="VB26" s="28"/>
      <c r="VC26" s="28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5"/>
      <c r="WB26" s="4"/>
      <c r="WC26" s="28"/>
      <c r="WD26" s="28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5"/>
      <c r="XC26" s="4"/>
      <c r="XD26" s="28"/>
      <c r="XE26" s="28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5"/>
      <c r="YD26" s="4"/>
      <c r="YE26" s="28"/>
      <c r="YF26" s="28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5"/>
      <c r="ZE26" s="4"/>
      <c r="ZF26" s="28"/>
      <c r="ZG26" s="28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5"/>
      <c r="AAF26" s="4"/>
      <c r="AAG26" s="28"/>
      <c r="AAH26" s="28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5"/>
      <c r="ABG26" s="4"/>
      <c r="ABH26" s="28"/>
      <c r="ABI26" s="28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5"/>
      <c r="ACH26" s="4"/>
      <c r="ACI26" s="28"/>
      <c r="ACJ26" s="28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5"/>
      <c r="ADI26" s="4"/>
      <c r="ADJ26" s="28"/>
      <c r="ADK26" s="28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5"/>
      <c r="AEJ26" s="4"/>
      <c r="AEK26" s="28"/>
      <c r="AEL26" s="28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5"/>
      <c r="AFK26" s="4"/>
      <c r="AFL26" s="28"/>
      <c r="AFM26" s="28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5"/>
      <c r="AGL26" s="4"/>
      <c r="AGM26" s="28"/>
      <c r="AGN26" s="28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5"/>
      <c r="AHM26" s="4"/>
      <c r="AHN26" s="28"/>
      <c r="AHO26" s="28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5"/>
      <c r="AIN26" s="4"/>
      <c r="AIO26" s="28"/>
      <c r="AIP26" s="28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5"/>
      <c r="AJO26" s="4"/>
      <c r="AJP26" s="28"/>
      <c r="AJQ26" s="28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5"/>
      <c r="AKP26" s="4"/>
      <c r="AKQ26" s="28"/>
      <c r="AKR26" s="28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5"/>
      <c r="ALQ26" s="4"/>
      <c r="ALR26" s="28"/>
      <c r="ALS26" s="28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5"/>
      <c r="AMR26" s="4"/>
      <c r="AMS26" s="28"/>
      <c r="AMT26" s="28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5"/>
      <c r="ANS26" s="4"/>
      <c r="ANT26" s="28"/>
      <c r="ANU26" s="28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5"/>
      <c r="AOT26" s="4"/>
      <c r="AOU26" s="28"/>
      <c r="AOV26" s="28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5"/>
      <c r="APU26" s="4"/>
      <c r="APV26" s="28"/>
      <c r="APW26" s="28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5"/>
      <c r="AQV26" s="4"/>
      <c r="AQW26" s="28"/>
      <c r="AQX26" s="28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5"/>
      <c r="ARW26" s="4"/>
      <c r="ARX26" s="28"/>
      <c r="ARY26" s="28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5"/>
      <c r="ASX26" s="4"/>
      <c r="ASY26" s="28"/>
      <c r="ASZ26" s="28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5"/>
      <c r="ATY26" s="4"/>
      <c r="ATZ26" s="28"/>
      <c r="AUA26" s="28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5"/>
      <c r="AUZ26" s="4"/>
      <c r="AVA26" s="28"/>
      <c r="AVB26" s="28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5"/>
      <c r="AWA26" s="4"/>
      <c r="AWB26" s="28"/>
      <c r="AWC26" s="28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5"/>
      <c r="AXB26" s="4"/>
      <c r="AXC26" s="28"/>
      <c r="AXD26" s="28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5"/>
      <c r="AYC26" s="4"/>
      <c r="AYD26" s="28"/>
      <c r="AYE26" s="28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5"/>
      <c r="AZD26" s="4"/>
      <c r="AZE26" s="28"/>
      <c r="AZF26" s="28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5"/>
      <c r="BAE26" s="4"/>
      <c r="BAF26" s="28"/>
      <c r="BAG26" s="28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5"/>
      <c r="BBF26" s="4"/>
      <c r="BBG26" s="28"/>
      <c r="BBH26" s="28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5"/>
      <c r="BCG26" s="4"/>
      <c r="BCH26" s="28"/>
      <c r="BCI26" s="28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5"/>
      <c r="BDH26" s="4"/>
      <c r="BDI26" s="28"/>
      <c r="BDJ26" s="28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5"/>
      <c r="BEI26" s="4"/>
      <c r="BEJ26" s="28"/>
      <c r="BEK26" s="28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5"/>
      <c r="BFJ26" s="4"/>
      <c r="BFK26" s="28"/>
      <c r="BFL26" s="28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5"/>
      <c r="BGK26" s="4"/>
      <c r="BGL26" s="28"/>
      <c r="BGM26" s="28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5"/>
      <c r="BHL26" s="4"/>
      <c r="BHM26" s="28"/>
      <c r="BHN26" s="28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5"/>
      <c r="BIM26" s="4"/>
      <c r="BIN26" s="28"/>
      <c r="BIO26" s="28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5"/>
      <c r="BJN26" s="4"/>
      <c r="BJO26" s="28"/>
      <c r="BJP26" s="28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5"/>
      <c r="BKO26" s="4"/>
      <c r="BKP26" s="28"/>
      <c r="BKQ26" s="28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5"/>
      <c r="BLP26" s="4"/>
      <c r="BLQ26" s="28"/>
      <c r="BLR26" s="28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5"/>
      <c r="BMQ26" s="4"/>
      <c r="BMR26" s="28"/>
      <c r="BMS26" s="28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5"/>
      <c r="BNR26" s="4"/>
      <c r="BNS26" s="28"/>
      <c r="BNT26" s="28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5"/>
      <c r="BOS26" s="4"/>
      <c r="BOT26" s="28"/>
      <c r="BOU26" s="28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5"/>
      <c r="BPT26" s="4"/>
      <c r="BPU26" s="28"/>
      <c r="BPV26" s="28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5"/>
      <c r="BQU26" s="4"/>
      <c r="BQV26" s="28"/>
      <c r="BQW26" s="28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5"/>
      <c r="BRV26" s="4"/>
      <c r="BRW26" s="28"/>
      <c r="BRX26" s="28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5"/>
      <c r="BSW26" s="4"/>
      <c r="BSX26" s="28"/>
      <c r="BSY26" s="28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5"/>
      <c r="BTX26" s="4"/>
      <c r="BTY26" s="28"/>
      <c r="BTZ26" s="28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5"/>
      <c r="BUY26" s="4"/>
      <c r="BUZ26" s="28"/>
      <c r="BVA26" s="28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5"/>
      <c r="BVZ26" s="4"/>
      <c r="BWA26" s="28"/>
      <c r="BWB26" s="28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5"/>
      <c r="BXA26" s="4"/>
      <c r="BXB26" s="28"/>
      <c r="BXC26" s="28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5"/>
      <c r="BYB26" s="4"/>
      <c r="BYC26" s="28"/>
      <c r="BYD26" s="28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5"/>
      <c r="BZC26" s="4"/>
      <c r="BZD26" s="28"/>
      <c r="BZE26" s="28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5"/>
      <c r="CAD26" s="4"/>
      <c r="CAE26" s="28"/>
      <c r="CAF26" s="28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5"/>
      <c r="CBE26" s="4"/>
      <c r="CBF26" s="28"/>
      <c r="CBG26" s="28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5"/>
      <c r="CCF26" s="4"/>
      <c r="CCG26" s="28"/>
      <c r="CCH26" s="28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5"/>
      <c r="CDG26" s="4"/>
      <c r="CDH26" s="28"/>
      <c r="CDI26" s="28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5"/>
      <c r="CEH26" s="4"/>
      <c r="CEI26" s="28"/>
      <c r="CEJ26" s="28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5"/>
      <c r="CFI26" s="4"/>
      <c r="CFJ26" s="28"/>
      <c r="CFK26" s="28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5"/>
      <c r="CGJ26" s="4"/>
      <c r="CGK26" s="28"/>
      <c r="CGL26" s="28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5"/>
      <c r="CHK26" s="4"/>
      <c r="CHL26" s="28"/>
      <c r="CHM26" s="28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5"/>
      <c r="CIL26" s="4"/>
      <c r="CIM26" s="28"/>
      <c r="CIN26" s="28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5"/>
      <c r="CJM26" s="4"/>
      <c r="CJN26" s="28"/>
      <c r="CJO26" s="28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5"/>
      <c r="CKN26" s="4"/>
      <c r="CKO26" s="28"/>
      <c r="CKP26" s="28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5"/>
      <c r="CLO26" s="4"/>
      <c r="CLP26" s="28"/>
      <c r="CLQ26" s="28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5"/>
      <c r="CMP26" s="4"/>
      <c r="CMQ26" s="28"/>
      <c r="CMR26" s="28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5"/>
      <c r="CNQ26" s="4"/>
      <c r="CNR26" s="28"/>
      <c r="CNS26" s="28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5"/>
      <c r="COR26" s="4"/>
      <c r="COS26" s="28"/>
      <c r="COT26" s="28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5"/>
      <c r="CPS26" s="4"/>
      <c r="CPT26" s="28"/>
      <c r="CPU26" s="28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5"/>
      <c r="CQT26" s="4"/>
      <c r="CQU26" s="28"/>
      <c r="CQV26" s="28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5"/>
      <c r="CRU26" s="4"/>
      <c r="CRV26" s="28"/>
      <c r="CRW26" s="28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5"/>
      <c r="CSV26" s="4"/>
      <c r="CSW26" s="28"/>
      <c r="CSX26" s="28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5"/>
      <c r="CTW26" s="4"/>
      <c r="CTX26" s="28"/>
      <c r="CTY26" s="28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5"/>
      <c r="CUX26" s="4"/>
      <c r="CUY26" s="28"/>
      <c r="CUZ26" s="28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5"/>
      <c r="CVY26" s="4"/>
      <c r="CVZ26" s="28"/>
      <c r="CWA26" s="28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5"/>
      <c r="CWZ26" s="4"/>
      <c r="CXA26" s="28"/>
      <c r="CXB26" s="28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5"/>
      <c r="CYA26" s="4"/>
      <c r="CYB26" s="28"/>
      <c r="CYC26" s="28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5"/>
      <c r="CZB26" s="4"/>
      <c r="CZC26" s="28"/>
      <c r="CZD26" s="28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5"/>
      <c r="DAC26" s="4"/>
      <c r="DAD26" s="28"/>
      <c r="DAE26" s="28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5"/>
      <c r="DBD26" s="4"/>
      <c r="DBE26" s="28"/>
      <c r="DBF26" s="28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5"/>
      <c r="DCE26" s="4"/>
      <c r="DCF26" s="28"/>
      <c r="DCG26" s="28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5"/>
      <c r="DDF26" s="4"/>
      <c r="DDG26" s="28"/>
      <c r="DDH26" s="28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5"/>
      <c r="DEG26" s="4"/>
      <c r="DEH26" s="28"/>
      <c r="DEI26" s="28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5"/>
      <c r="DFH26" s="4"/>
      <c r="DFI26" s="28"/>
      <c r="DFJ26" s="28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5"/>
      <c r="DGI26" s="4"/>
      <c r="DGJ26" s="28"/>
      <c r="DGK26" s="28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5"/>
      <c r="DHJ26" s="4"/>
      <c r="DHK26" s="28"/>
      <c r="DHL26" s="28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5"/>
      <c r="DIK26" s="4"/>
      <c r="DIL26" s="28"/>
      <c r="DIM26" s="28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5"/>
      <c r="DJL26" s="4"/>
      <c r="DJM26" s="28"/>
      <c r="DJN26" s="28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5"/>
      <c r="DKM26" s="4"/>
      <c r="DKN26" s="28"/>
      <c r="DKO26" s="28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5"/>
      <c r="DLN26" s="4"/>
      <c r="DLO26" s="28"/>
      <c r="DLP26" s="28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5"/>
      <c r="DMO26" s="4"/>
      <c r="DMP26" s="28"/>
      <c r="DMQ26" s="28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5"/>
      <c r="DNP26" s="4"/>
      <c r="DNQ26" s="28"/>
      <c r="DNR26" s="28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5"/>
      <c r="DOQ26" s="4"/>
      <c r="DOR26" s="28"/>
      <c r="DOS26" s="28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5"/>
      <c r="DPR26" s="4"/>
      <c r="DPS26" s="28"/>
      <c r="DPT26" s="28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5"/>
      <c r="DQS26" s="4"/>
      <c r="DQT26" s="28"/>
      <c r="DQU26" s="28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5"/>
      <c r="DRT26" s="4"/>
      <c r="DRU26" s="28"/>
      <c r="DRV26" s="28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5"/>
      <c r="DSU26" s="4"/>
      <c r="DSV26" s="28"/>
      <c r="DSW26" s="28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5"/>
      <c r="DTV26" s="4"/>
      <c r="DTW26" s="28"/>
      <c r="DTX26" s="28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5"/>
      <c r="DUW26" s="4"/>
      <c r="DUX26" s="28"/>
      <c r="DUY26" s="28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5"/>
      <c r="DVX26" s="4"/>
      <c r="DVY26" s="28"/>
      <c r="DVZ26" s="28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5"/>
      <c r="DWY26" s="4"/>
      <c r="DWZ26" s="28"/>
      <c r="DXA26" s="28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5"/>
      <c r="DXZ26" s="4"/>
      <c r="DYA26" s="28"/>
      <c r="DYB26" s="28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5"/>
      <c r="DZA26" s="4"/>
      <c r="DZB26" s="28"/>
      <c r="DZC26" s="28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5"/>
      <c r="EAB26" s="4"/>
      <c r="EAC26" s="28"/>
      <c r="EAD26" s="28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5"/>
      <c r="EBC26" s="4"/>
      <c r="EBD26" s="28"/>
      <c r="EBE26" s="28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5"/>
      <c r="ECD26" s="4"/>
      <c r="ECE26" s="28"/>
      <c r="ECF26" s="28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5"/>
      <c r="EDE26" s="4"/>
      <c r="EDF26" s="28"/>
      <c r="EDG26" s="28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5"/>
      <c r="EEF26" s="4"/>
      <c r="EEG26" s="28"/>
      <c r="EEH26" s="28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5"/>
      <c r="EFG26" s="4"/>
      <c r="EFH26" s="28"/>
      <c r="EFI26" s="28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5"/>
      <c r="EGH26" s="4"/>
      <c r="EGI26" s="28"/>
      <c r="EGJ26" s="28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5"/>
      <c r="EHI26" s="4"/>
      <c r="EHJ26" s="28"/>
      <c r="EHK26" s="28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5"/>
      <c r="EIJ26" s="4"/>
      <c r="EIK26" s="28"/>
      <c r="EIL26" s="28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5"/>
      <c r="EJK26" s="4"/>
      <c r="EJL26" s="28"/>
      <c r="EJM26" s="28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5"/>
      <c r="EKL26" s="4"/>
      <c r="EKM26" s="28"/>
      <c r="EKN26" s="28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5"/>
      <c r="ELM26" s="4"/>
      <c r="ELN26" s="28"/>
      <c r="ELO26" s="28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5"/>
      <c r="EMN26" s="4"/>
      <c r="EMO26" s="28"/>
      <c r="EMP26" s="28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5"/>
      <c r="ENO26" s="4"/>
      <c r="ENP26" s="28"/>
      <c r="ENQ26" s="28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5"/>
      <c r="EOP26" s="4"/>
      <c r="EOQ26" s="28"/>
      <c r="EOR26" s="28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5"/>
      <c r="EPQ26" s="4"/>
      <c r="EPR26" s="28"/>
      <c r="EPS26" s="28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5"/>
      <c r="EQR26" s="4"/>
      <c r="EQS26" s="28"/>
      <c r="EQT26" s="28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5"/>
      <c r="ERS26" s="4"/>
      <c r="ERT26" s="28"/>
      <c r="ERU26" s="28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5"/>
      <c r="EST26" s="4"/>
      <c r="ESU26" s="28"/>
      <c r="ESV26" s="28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5"/>
      <c r="ETU26" s="4"/>
      <c r="ETV26" s="28"/>
      <c r="ETW26" s="28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5"/>
      <c r="EUV26" s="4"/>
      <c r="EUW26" s="28"/>
      <c r="EUX26" s="28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5"/>
      <c r="EVW26" s="4"/>
      <c r="EVX26" s="28"/>
      <c r="EVY26" s="28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5"/>
      <c r="EWX26" s="4"/>
      <c r="EWY26" s="28"/>
      <c r="EWZ26" s="28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5"/>
      <c r="EXY26" s="4"/>
      <c r="EXZ26" s="28"/>
      <c r="EYA26" s="28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5"/>
      <c r="EYZ26" s="4"/>
      <c r="EZA26" s="28"/>
      <c r="EZB26" s="28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5"/>
      <c r="FAA26" s="4"/>
      <c r="FAB26" s="28"/>
      <c r="FAC26" s="28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5"/>
      <c r="FBB26" s="4"/>
      <c r="FBC26" s="28"/>
      <c r="FBD26" s="28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5"/>
      <c r="FCC26" s="4"/>
      <c r="FCD26" s="28"/>
      <c r="FCE26" s="28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5"/>
      <c r="FDD26" s="4"/>
      <c r="FDE26" s="28"/>
      <c r="FDF26" s="28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5"/>
      <c r="FEE26" s="4"/>
      <c r="FEF26" s="28"/>
      <c r="FEG26" s="28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5"/>
      <c r="FFF26" s="4"/>
      <c r="FFG26" s="28"/>
      <c r="FFH26" s="28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5"/>
      <c r="FGG26" s="4"/>
      <c r="FGH26" s="28"/>
      <c r="FGI26" s="28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5"/>
      <c r="FHH26" s="4"/>
      <c r="FHI26" s="28"/>
      <c r="FHJ26" s="28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5"/>
      <c r="FII26" s="4"/>
      <c r="FIJ26" s="28"/>
      <c r="FIK26" s="28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5"/>
      <c r="FJJ26" s="4"/>
      <c r="FJK26" s="28"/>
      <c r="FJL26" s="28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5"/>
      <c r="FKK26" s="4"/>
      <c r="FKL26" s="28"/>
      <c r="FKM26" s="28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5"/>
      <c r="FLL26" s="4"/>
      <c r="FLM26" s="28"/>
      <c r="FLN26" s="28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5"/>
      <c r="FMM26" s="4"/>
      <c r="FMN26" s="28"/>
      <c r="FMO26" s="28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5"/>
      <c r="FNN26" s="4"/>
      <c r="FNO26" s="28"/>
      <c r="FNP26" s="28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5"/>
      <c r="FOO26" s="4"/>
      <c r="FOP26" s="28"/>
      <c r="FOQ26" s="28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5"/>
      <c r="FPP26" s="4"/>
      <c r="FPQ26" s="28"/>
      <c r="FPR26" s="28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5"/>
      <c r="FQQ26" s="4"/>
      <c r="FQR26" s="28"/>
      <c r="FQS26" s="28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5"/>
      <c r="FRR26" s="4"/>
      <c r="FRS26" s="28"/>
      <c r="FRT26" s="28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5"/>
      <c r="FSS26" s="4"/>
      <c r="FST26" s="28"/>
      <c r="FSU26" s="28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5"/>
      <c r="FTT26" s="4"/>
      <c r="FTU26" s="28"/>
      <c r="FTV26" s="28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5"/>
      <c r="FUU26" s="4"/>
      <c r="FUV26" s="28"/>
      <c r="FUW26" s="28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5"/>
      <c r="FVV26" s="4"/>
      <c r="FVW26" s="28"/>
      <c r="FVX26" s="28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5"/>
      <c r="FWW26" s="4"/>
      <c r="FWX26" s="28"/>
      <c r="FWY26" s="28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5"/>
      <c r="FXX26" s="4"/>
      <c r="FXY26" s="28"/>
      <c r="FXZ26" s="28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5"/>
      <c r="FYY26" s="4"/>
      <c r="FYZ26" s="28"/>
      <c r="FZA26" s="28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5"/>
      <c r="FZZ26" s="4"/>
      <c r="GAA26" s="28"/>
      <c r="GAB26" s="28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5"/>
      <c r="GBA26" s="4"/>
      <c r="GBB26" s="28"/>
      <c r="GBC26" s="28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5"/>
      <c r="GCB26" s="4"/>
      <c r="GCC26" s="28"/>
      <c r="GCD26" s="28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5"/>
      <c r="GDC26" s="4"/>
      <c r="GDD26" s="28"/>
      <c r="GDE26" s="28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5"/>
      <c r="GED26" s="4"/>
      <c r="GEE26" s="28"/>
      <c r="GEF26" s="28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5"/>
      <c r="GFE26" s="4"/>
      <c r="GFF26" s="28"/>
      <c r="GFG26" s="28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5"/>
      <c r="GGF26" s="4"/>
      <c r="GGG26" s="28"/>
      <c r="GGH26" s="28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5"/>
      <c r="GHG26" s="4"/>
      <c r="GHH26" s="28"/>
      <c r="GHI26" s="28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5"/>
      <c r="GIH26" s="4"/>
      <c r="GII26" s="28"/>
      <c r="GIJ26" s="28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5"/>
      <c r="GJI26" s="4"/>
      <c r="GJJ26" s="28"/>
      <c r="GJK26" s="28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5"/>
      <c r="GKJ26" s="4"/>
      <c r="GKK26" s="28"/>
      <c r="GKL26" s="28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5"/>
      <c r="GLK26" s="4"/>
      <c r="GLL26" s="28"/>
      <c r="GLM26" s="28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5"/>
      <c r="GML26" s="4"/>
      <c r="GMM26" s="28"/>
      <c r="GMN26" s="28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5"/>
      <c r="GNM26" s="4"/>
      <c r="GNN26" s="28"/>
      <c r="GNO26" s="28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5"/>
      <c r="GON26" s="4"/>
      <c r="GOO26" s="28"/>
      <c r="GOP26" s="28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5"/>
      <c r="GPO26" s="4"/>
      <c r="GPP26" s="28"/>
      <c r="GPQ26" s="28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5"/>
      <c r="GQP26" s="4"/>
      <c r="GQQ26" s="28"/>
      <c r="GQR26" s="28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5"/>
      <c r="GRQ26" s="4"/>
      <c r="GRR26" s="28"/>
      <c r="GRS26" s="28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5"/>
      <c r="GSR26" s="4"/>
      <c r="GSS26" s="28"/>
      <c r="GST26" s="28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5"/>
      <c r="GTS26" s="4"/>
      <c r="GTT26" s="28"/>
      <c r="GTU26" s="28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5"/>
      <c r="GUT26" s="4"/>
      <c r="GUU26" s="28"/>
      <c r="GUV26" s="28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5"/>
      <c r="GVU26" s="4"/>
      <c r="GVV26" s="28"/>
      <c r="GVW26" s="28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5"/>
      <c r="GWV26" s="4"/>
      <c r="GWW26" s="28"/>
      <c r="GWX26" s="28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5"/>
      <c r="GXW26" s="4"/>
      <c r="GXX26" s="28"/>
      <c r="GXY26" s="28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5"/>
      <c r="GYX26" s="4"/>
      <c r="GYY26" s="28"/>
      <c r="GYZ26" s="28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5"/>
      <c r="GZY26" s="4"/>
      <c r="GZZ26" s="28"/>
      <c r="HAA26" s="28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5"/>
      <c r="HAZ26" s="4"/>
      <c r="HBA26" s="28"/>
      <c r="HBB26" s="28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5"/>
      <c r="HCA26" s="4"/>
      <c r="HCB26" s="28"/>
      <c r="HCC26" s="28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5"/>
      <c r="HDB26" s="4"/>
      <c r="HDC26" s="28"/>
      <c r="HDD26" s="28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5"/>
      <c r="HEC26" s="4"/>
      <c r="HED26" s="28"/>
      <c r="HEE26" s="28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5"/>
      <c r="HFD26" s="4"/>
      <c r="HFE26" s="28"/>
      <c r="HFF26" s="28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5"/>
      <c r="HGE26" s="4"/>
      <c r="HGF26" s="28"/>
      <c r="HGG26" s="28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5"/>
      <c r="HHF26" s="4"/>
      <c r="HHG26" s="28"/>
      <c r="HHH26" s="28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5"/>
      <c r="HIG26" s="4"/>
      <c r="HIH26" s="28"/>
      <c r="HII26" s="28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5"/>
      <c r="HJH26" s="4"/>
      <c r="HJI26" s="28"/>
      <c r="HJJ26" s="28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5"/>
      <c r="HKI26" s="4"/>
      <c r="HKJ26" s="28"/>
      <c r="HKK26" s="28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5"/>
      <c r="HLJ26" s="4"/>
      <c r="HLK26" s="28"/>
      <c r="HLL26" s="28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5"/>
      <c r="HMK26" s="4"/>
      <c r="HML26" s="28"/>
      <c r="HMM26" s="28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5"/>
      <c r="HNL26" s="4"/>
      <c r="HNM26" s="28"/>
      <c r="HNN26" s="28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5"/>
      <c r="HOM26" s="4"/>
      <c r="HON26" s="28"/>
      <c r="HOO26" s="28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5"/>
      <c r="HPN26" s="4"/>
      <c r="HPO26" s="28"/>
      <c r="HPP26" s="28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5"/>
      <c r="HQO26" s="4"/>
      <c r="HQP26" s="28"/>
      <c r="HQQ26" s="28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5"/>
      <c r="HRP26" s="4"/>
      <c r="HRQ26" s="28"/>
      <c r="HRR26" s="28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5"/>
      <c r="HSQ26" s="4"/>
      <c r="HSR26" s="28"/>
      <c r="HSS26" s="28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5"/>
      <c r="HTR26" s="4"/>
      <c r="HTS26" s="28"/>
      <c r="HTT26" s="28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5"/>
      <c r="HUS26" s="4"/>
      <c r="HUT26" s="28"/>
      <c r="HUU26" s="28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5"/>
      <c r="HVT26" s="4"/>
      <c r="HVU26" s="28"/>
      <c r="HVV26" s="28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5"/>
      <c r="HWU26" s="4"/>
      <c r="HWV26" s="28"/>
      <c r="HWW26" s="28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5"/>
      <c r="HXV26" s="4"/>
      <c r="HXW26" s="28"/>
      <c r="HXX26" s="28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5"/>
      <c r="HYW26" s="4"/>
      <c r="HYX26" s="28"/>
      <c r="HYY26" s="28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5"/>
      <c r="HZX26" s="4"/>
      <c r="HZY26" s="28"/>
      <c r="HZZ26" s="28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5"/>
      <c r="IAY26" s="4"/>
      <c r="IAZ26" s="28"/>
      <c r="IBA26" s="28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5"/>
      <c r="IBZ26" s="4"/>
      <c r="ICA26" s="28"/>
      <c r="ICB26" s="28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5"/>
      <c r="IDA26" s="4"/>
      <c r="IDB26" s="28"/>
      <c r="IDC26" s="28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5"/>
      <c r="IEB26" s="4"/>
      <c r="IEC26" s="28"/>
      <c r="IED26" s="28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5"/>
      <c r="IFC26" s="4"/>
      <c r="IFD26" s="28"/>
      <c r="IFE26" s="28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5"/>
      <c r="IGD26" s="4"/>
      <c r="IGE26" s="28"/>
      <c r="IGF26" s="28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5"/>
      <c r="IHE26" s="4"/>
      <c r="IHF26" s="28"/>
      <c r="IHG26" s="28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5"/>
      <c r="IIF26" s="4"/>
      <c r="IIG26" s="28"/>
      <c r="IIH26" s="28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5"/>
      <c r="IJG26" s="4"/>
      <c r="IJH26" s="28"/>
      <c r="IJI26" s="28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5"/>
      <c r="IKH26" s="4"/>
      <c r="IKI26" s="28"/>
      <c r="IKJ26" s="28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5"/>
      <c r="ILI26" s="4"/>
      <c r="ILJ26" s="28"/>
      <c r="ILK26" s="28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5"/>
      <c r="IMJ26" s="4"/>
      <c r="IMK26" s="28"/>
      <c r="IML26" s="28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5"/>
      <c r="INK26" s="4"/>
      <c r="INL26" s="28"/>
      <c r="INM26" s="28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5"/>
      <c r="IOL26" s="4"/>
      <c r="IOM26" s="28"/>
      <c r="ION26" s="28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5"/>
      <c r="IPM26" s="4"/>
      <c r="IPN26" s="28"/>
      <c r="IPO26" s="28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5"/>
      <c r="IQN26" s="4"/>
      <c r="IQO26" s="28"/>
      <c r="IQP26" s="28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5"/>
      <c r="IRO26" s="4"/>
      <c r="IRP26" s="28"/>
      <c r="IRQ26" s="28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5"/>
      <c r="ISP26" s="4"/>
      <c r="ISQ26" s="28"/>
      <c r="ISR26" s="28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5"/>
      <c r="ITQ26" s="4"/>
      <c r="ITR26" s="28"/>
      <c r="ITS26" s="28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5"/>
      <c r="IUR26" s="4"/>
      <c r="IUS26" s="28"/>
      <c r="IUT26" s="28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5"/>
      <c r="IVS26" s="4"/>
      <c r="IVT26" s="28"/>
      <c r="IVU26" s="28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5"/>
      <c r="IWT26" s="4"/>
      <c r="IWU26" s="28"/>
      <c r="IWV26" s="28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5"/>
      <c r="IXU26" s="4"/>
      <c r="IXV26" s="28"/>
      <c r="IXW26" s="28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5"/>
      <c r="IYV26" s="4"/>
      <c r="IYW26" s="28"/>
      <c r="IYX26" s="28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5"/>
      <c r="IZW26" s="4"/>
      <c r="IZX26" s="28"/>
      <c r="IZY26" s="28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5"/>
      <c r="JAX26" s="4"/>
      <c r="JAY26" s="28"/>
      <c r="JAZ26" s="28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5"/>
      <c r="JBY26" s="4"/>
      <c r="JBZ26" s="28"/>
      <c r="JCA26" s="28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5"/>
      <c r="JCZ26" s="4"/>
      <c r="JDA26" s="28"/>
      <c r="JDB26" s="28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5"/>
      <c r="JEA26" s="4"/>
      <c r="JEB26" s="28"/>
      <c r="JEC26" s="28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5"/>
      <c r="JFB26" s="4"/>
      <c r="JFC26" s="28"/>
      <c r="JFD26" s="28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5"/>
      <c r="JGC26" s="4"/>
      <c r="JGD26" s="28"/>
      <c r="JGE26" s="28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5"/>
      <c r="JHD26" s="4"/>
      <c r="JHE26" s="28"/>
      <c r="JHF26" s="28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5"/>
      <c r="JIE26" s="4"/>
      <c r="JIF26" s="28"/>
      <c r="JIG26" s="28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5"/>
      <c r="JJF26" s="4"/>
      <c r="JJG26" s="28"/>
      <c r="JJH26" s="28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5"/>
      <c r="JKG26" s="4"/>
      <c r="JKH26" s="28"/>
      <c r="JKI26" s="28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5"/>
      <c r="JLH26" s="4"/>
      <c r="JLI26" s="28"/>
      <c r="JLJ26" s="28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5"/>
      <c r="JMI26" s="4"/>
      <c r="JMJ26" s="28"/>
      <c r="JMK26" s="28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5"/>
      <c r="JNJ26" s="4"/>
      <c r="JNK26" s="28"/>
      <c r="JNL26" s="28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5"/>
      <c r="JOK26" s="4"/>
      <c r="JOL26" s="28"/>
      <c r="JOM26" s="28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5"/>
      <c r="JPL26" s="4"/>
      <c r="JPM26" s="28"/>
      <c r="JPN26" s="28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5"/>
      <c r="JQM26" s="4"/>
      <c r="JQN26" s="28"/>
      <c r="JQO26" s="28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5"/>
      <c r="JRN26" s="4"/>
      <c r="JRO26" s="28"/>
      <c r="JRP26" s="28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5"/>
      <c r="JSO26" s="4"/>
      <c r="JSP26" s="28"/>
      <c r="JSQ26" s="28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5"/>
      <c r="JTP26" s="4"/>
      <c r="JTQ26" s="28"/>
      <c r="JTR26" s="28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5"/>
      <c r="JUQ26" s="4"/>
      <c r="JUR26" s="28"/>
      <c r="JUS26" s="28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5"/>
      <c r="JVR26" s="4"/>
      <c r="JVS26" s="28"/>
      <c r="JVT26" s="28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5"/>
      <c r="JWS26" s="4"/>
      <c r="JWT26" s="28"/>
      <c r="JWU26" s="28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5"/>
      <c r="JXT26" s="4"/>
      <c r="JXU26" s="28"/>
      <c r="JXV26" s="28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5"/>
      <c r="JYU26" s="4"/>
      <c r="JYV26" s="28"/>
      <c r="JYW26" s="28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5"/>
      <c r="JZV26" s="4"/>
      <c r="JZW26" s="28"/>
      <c r="JZX26" s="28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5"/>
      <c r="KAW26" s="4"/>
      <c r="KAX26" s="28"/>
      <c r="KAY26" s="28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5"/>
      <c r="KBX26" s="4"/>
      <c r="KBY26" s="28"/>
      <c r="KBZ26" s="28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5"/>
      <c r="KCY26" s="4"/>
      <c r="KCZ26" s="28"/>
      <c r="KDA26" s="28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5"/>
      <c r="KDZ26" s="4"/>
      <c r="KEA26" s="28"/>
      <c r="KEB26" s="28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5"/>
      <c r="KFA26" s="4"/>
      <c r="KFB26" s="28"/>
      <c r="KFC26" s="28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5"/>
      <c r="KGB26" s="4"/>
      <c r="KGC26" s="28"/>
      <c r="KGD26" s="28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5"/>
      <c r="KHC26" s="4"/>
      <c r="KHD26" s="28"/>
      <c r="KHE26" s="28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5"/>
      <c r="KID26" s="4"/>
      <c r="KIE26" s="28"/>
      <c r="KIF26" s="28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5"/>
      <c r="KJE26" s="4"/>
      <c r="KJF26" s="28"/>
      <c r="KJG26" s="28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5"/>
      <c r="KKF26" s="4"/>
      <c r="KKG26" s="28"/>
      <c r="KKH26" s="28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5"/>
      <c r="KLG26" s="4"/>
      <c r="KLH26" s="28"/>
      <c r="KLI26" s="28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5"/>
      <c r="KMH26" s="4"/>
      <c r="KMI26" s="28"/>
      <c r="KMJ26" s="28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5"/>
      <c r="KNI26" s="4"/>
      <c r="KNJ26" s="28"/>
      <c r="KNK26" s="28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5"/>
      <c r="KOJ26" s="4"/>
      <c r="KOK26" s="28"/>
      <c r="KOL26" s="28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5"/>
      <c r="KPK26" s="4"/>
      <c r="KPL26" s="28"/>
      <c r="KPM26" s="28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5"/>
      <c r="KQL26" s="4"/>
      <c r="KQM26" s="28"/>
      <c r="KQN26" s="28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5"/>
      <c r="KRM26" s="4"/>
      <c r="KRN26" s="28"/>
      <c r="KRO26" s="28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5"/>
      <c r="KSN26" s="4"/>
      <c r="KSO26" s="28"/>
      <c r="KSP26" s="28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5"/>
      <c r="KTO26" s="4"/>
      <c r="KTP26" s="28"/>
      <c r="KTQ26" s="28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5"/>
      <c r="KUP26" s="4"/>
      <c r="KUQ26" s="28"/>
      <c r="KUR26" s="28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5"/>
      <c r="KVQ26" s="4"/>
      <c r="KVR26" s="28"/>
      <c r="KVS26" s="28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5"/>
      <c r="KWR26" s="4"/>
      <c r="KWS26" s="28"/>
      <c r="KWT26" s="28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5"/>
      <c r="KXS26" s="4"/>
      <c r="KXT26" s="28"/>
      <c r="KXU26" s="28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5"/>
      <c r="KYT26" s="4"/>
      <c r="KYU26" s="28"/>
      <c r="KYV26" s="28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5"/>
      <c r="KZU26" s="4"/>
      <c r="KZV26" s="28"/>
      <c r="KZW26" s="28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5"/>
      <c r="LAV26" s="4"/>
      <c r="LAW26" s="28"/>
      <c r="LAX26" s="28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5"/>
      <c r="LBW26" s="4"/>
      <c r="LBX26" s="28"/>
      <c r="LBY26" s="28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5"/>
      <c r="LCX26" s="4"/>
      <c r="LCY26" s="28"/>
      <c r="LCZ26" s="28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5"/>
      <c r="LDY26" s="4"/>
      <c r="LDZ26" s="28"/>
      <c r="LEA26" s="28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5"/>
      <c r="LEZ26" s="4"/>
      <c r="LFA26" s="28"/>
      <c r="LFB26" s="28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5"/>
      <c r="LGA26" s="4"/>
      <c r="LGB26" s="28"/>
      <c r="LGC26" s="28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5"/>
      <c r="LHB26" s="4"/>
      <c r="LHC26" s="28"/>
      <c r="LHD26" s="28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5"/>
      <c r="LIC26" s="4"/>
      <c r="LID26" s="28"/>
      <c r="LIE26" s="28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5"/>
      <c r="LJD26" s="4"/>
      <c r="LJE26" s="28"/>
      <c r="LJF26" s="28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5"/>
      <c r="LKE26" s="4"/>
      <c r="LKF26" s="28"/>
      <c r="LKG26" s="28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5"/>
      <c r="LLF26" s="4"/>
      <c r="LLG26" s="28"/>
      <c r="LLH26" s="28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5"/>
      <c r="LMG26" s="4"/>
      <c r="LMH26" s="28"/>
      <c r="LMI26" s="28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5"/>
      <c r="LNH26" s="4"/>
      <c r="LNI26" s="28"/>
      <c r="LNJ26" s="28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5"/>
      <c r="LOI26" s="4"/>
      <c r="LOJ26" s="28"/>
      <c r="LOK26" s="28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5"/>
      <c r="LPJ26" s="4"/>
      <c r="LPK26" s="28"/>
      <c r="LPL26" s="28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5"/>
      <c r="LQK26" s="4"/>
      <c r="LQL26" s="28"/>
      <c r="LQM26" s="28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5"/>
      <c r="LRL26" s="4"/>
      <c r="LRM26" s="28"/>
      <c r="LRN26" s="28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5"/>
      <c r="LSM26" s="4"/>
      <c r="LSN26" s="28"/>
      <c r="LSO26" s="28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5"/>
      <c r="LTN26" s="4"/>
      <c r="LTO26" s="28"/>
      <c r="LTP26" s="28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5"/>
      <c r="LUO26" s="4"/>
      <c r="LUP26" s="28"/>
      <c r="LUQ26" s="28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5"/>
      <c r="LVP26" s="4"/>
      <c r="LVQ26" s="28"/>
      <c r="LVR26" s="28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5"/>
      <c r="LWQ26" s="4"/>
      <c r="LWR26" s="28"/>
      <c r="LWS26" s="28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5"/>
      <c r="LXR26" s="4"/>
      <c r="LXS26" s="28"/>
      <c r="LXT26" s="28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5"/>
      <c r="LYS26" s="4"/>
      <c r="LYT26" s="28"/>
      <c r="LYU26" s="28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5"/>
      <c r="LZT26" s="4"/>
      <c r="LZU26" s="28"/>
      <c r="LZV26" s="28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5"/>
      <c r="MAU26" s="4"/>
      <c r="MAV26" s="28"/>
      <c r="MAW26" s="28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5"/>
      <c r="MBV26" s="4"/>
      <c r="MBW26" s="28"/>
      <c r="MBX26" s="28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5"/>
      <c r="MCW26" s="4"/>
      <c r="MCX26" s="28"/>
      <c r="MCY26" s="28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5"/>
      <c r="MDX26" s="4"/>
      <c r="MDY26" s="28"/>
      <c r="MDZ26" s="28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5"/>
      <c r="MEY26" s="4"/>
      <c r="MEZ26" s="28"/>
      <c r="MFA26" s="28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5"/>
      <c r="MFZ26" s="4"/>
      <c r="MGA26" s="28"/>
      <c r="MGB26" s="28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5"/>
      <c r="MHA26" s="4"/>
      <c r="MHB26" s="28"/>
      <c r="MHC26" s="28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5"/>
      <c r="MIB26" s="4"/>
      <c r="MIC26" s="28"/>
      <c r="MID26" s="28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5"/>
      <c r="MJC26" s="4"/>
      <c r="MJD26" s="28"/>
      <c r="MJE26" s="28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5"/>
      <c r="MKD26" s="4"/>
      <c r="MKE26" s="28"/>
      <c r="MKF26" s="28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5"/>
      <c r="MLE26" s="4"/>
      <c r="MLF26" s="28"/>
      <c r="MLG26" s="28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5"/>
      <c r="MMF26" s="4"/>
      <c r="MMG26" s="28"/>
      <c r="MMH26" s="28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5"/>
      <c r="MNG26" s="4"/>
      <c r="MNH26" s="28"/>
      <c r="MNI26" s="28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5"/>
      <c r="MOH26" s="4"/>
      <c r="MOI26" s="28"/>
      <c r="MOJ26" s="28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5"/>
      <c r="MPI26" s="4"/>
      <c r="MPJ26" s="28"/>
      <c r="MPK26" s="28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5"/>
      <c r="MQJ26" s="4"/>
      <c r="MQK26" s="28"/>
      <c r="MQL26" s="28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5"/>
      <c r="MRK26" s="4"/>
      <c r="MRL26" s="28"/>
      <c r="MRM26" s="28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5"/>
      <c r="MSL26" s="4"/>
      <c r="MSM26" s="28"/>
      <c r="MSN26" s="28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5"/>
      <c r="MTM26" s="4"/>
      <c r="MTN26" s="28"/>
      <c r="MTO26" s="28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5"/>
      <c r="MUN26" s="4"/>
      <c r="MUO26" s="28"/>
      <c r="MUP26" s="28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5"/>
      <c r="MVO26" s="4"/>
      <c r="MVP26" s="28"/>
      <c r="MVQ26" s="28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5"/>
      <c r="MWP26" s="4"/>
      <c r="MWQ26" s="28"/>
      <c r="MWR26" s="28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5"/>
      <c r="MXQ26" s="4"/>
      <c r="MXR26" s="28"/>
      <c r="MXS26" s="28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5"/>
      <c r="MYR26" s="4"/>
      <c r="MYS26" s="28"/>
      <c r="MYT26" s="28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5"/>
      <c r="MZS26" s="4"/>
      <c r="MZT26" s="28"/>
      <c r="MZU26" s="28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5"/>
      <c r="NAT26" s="4"/>
      <c r="NAU26" s="28"/>
      <c r="NAV26" s="28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5"/>
      <c r="NBU26" s="4"/>
      <c r="NBV26" s="28"/>
      <c r="NBW26" s="28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5"/>
      <c r="NCV26" s="4"/>
      <c r="NCW26" s="28"/>
      <c r="NCX26" s="28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5"/>
      <c r="NDW26" s="4"/>
      <c r="NDX26" s="28"/>
      <c r="NDY26" s="28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5"/>
      <c r="NEX26" s="4"/>
      <c r="NEY26" s="28"/>
      <c r="NEZ26" s="28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5"/>
      <c r="NFY26" s="4"/>
      <c r="NFZ26" s="28"/>
      <c r="NGA26" s="28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5"/>
      <c r="NGZ26" s="4"/>
      <c r="NHA26" s="28"/>
      <c r="NHB26" s="28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5"/>
      <c r="NIA26" s="4"/>
      <c r="NIB26" s="28"/>
      <c r="NIC26" s="28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5"/>
      <c r="NJB26" s="4"/>
      <c r="NJC26" s="28"/>
      <c r="NJD26" s="28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5"/>
      <c r="NKC26" s="4"/>
      <c r="NKD26" s="28"/>
      <c r="NKE26" s="28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5"/>
      <c r="NLD26" s="4"/>
      <c r="NLE26" s="28"/>
      <c r="NLF26" s="28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5"/>
      <c r="NME26" s="4"/>
      <c r="NMF26" s="28"/>
      <c r="NMG26" s="28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5"/>
      <c r="NNF26" s="4"/>
      <c r="NNG26" s="28"/>
      <c r="NNH26" s="28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5"/>
      <c r="NOG26" s="4"/>
      <c r="NOH26" s="28"/>
      <c r="NOI26" s="28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5"/>
      <c r="NPH26" s="4"/>
      <c r="NPI26" s="28"/>
      <c r="NPJ26" s="28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5"/>
      <c r="NQI26" s="4"/>
      <c r="NQJ26" s="28"/>
      <c r="NQK26" s="28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5"/>
      <c r="NRJ26" s="4"/>
      <c r="NRK26" s="28"/>
      <c r="NRL26" s="28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5"/>
      <c r="NSK26" s="4"/>
      <c r="NSL26" s="28"/>
      <c r="NSM26" s="28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5"/>
      <c r="NTL26" s="4"/>
      <c r="NTM26" s="28"/>
      <c r="NTN26" s="28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5"/>
      <c r="NUM26" s="4"/>
      <c r="NUN26" s="28"/>
      <c r="NUO26" s="28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5"/>
      <c r="NVN26" s="4"/>
      <c r="NVO26" s="28"/>
      <c r="NVP26" s="28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5"/>
      <c r="NWO26" s="4"/>
      <c r="NWP26" s="28"/>
      <c r="NWQ26" s="28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5"/>
      <c r="NXP26" s="4"/>
      <c r="NXQ26" s="28"/>
      <c r="NXR26" s="28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5"/>
      <c r="NYQ26" s="4"/>
      <c r="NYR26" s="28"/>
      <c r="NYS26" s="28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5"/>
      <c r="NZR26" s="4"/>
      <c r="NZS26" s="28"/>
      <c r="NZT26" s="28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5"/>
      <c r="OAS26" s="4"/>
      <c r="OAT26" s="28"/>
      <c r="OAU26" s="28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5"/>
      <c r="OBT26" s="4"/>
      <c r="OBU26" s="28"/>
      <c r="OBV26" s="28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5"/>
      <c r="OCU26" s="4"/>
      <c r="OCV26" s="28"/>
      <c r="OCW26" s="28"/>
      <c r="OCX26" s="4"/>
      <c r="OCY26" s="4"/>
      <c r="OCZ26" s="4"/>
      <c r="ODA26" s="4"/>
      <c r="ODB26" s="4"/>
      <c r="ODC26" s="4"/>
      <c r="ODD26" s="4"/>
      <c r="ODE26" s="4"/>
      <c r="ODF26" s="4"/>
      <c r="ODG26" s="4"/>
      <c r="ODH26" s="4"/>
      <c r="ODI26" s="4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5"/>
      <c r="ODV26" s="4"/>
      <c r="ODW26" s="28"/>
      <c r="ODX26" s="28"/>
      <c r="ODY26" s="4"/>
      <c r="ODZ26" s="4"/>
      <c r="OEA26" s="4"/>
      <c r="OEB26" s="4"/>
      <c r="OEC26" s="4"/>
      <c r="OED26" s="4"/>
      <c r="OEE26" s="4"/>
      <c r="OEF26" s="4"/>
      <c r="OEG26" s="4"/>
      <c r="OEH26" s="4"/>
      <c r="OEI26" s="4"/>
      <c r="OEJ26" s="4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5"/>
      <c r="OEW26" s="4"/>
      <c r="OEX26" s="28"/>
      <c r="OEY26" s="28"/>
      <c r="OEZ26" s="4"/>
      <c r="OFA26" s="4"/>
      <c r="OFB26" s="4"/>
      <c r="OFC26" s="4"/>
      <c r="OFD26" s="4"/>
      <c r="OFE26" s="4"/>
      <c r="OFF26" s="4"/>
      <c r="OFG26" s="4"/>
      <c r="OFH26" s="4"/>
      <c r="OFI26" s="4"/>
      <c r="OFJ26" s="4"/>
      <c r="OFK26" s="4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5"/>
      <c r="OFX26" s="4"/>
      <c r="OFY26" s="28"/>
      <c r="OFZ26" s="28"/>
      <c r="OGA26" s="4"/>
      <c r="OGB26" s="4"/>
      <c r="OGC26" s="4"/>
      <c r="OGD26" s="4"/>
      <c r="OGE26" s="4"/>
      <c r="OGF26" s="4"/>
      <c r="OGG26" s="4"/>
      <c r="OGH26" s="4"/>
      <c r="OGI26" s="4"/>
      <c r="OGJ26" s="4"/>
      <c r="OGK26" s="4"/>
      <c r="OGL26" s="4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5"/>
      <c r="OGY26" s="4"/>
      <c r="OGZ26" s="28"/>
      <c r="OHA26" s="28"/>
      <c r="OHB26" s="4"/>
      <c r="OHC26" s="4"/>
      <c r="OHD26" s="4"/>
      <c r="OHE26" s="4"/>
      <c r="OHF26" s="4"/>
      <c r="OHG26" s="4"/>
      <c r="OHH26" s="4"/>
      <c r="OHI26" s="4"/>
      <c r="OHJ26" s="4"/>
      <c r="OHK26" s="4"/>
      <c r="OHL26" s="4"/>
      <c r="OHM26" s="4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5"/>
      <c r="OHZ26" s="4"/>
      <c r="OIA26" s="28"/>
      <c r="OIB26" s="28"/>
      <c r="OIC26" s="4"/>
      <c r="OID26" s="4"/>
      <c r="OIE26" s="4"/>
      <c r="OIF26" s="4"/>
      <c r="OIG26" s="4"/>
      <c r="OIH26" s="4"/>
      <c r="OII26" s="4"/>
      <c r="OIJ26" s="4"/>
      <c r="OIK26" s="4"/>
      <c r="OIL26" s="4"/>
      <c r="OIM26" s="4"/>
      <c r="OIN26" s="4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5"/>
      <c r="OJA26" s="4"/>
      <c r="OJB26" s="28"/>
      <c r="OJC26" s="28"/>
      <c r="OJD26" s="4"/>
      <c r="OJE26" s="4"/>
      <c r="OJF26" s="4"/>
      <c r="OJG26" s="4"/>
      <c r="OJH26" s="4"/>
      <c r="OJI26" s="4"/>
      <c r="OJJ26" s="4"/>
      <c r="OJK26" s="4"/>
      <c r="OJL26" s="4"/>
      <c r="OJM26" s="4"/>
      <c r="OJN26" s="4"/>
      <c r="OJO26" s="4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5"/>
      <c r="OKB26" s="4"/>
      <c r="OKC26" s="28"/>
      <c r="OKD26" s="28"/>
      <c r="OKE26" s="4"/>
      <c r="OKF26" s="4"/>
      <c r="OKG26" s="4"/>
      <c r="OKH26" s="4"/>
      <c r="OKI26" s="4"/>
      <c r="OKJ26" s="4"/>
      <c r="OKK26" s="4"/>
      <c r="OKL26" s="4"/>
      <c r="OKM26" s="4"/>
      <c r="OKN26" s="4"/>
      <c r="OKO26" s="4"/>
      <c r="OKP26" s="4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5"/>
      <c r="OLC26" s="4"/>
      <c r="OLD26" s="28"/>
      <c r="OLE26" s="28"/>
      <c r="OLF26" s="4"/>
      <c r="OLG26" s="4"/>
      <c r="OLH26" s="4"/>
      <c r="OLI26" s="4"/>
      <c r="OLJ26" s="4"/>
      <c r="OLK26" s="4"/>
      <c r="OLL26" s="4"/>
      <c r="OLM26" s="4"/>
      <c r="OLN26" s="4"/>
      <c r="OLO26" s="4"/>
      <c r="OLP26" s="4"/>
      <c r="OLQ26" s="4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5"/>
      <c r="OMD26" s="4"/>
      <c r="OME26" s="28"/>
      <c r="OMF26" s="28"/>
      <c r="OMG26" s="4"/>
      <c r="OMH26" s="4"/>
      <c r="OMI26" s="4"/>
      <c r="OMJ26" s="4"/>
      <c r="OMK26" s="4"/>
      <c r="OML26" s="4"/>
      <c r="OMM26" s="4"/>
      <c r="OMN26" s="4"/>
      <c r="OMO26" s="4"/>
      <c r="OMP26" s="4"/>
      <c r="OMQ26" s="4"/>
      <c r="OMR26" s="4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5"/>
      <c r="ONE26" s="4"/>
      <c r="ONF26" s="28"/>
      <c r="ONG26" s="28"/>
      <c r="ONH26" s="4"/>
      <c r="ONI26" s="4"/>
      <c r="ONJ26" s="4"/>
      <c r="ONK26" s="4"/>
      <c r="ONL26" s="4"/>
      <c r="ONM26" s="4"/>
      <c r="ONN26" s="4"/>
      <c r="ONO26" s="4"/>
      <c r="ONP26" s="4"/>
      <c r="ONQ26" s="4"/>
      <c r="ONR26" s="4"/>
      <c r="ONS26" s="4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5"/>
      <c r="OOF26" s="4"/>
      <c r="OOG26" s="28"/>
      <c r="OOH26" s="28"/>
      <c r="OOI26" s="4"/>
      <c r="OOJ26" s="4"/>
      <c r="OOK26" s="4"/>
      <c r="OOL26" s="4"/>
      <c r="OOM26" s="4"/>
      <c r="OON26" s="4"/>
      <c r="OOO26" s="4"/>
      <c r="OOP26" s="4"/>
      <c r="OOQ26" s="4"/>
      <c r="OOR26" s="4"/>
      <c r="OOS26" s="4"/>
      <c r="OOT26" s="4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5"/>
      <c r="OPG26" s="4"/>
      <c r="OPH26" s="28"/>
      <c r="OPI26" s="28"/>
      <c r="OPJ26" s="4"/>
      <c r="OPK26" s="4"/>
      <c r="OPL26" s="4"/>
      <c r="OPM26" s="4"/>
      <c r="OPN26" s="4"/>
      <c r="OPO26" s="4"/>
      <c r="OPP26" s="4"/>
      <c r="OPQ26" s="4"/>
      <c r="OPR26" s="4"/>
      <c r="OPS26" s="4"/>
      <c r="OPT26" s="4"/>
      <c r="OPU26" s="4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5"/>
      <c r="OQH26" s="4"/>
      <c r="OQI26" s="28"/>
      <c r="OQJ26" s="28"/>
      <c r="OQK26" s="4"/>
      <c r="OQL26" s="4"/>
      <c r="OQM26" s="4"/>
      <c r="OQN26" s="4"/>
      <c r="OQO26" s="4"/>
      <c r="OQP26" s="4"/>
      <c r="OQQ26" s="4"/>
      <c r="OQR26" s="4"/>
      <c r="OQS26" s="4"/>
      <c r="OQT26" s="4"/>
      <c r="OQU26" s="4"/>
      <c r="OQV26" s="4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5"/>
      <c r="ORI26" s="4"/>
      <c r="ORJ26" s="28"/>
      <c r="ORK26" s="28"/>
      <c r="ORL26" s="4"/>
      <c r="ORM26" s="4"/>
      <c r="ORN26" s="4"/>
      <c r="ORO26" s="4"/>
      <c r="ORP26" s="4"/>
      <c r="ORQ26" s="4"/>
      <c r="ORR26" s="4"/>
      <c r="ORS26" s="4"/>
      <c r="ORT26" s="4"/>
      <c r="ORU26" s="4"/>
      <c r="ORV26" s="4"/>
      <c r="ORW26" s="4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5"/>
      <c r="OSJ26" s="4"/>
      <c r="OSK26" s="28"/>
      <c r="OSL26" s="28"/>
      <c r="OSM26" s="4"/>
      <c r="OSN26" s="4"/>
      <c r="OSO26" s="4"/>
      <c r="OSP26" s="4"/>
      <c r="OSQ26" s="4"/>
      <c r="OSR26" s="4"/>
      <c r="OSS26" s="4"/>
      <c r="OST26" s="4"/>
      <c r="OSU26" s="4"/>
      <c r="OSV26" s="4"/>
      <c r="OSW26" s="4"/>
      <c r="OSX26" s="4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5"/>
      <c r="OTK26" s="4"/>
      <c r="OTL26" s="28"/>
      <c r="OTM26" s="28"/>
      <c r="OTN26" s="4"/>
      <c r="OTO26" s="4"/>
      <c r="OTP26" s="4"/>
      <c r="OTQ26" s="4"/>
      <c r="OTR26" s="4"/>
      <c r="OTS26" s="4"/>
      <c r="OTT26" s="4"/>
      <c r="OTU26" s="4"/>
      <c r="OTV26" s="4"/>
      <c r="OTW26" s="4"/>
      <c r="OTX26" s="4"/>
      <c r="OTY26" s="4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5"/>
      <c r="OUL26" s="4"/>
      <c r="OUM26" s="28"/>
      <c r="OUN26" s="28"/>
      <c r="OUO26" s="4"/>
      <c r="OUP26" s="4"/>
      <c r="OUQ26" s="4"/>
      <c r="OUR26" s="4"/>
      <c r="OUS26" s="4"/>
      <c r="OUT26" s="4"/>
      <c r="OUU26" s="4"/>
      <c r="OUV26" s="4"/>
      <c r="OUW26" s="4"/>
      <c r="OUX26" s="4"/>
      <c r="OUY26" s="4"/>
      <c r="OUZ26" s="4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5"/>
      <c r="OVM26" s="4"/>
      <c r="OVN26" s="28"/>
      <c r="OVO26" s="28"/>
      <c r="OVP26" s="4"/>
      <c r="OVQ26" s="4"/>
      <c r="OVR26" s="4"/>
      <c r="OVS26" s="4"/>
      <c r="OVT26" s="4"/>
      <c r="OVU26" s="4"/>
      <c r="OVV26" s="4"/>
      <c r="OVW26" s="4"/>
      <c r="OVX26" s="4"/>
      <c r="OVY26" s="4"/>
      <c r="OVZ26" s="4"/>
      <c r="OWA26" s="4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5"/>
      <c r="OWN26" s="4"/>
      <c r="OWO26" s="28"/>
      <c r="OWP26" s="28"/>
      <c r="OWQ26" s="4"/>
      <c r="OWR26" s="4"/>
      <c r="OWS26" s="4"/>
      <c r="OWT26" s="4"/>
      <c r="OWU26" s="4"/>
      <c r="OWV26" s="4"/>
      <c r="OWW26" s="4"/>
      <c r="OWX26" s="4"/>
      <c r="OWY26" s="4"/>
      <c r="OWZ26" s="4"/>
      <c r="OXA26" s="4"/>
      <c r="OXB26" s="4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5"/>
      <c r="OXO26" s="4"/>
      <c r="OXP26" s="28"/>
      <c r="OXQ26" s="28"/>
      <c r="OXR26" s="4"/>
      <c r="OXS26" s="4"/>
      <c r="OXT26" s="4"/>
      <c r="OXU26" s="4"/>
      <c r="OXV26" s="4"/>
      <c r="OXW26" s="4"/>
      <c r="OXX26" s="4"/>
      <c r="OXY26" s="4"/>
      <c r="OXZ26" s="4"/>
      <c r="OYA26" s="4"/>
      <c r="OYB26" s="4"/>
      <c r="OYC26" s="4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5"/>
      <c r="OYP26" s="4"/>
      <c r="OYQ26" s="28"/>
      <c r="OYR26" s="28"/>
      <c r="OYS26" s="4"/>
      <c r="OYT26" s="4"/>
      <c r="OYU26" s="4"/>
      <c r="OYV26" s="4"/>
      <c r="OYW26" s="4"/>
      <c r="OYX26" s="4"/>
      <c r="OYY26" s="4"/>
      <c r="OYZ26" s="4"/>
      <c r="OZA26" s="4"/>
      <c r="OZB26" s="4"/>
      <c r="OZC26" s="4"/>
      <c r="OZD26" s="4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5"/>
      <c r="OZQ26" s="4"/>
      <c r="OZR26" s="28"/>
      <c r="OZS26" s="28"/>
      <c r="OZT26" s="4"/>
      <c r="OZU26" s="4"/>
      <c r="OZV26" s="4"/>
      <c r="OZW26" s="4"/>
      <c r="OZX26" s="4"/>
      <c r="OZY26" s="4"/>
      <c r="OZZ26" s="4"/>
      <c r="PAA26" s="4"/>
      <c r="PAB26" s="4"/>
      <c r="PAC26" s="4"/>
      <c r="PAD26" s="4"/>
      <c r="PAE26" s="4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5"/>
      <c r="PAR26" s="4"/>
      <c r="PAS26" s="28"/>
      <c r="PAT26" s="28"/>
      <c r="PAU26" s="4"/>
      <c r="PAV26" s="4"/>
      <c r="PAW26" s="4"/>
      <c r="PAX26" s="4"/>
      <c r="PAY26" s="4"/>
      <c r="PAZ26" s="4"/>
      <c r="PBA26" s="4"/>
      <c r="PBB26" s="4"/>
      <c r="PBC26" s="4"/>
      <c r="PBD26" s="4"/>
      <c r="PBE26" s="4"/>
      <c r="PBF26" s="4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5"/>
      <c r="PBS26" s="4"/>
      <c r="PBT26" s="28"/>
      <c r="PBU26" s="28"/>
      <c r="PBV26" s="4"/>
      <c r="PBW26" s="4"/>
      <c r="PBX26" s="4"/>
      <c r="PBY26" s="4"/>
      <c r="PBZ26" s="4"/>
      <c r="PCA26" s="4"/>
      <c r="PCB26" s="4"/>
      <c r="PCC26" s="4"/>
      <c r="PCD26" s="4"/>
      <c r="PCE26" s="4"/>
      <c r="PCF26" s="4"/>
      <c r="PCG26" s="4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5"/>
      <c r="PCT26" s="4"/>
      <c r="PCU26" s="28"/>
      <c r="PCV26" s="28"/>
      <c r="PCW26" s="4"/>
      <c r="PCX26" s="4"/>
      <c r="PCY26" s="4"/>
      <c r="PCZ26" s="4"/>
      <c r="PDA26" s="4"/>
      <c r="PDB26" s="4"/>
      <c r="PDC26" s="4"/>
      <c r="PDD26" s="4"/>
      <c r="PDE26" s="4"/>
      <c r="PDF26" s="4"/>
      <c r="PDG26" s="4"/>
      <c r="PDH26" s="4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5"/>
      <c r="PDU26" s="4"/>
      <c r="PDV26" s="28"/>
      <c r="PDW26" s="28"/>
      <c r="PDX26" s="4"/>
      <c r="PDY26" s="4"/>
      <c r="PDZ26" s="4"/>
      <c r="PEA26" s="4"/>
      <c r="PEB26" s="4"/>
      <c r="PEC26" s="4"/>
      <c r="PED26" s="4"/>
      <c r="PEE26" s="4"/>
      <c r="PEF26" s="4"/>
      <c r="PEG26" s="4"/>
      <c r="PEH26" s="4"/>
      <c r="PEI26" s="4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5"/>
      <c r="PEV26" s="4"/>
      <c r="PEW26" s="28"/>
      <c r="PEX26" s="28"/>
      <c r="PEY26" s="4"/>
      <c r="PEZ26" s="4"/>
      <c r="PFA26" s="4"/>
      <c r="PFB26" s="4"/>
      <c r="PFC26" s="4"/>
      <c r="PFD26" s="4"/>
      <c r="PFE26" s="4"/>
      <c r="PFF26" s="4"/>
      <c r="PFG26" s="4"/>
      <c r="PFH26" s="4"/>
      <c r="PFI26" s="4"/>
      <c r="PFJ26" s="4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5"/>
      <c r="PFW26" s="4"/>
      <c r="PFX26" s="28"/>
      <c r="PFY26" s="28"/>
      <c r="PFZ26" s="4"/>
      <c r="PGA26" s="4"/>
      <c r="PGB26" s="4"/>
      <c r="PGC26" s="4"/>
      <c r="PGD26" s="4"/>
      <c r="PGE26" s="4"/>
      <c r="PGF26" s="4"/>
      <c r="PGG26" s="4"/>
      <c r="PGH26" s="4"/>
      <c r="PGI26" s="4"/>
      <c r="PGJ26" s="4"/>
      <c r="PGK26" s="4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5"/>
      <c r="PGX26" s="4"/>
      <c r="PGY26" s="28"/>
      <c r="PGZ26" s="28"/>
      <c r="PHA26" s="4"/>
      <c r="PHB26" s="4"/>
      <c r="PHC26" s="4"/>
      <c r="PHD26" s="4"/>
      <c r="PHE26" s="4"/>
      <c r="PHF26" s="4"/>
      <c r="PHG26" s="4"/>
      <c r="PHH26" s="4"/>
      <c r="PHI26" s="4"/>
      <c r="PHJ26" s="4"/>
      <c r="PHK26" s="4"/>
      <c r="PHL26" s="4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5"/>
      <c r="PHY26" s="4"/>
      <c r="PHZ26" s="28"/>
      <c r="PIA26" s="28"/>
      <c r="PIB26" s="4"/>
      <c r="PIC26" s="4"/>
      <c r="PID26" s="4"/>
      <c r="PIE26" s="4"/>
      <c r="PIF26" s="4"/>
      <c r="PIG26" s="4"/>
      <c r="PIH26" s="4"/>
      <c r="PII26" s="4"/>
      <c r="PIJ26" s="4"/>
      <c r="PIK26" s="4"/>
      <c r="PIL26" s="4"/>
      <c r="PIM26" s="4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5"/>
      <c r="PIZ26" s="4"/>
      <c r="PJA26" s="28"/>
      <c r="PJB26" s="28"/>
      <c r="PJC26" s="4"/>
      <c r="PJD26" s="4"/>
      <c r="PJE26" s="4"/>
      <c r="PJF26" s="4"/>
      <c r="PJG26" s="4"/>
      <c r="PJH26" s="4"/>
      <c r="PJI26" s="4"/>
      <c r="PJJ26" s="4"/>
      <c r="PJK26" s="4"/>
      <c r="PJL26" s="4"/>
      <c r="PJM26" s="4"/>
      <c r="PJN26" s="4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5"/>
      <c r="PKA26" s="4"/>
      <c r="PKB26" s="28"/>
      <c r="PKC26" s="28"/>
      <c r="PKD26" s="4"/>
      <c r="PKE26" s="4"/>
      <c r="PKF26" s="4"/>
      <c r="PKG26" s="4"/>
      <c r="PKH26" s="4"/>
      <c r="PKI26" s="4"/>
      <c r="PKJ26" s="4"/>
      <c r="PKK26" s="4"/>
      <c r="PKL26" s="4"/>
      <c r="PKM26" s="4"/>
      <c r="PKN26" s="4"/>
      <c r="PKO26" s="4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5"/>
      <c r="PLB26" s="4"/>
      <c r="PLC26" s="28"/>
      <c r="PLD26" s="28"/>
      <c r="PLE26" s="4"/>
      <c r="PLF26" s="4"/>
      <c r="PLG26" s="4"/>
      <c r="PLH26" s="4"/>
      <c r="PLI26" s="4"/>
      <c r="PLJ26" s="4"/>
      <c r="PLK26" s="4"/>
      <c r="PLL26" s="4"/>
      <c r="PLM26" s="4"/>
      <c r="PLN26" s="4"/>
      <c r="PLO26" s="4"/>
      <c r="PLP26" s="4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5"/>
      <c r="PMC26" s="4"/>
      <c r="PMD26" s="28"/>
      <c r="PME26" s="28"/>
      <c r="PMF26" s="4"/>
      <c r="PMG26" s="4"/>
      <c r="PMH26" s="4"/>
      <c r="PMI26" s="4"/>
      <c r="PMJ26" s="4"/>
      <c r="PMK26" s="4"/>
      <c r="PML26" s="4"/>
      <c r="PMM26" s="4"/>
      <c r="PMN26" s="4"/>
      <c r="PMO26" s="4"/>
      <c r="PMP26" s="4"/>
      <c r="PMQ26" s="4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5"/>
      <c r="PND26" s="4"/>
      <c r="PNE26" s="28"/>
      <c r="PNF26" s="28"/>
      <c r="PNG26" s="4"/>
      <c r="PNH26" s="4"/>
      <c r="PNI26" s="4"/>
      <c r="PNJ26" s="4"/>
      <c r="PNK26" s="4"/>
      <c r="PNL26" s="4"/>
      <c r="PNM26" s="4"/>
      <c r="PNN26" s="4"/>
      <c r="PNO26" s="4"/>
      <c r="PNP26" s="4"/>
      <c r="PNQ26" s="4"/>
      <c r="PNR26" s="4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5"/>
      <c r="POE26" s="4"/>
      <c r="POF26" s="28"/>
      <c r="POG26" s="28"/>
      <c r="POH26" s="4"/>
      <c r="POI26" s="4"/>
      <c r="POJ26" s="4"/>
      <c r="POK26" s="4"/>
      <c r="POL26" s="4"/>
      <c r="POM26" s="4"/>
      <c r="PON26" s="4"/>
      <c r="POO26" s="4"/>
      <c r="POP26" s="4"/>
      <c r="POQ26" s="4"/>
      <c r="POR26" s="4"/>
      <c r="POS26" s="4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5"/>
      <c r="PPF26" s="4"/>
      <c r="PPG26" s="28"/>
      <c r="PPH26" s="28"/>
      <c r="PPI26" s="4"/>
      <c r="PPJ26" s="4"/>
      <c r="PPK26" s="4"/>
      <c r="PPL26" s="4"/>
      <c r="PPM26" s="4"/>
      <c r="PPN26" s="4"/>
      <c r="PPO26" s="4"/>
      <c r="PPP26" s="4"/>
      <c r="PPQ26" s="4"/>
      <c r="PPR26" s="4"/>
      <c r="PPS26" s="4"/>
      <c r="PPT26" s="4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5"/>
      <c r="PQG26" s="4"/>
      <c r="PQH26" s="28"/>
      <c r="PQI26" s="28"/>
      <c r="PQJ26" s="4"/>
      <c r="PQK26" s="4"/>
      <c r="PQL26" s="4"/>
      <c r="PQM26" s="4"/>
      <c r="PQN26" s="4"/>
      <c r="PQO26" s="4"/>
      <c r="PQP26" s="4"/>
      <c r="PQQ26" s="4"/>
      <c r="PQR26" s="4"/>
      <c r="PQS26" s="4"/>
      <c r="PQT26" s="4"/>
      <c r="PQU26" s="4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5"/>
      <c r="PRH26" s="4"/>
      <c r="PRI26" s="28"/>
      <c r="PRJ26" s="28"/>
      <c r="PRK26" s="4"/>
      <c r="PRL26" s="4"/>
      <c r="PRM26" s="4"/>
      <c r="PRN26" s="4"/>
      <c r="PRO26" s="4"/>
      <c r="PRP26" s="4"/>
      <c r="PRQ26" s="4"/>
      <c r="PRR26" s="4"/>
      <c r="PRS26" s="4"/>
      <c r="PRT26" s="4"/>
      <c r="PRU26" s="4"/>
      <c r="PRV26" s="4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5"/>
      <c r="PSI26" s="4"/>
      <c r="PSJ26" s="28"/>
      <c r="PSK26" s="28"/>
      <c r="PSL26" s="4"/>
      <c r="PSM26" s="4"/>
      <c r="PSN26" s="4"/>
      <c r="PSO26" s="4"/>
      <c r="PSP26" s="4"/>
      <c r="PSQ26" s="4"/>
      <c r="PSR26" s="4"/>
      <c r="PSS26" s="4"/>
      <c r="PST26" s="4"/>
      <c r="PSU26" s="4"/>
      <c r="PSV26" s="4"/>
      <c r="PSW26" s="4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5"/>
      <c r="PTJ26" s="4"/>
      <c r="PTK26" s="28"/>
      <c r="PTL26" s="28"/>
      <c r="PTM26" s="4"/>
      <c r="PTN26" s="4"/>
      <c r="PTO26" s="4"/>
      <c r="PTP26" s="4"/>
      <c r="PTQ26" s="4"/>
      <c r="PTR26" s="4"/>
      <c r="PTS26" s="4"/>
      <c r="PTT26" s="4"/>
      <c r="PTU26" s="4"/>
      <c r="PTV26" s="4"/>
      <c r="PTW26" s="4"/>
      <c r="PTX26" s="4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5"/>
      <c r="PUK26" s="4"/>
      <c r="PUL26" s="28"/>
      <c r="PUM26" s="28"/>
      <c r="PUN26" s="4"/>
      <c r="PUO26" s="4"/>
      <c r="PUP26" s="4"/>
      <c r="PUQ26" s="4"/>
      <c r="PUR26" s="4"/>
      <c r="PUS26" s="4"/>
      <c r="PUT26" s="4"/>
      <c r="PUU26" s="4"/>
      <c r="PUV26" s="4"/>
      <c r="PUW26" s="4"/>
      <c r="PUX26" s="4"/>
      <c r="PUY26" s="4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5"/>
      <c r="PVL26" s="4"/>
      <c r="PVM26" s="28"/>
      <c r="PVN26" s="28"/>
      <c r="PVO26" s="4"/>
      <c r="PVP26" s="4"/>
      <c r="PVQ26" s="4"/>
      <c r="PVR26" s="4"/>
      <c r="PVS26" s="4"/>
      <c r="PVT26" s="4"/>
      <c r="PVU26" s="4"/>
      <c r="PVV26" s="4"/>
      <c r="PVW26" s="4"/>
      <c r="PVX26" s="4"/>
      <c r="PVY26" s="4"/>
      <c r="PVZ26" s="4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5"/>
      <c r="PWM26" s="4"/>
      <c r="PWN26" s="28"/>
      <c r="PWO26" s="28"/>
      <c r="PWP26" s="4"/>
      <c r="PWQ26" s="4"/>
      <c r="PWR26" s="4"/>
      <c r="PWS26" s="4"/>
      <c r="PWT26" s="4"/>
      <c r="PWU26" s="4"/>
      <c r="PWV26" s="4"/>
      <c r="PWW26" s="4"/>
      <c r="PWX26" s="4"/>
      <c r="PWY26" s="4"/>
      <c r="PWZ26" s="4"/>
      <c r="PXA26" s="4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5"/>
      <c r="PXN26" s="4"/>
      <c r="PXO26" s="28"/>
      <c r="PXP26" s="28"/>
      <c r="PXQ26" s="4"/>
      <c r="PXR26" s="4"/>
      <c r="PXS26" s="4"/>
      <c r="PXT26" s="4"/>
      <c r="PXU26" s="4"/>
      <c r="PXV26" s="4"/>
      <c r="PXW26" s="4"/>
      <c r="PXX26" s="4"/>
      <c r="PXY26" s="4"/>
      <c r="PXZ26" s="4"/>
      <c r="PYA26" s="4"/>
      <c r="PYB26" s="4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5"/>
      <c r="PYO26" s="4"/>
      <c r="PYP26" s="28"/>
      <c r="PYQ26" s="28"/>
      <c r="PYR26" s="4"/>
      <c r="PYS26" s="4"/>
      <c r="PYT26" s="4"/>
      <c r="PYU26" s="4"/>
      <c r="PYV26" s="4"/>
      <c r="PYW26" s="4"/>
      <c r="PYX26" s="4"/>
      <c r="PYY26" s="4"/>
      <c r="PYZ26" s="4"/>
      <c r="PZA26" s="4"/>
      <c r="PZB26" s="4"/>
      <c r="PZC26" s="4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5"/>
      <c r="PZP26" s="4"/>
      <c r="PZQ26" s="28"/>
      <c r="PZR26" s="28"/>
      <c r="PZS26" s="4"/>
      <c r="PZT26" s="4"/>
      <c r="PZU26" s="4"/>
      <c r="PZV26" s="4"/>
      <c r="PZW26" s="4"/>
      <c r="PZX26" s="4"/>
      <c r="PZY26" s="4"/>
      <c r="PZZ26" s="4"/>
      <c r="QAA26" s="4"/>
      <c r="QAB26" s="4"/>
      <c r="QAC26" s="4"/>
      <c r="QAD26" s="4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5"/>
      <c r="QAQ26" s="4"/>
      <c r="QAR26" s="28"/>
      <c r="QAS26" s="28"/>
      <c r="QAT26" s="4"/>
      <c r="QAU26" s="4"/>
      <c r="QAV26" s="4"/>
      <c r="QAW26" s="4"/>
      <c r="QAX26" s="4"/>
      <c r="QAY26" s="4"/>
      <c r="QAZ26" s="4"/>
      <c r="QBA26" s="4"/>
      <c r="QBB26" s="4"/>
      <c r="QBC26" s="4"/>
      <c r="QBD26" s="4"/>
      <c r="QBE26" s="4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5"/>
      <c r="QBR26" s="4"/>
      <c r="QBS26" s="28"/>
      <c r="QBT26" s="28"/>
      <c r="QBU26" s="4"/>
      <c r="QBV26" s="4"/>
      <c r="QBW26" s="4"/>
      <c r="QBX26" s="4"/>
      <c r="QBY26" s="4"/>
      <c r="QBZ26" s="4"/>
      <c r="QCA26" s="4"/>
      <c r="QCB26" s="4"/>
      <c r="QCC26" s="4"/>
      <c r="QCD26" s="4"/>
      <c r="QCE26" s="4"/>
      <c r="QCF26" s="4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5"/>
      <c r="QCS26" s="4"/>
      <c r="QCT26" s="28"/>
      <c r="QCU26" s="28"/>
      <c r="QCV26" s="4"/>
      <c r="QCW26" s="4"/>
      <c r="QCX26" s="4"/>
      <c r="QCY26" s="4"/>
      <c r="QCZ26" s="4"/>
      <c r="QDA26" s="4"/>
      <c r="QDB26" s="4"/>
      <c r="QDC26" s="4"/>
      <c r="QDD26" s="4"/>
      <c r="QDE26" s="4"/>
      <c r="QDF26" s="4"/>
      <c r="QDG26" s="4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5"/>
      <c r="QDT26" s="4"/>
      <c r="QDU26" s="28"/>
      <c r="QDV26" s="28"/>
      <c r="QDW26" s="4"/>
      <c r="QDX26" s="4"/>
      <c r="QDY26" s="4"/>
      <c r="QDZ26" s="4"/>
      <c r="QEA26" s="4"/>
      <c r="QEB26" s="4"/>
      <c r="QEC26" s="4"/>
      <c r="QED26" s="4"/>
      <c r="QEE26" s="4"/>
      <c r="QEF26" s="4"/>
      <c r="QEG26" s="4"/>
      <c r="QEH26" s="4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5"/>
      <c r="QEU26" s="4"/>
      <c r="QEV26" s="28"/>
      <c r="QEW26" s="28"/>
      <c r="QEX26" s="4"/>
      <c r="QEY26" s="4"/>
      <c r="QEZ26" s="4"/>
      <c r="QFA26" s="4"/>
      <c r="QFB26" s="4"/>
      <c r="QFC26" s="4"/>
      <c r="QFD26" s="4"/>
      <c r="QFE26" s="4"/>
      <c r="QFF26" s="4"/>
      <c r="QFG26" s="4"/>
      <c r="QFH26" s="4"/>
      <c r="QFI26" s="4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5"/>
      <c r="QFV26" s="4"/>
      <c r="QFW26" s="28"/>
      <c r="QFX26" s="28"/>
      <c r="QFY26" s="4"/>
      <c r="QFZ26" s="4"/>
      <c r="QGA26" s="4"/>
      <c r="QGB26" s="4"/>
      <c r="QGC26" s="4"/>
      <c r="QGD26" s="4"/>
      <c r="QGE26" s="4"/>
      <c r="QGF26" s="4"/>
      <c r="QGG26" s="4"/>
      <c r="QGH26" s="4"/>
      <c r="QGI26" s="4"/>
      <c r="QGJ26" s="4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5"/>
      <c r="QGW26" s="4"/>
      <c r="QGX26" s="28"/>
      <c r="QGY26" s="28"/>
      <c r="QGZ26" s="4"/>
      <c r="QHA26" s="4"/>
      <c r="QHB26" s="4"/>
      <c r="QHC26" s="4"/>
      <c r="QHD26" s="4"/>
      <c r="QHE26" s="4"/>
      <c r="QHF26" s="4"/>
      <c r="QHG26" s="4"/>
      <c r="QHH26" s="4"/>
      <c r="QHI26" s="4"/>
      <c r="QHJ26" s="4"/>
      <c r="QHK26" s="4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5"/>
      <c r="QHX26" s="4"/>
      <c r="QHY26" s="28"/>
      <c r="QHZ26" s="28"/>
      <c r="QIA26" s="4"/>
      <c r="QIB26" s="4"/>
      <c r="QIC26" s="4"/>
      <c r="QID26" s="4"/>
      <c r="QIE26" s="4"/>
      <c r="QIF26" s="4"/>
      <c r="QIG26" s="4"/>
      <c r="QIH26" s="4"/>
      <c r="QII26" s="4"/>
      <c r="QIJ26" s="4"/>
      <c r="QIK26" s="4"/>
      <c r="QIL26" s="4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5"/>
      <c r="QIY26" s="4"/>
      <c r="QIZ26" s="28"/>
      <c r="QJA26" s="28"/>
      <c r="QJB26" s="4"/>
      <c r="QJC26" s="4"/>
      <c r="QJD26" s="4"/>
      <c r="QJE26" s="4"/>
      <c r="QJF26" s="4"/>
      <c r="QJG26" s="4"/>
      <c r="QJH26" s="4"/>
      <c r="QJI26" s="4"/>
      <c r="QJJ26" s="4"/>
      <c r="QJK26" s="4"/>
      <c r="QJL26" s="4"/>
      <c r="QJM26" s="4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5"/>
      <c r="QJZ26" s="4"/>
      <c r="QKA26" s="28"/>
      <c r="QKB26" s="28"/>
      <c r="QKC26" s="4"/>
      <c r="QKD26" s="4"/>
      <c r="QKE26" s="4"/>
      <c r="QKF26" s="4"/>
      <c r="QKG26" s="4"/>
      <c r="QKH26" s="4"/>
      <c r="QKI26" s="4"/>
      <c r="QKJ26" s="4"/>
      <c r="QKK26" s="4"/>
      <c r="QKL26" s="4"/>
      <c r="QKM26" s="4"/>
      <c r="QKN26" s="4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5"/>
      <c r="QLA26" s="4"/>
      <c r="QLB26" s="28"/>
      <c r="QLC26" s="28"/>
      <c r="QLD26" s="4"/>
      <c r="QLE26" s="4"/>
      <c r="QLF26" s="4"/>
      <c r="QLG26" s="4"/>
      <c r="QLH26" s="4"/>
      <c r="QLI26" s="4"/>
      <c r="QLJ26" s="4"/>
      <c r="QLK26" s="4"/>
      <c r="QLL26" s="4"/>
      <c r="QLM26" s="4"/>
      <c r="QLN26" s="4"/>
      <c r="QLO26" s="4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5"/>
      <c r="QMB26" s="4"/>
      <c r="QMC26" s="28"/>
      <c r="QMD26" s="28"/>
      <c r="QME26" s="4"/>
      <c r="QMF26" s="4"/>
      <c r="QMG26" s="4"/>
      <c r="QMH26" s="4"/>
      <c r="QMI26" s="4"/>
      <c r="QMJ26" s="4"/>
      <c r="QMK26" s="4"/>
      <c r="QML26" s="4"/>
      <c r="QMM26" s="4"/>
      <c r="QMN26" s="4"/>
      <c r="QMO26" s="4"/>
      <c r="QMP26" s="4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5"/>
      <c r="QNC26" s="4"/>
      <c r="QND26" s="28"/>
      <c r="QNE26" s="28"/>
      <c r="QNF26" s="4"/>
      <c r="QNG26" s="4"/>
      <c r="QNH26" s="4"/>
      <c r="QNI26" s="4"/>
      <c r="QNJ26" s="4"/>
      <c r="QNK26" s="4"/>
      <c r="QNL26" s="4"/>
      <c r="QNM26" s="4"/>
      <c r="QNN26" s="4"/>
      <c r="QNO26" s="4"/>
      <c r="QNP26" s="4"/>
      <c r="QNQ26" s="4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5"/>
      <c r="QOD26" s="4"/>
      <c r="QOE26" s="28"/>
      <c r="QOF26" s="28"/>
      <c r="QOG26" s="4"/>
      <c r="QOH26" s="4"/>
      <c r="QOI26" s="4"/>
      <c r="QOJ26" s="4"/>
      <c r="QOK26" s="4"/>
      <c r="QOL26" s="4"/>
      <c r="QOM26" s="4"/>
      <c r="QON26" s="4"/>
      <c r="QOO26" s="4"/>
      <c r="QOP26" s="4"/>
      <c r="QOQ26" s="4"/>
      <c r="QOR26" s="4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5"/>
      <c r="QPE26" s="4"/>
      <c r="QPF26" s="28"/>
      <c r="QPG26" s="28"/>
      <c r="QPH26" s="4"/>
      <c r="QPI26" s="4"/>
      <c r="QPJ26" s="4"/>
      <c r="QPK26" s="4"/>
      <c r="QPL26" s="4"/>
      <c r="QPM26" s="4"/>
      <c r="QPN26" s="4"/>
      <c r="QPO26" s="4"/>
      <c r="QPP26" s="4"/>
      <c r="QPQ26" s="4"/>
      <c r="QPR26" s="4"/>
      <c r="QPS26" s="4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5"/>
      <c r="QQF26" s="4"/>
      <c r="QQG26" s="28"/>
      <c r="QQH26" s="28"/>
      <c r="QQI26" s="4"/>
      <c r="QQJ26" s="4"/>
      <c r="QQK26" s="4"/>
      <c r="QQL26" s="4"/>
      <c r="QQM26" s="4"/>
      <c r="QQN26" s="4"/>
      <c r="QQO26" s="4"/>
      <c r="QQP26" s="4"/>
      <c r="QQQ26" s="4"/>
      <c r="QQR26" s="4"/>
      <c r="QQS26" s="4"/>
      <c r="QQT26" s="4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5"/>
      <c r="QRG26" s="4"/>
      <c r="QRH26" s="28"/>
      <c r="QRI26" s="28"/>
      <c r="QRJ26" s="4"/>
      <c r="QRK26" s="4"/>
      <c r="QRL26" s="4"/>
      <c r="QRM26" s="4"/>
      <c r="QRN26" s="4"/>
      <c r="QRO26" s="4"/>
      <c r="QRP26" s="4"/>
      <c r="QRQ26" s="4"/>
      <c r="QRR26" s="4"/>
      <c r="QRS26" s="4"/>
      <c r="QRT26" s="4"/>
      <c r="QRU26" s="4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5"/>
      <c r="QSH26" s="4"/>
      <c r="QSI26" s="28"/>
      <c r="QSJ26" s="28"/>
      <c r="QSK26" s="4"/>
      <c r="QSL26" s="4"/>
      <c r="QSM26" s="4"/>
      <c r="QSN26" s="4"/>
      <c r="QSO26" s="4"/>
      <c r="QSP26" s="4"/>
      <c r="QSQ26" s="4"/>
      <c r="QSR26" s="4"/>
      <c r="QSS26" s="4"/>
      <c r="QST26" s="4"/>
      <c r="QSU26" s="4"/>
      <c r="QSV26" s="4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5"/>
      <c r="QTI26" s="4"/>
      <c r="QTJ26" s="28"/>
      <c r="QTK26" s="28"/>
      <c r="QTL26" s="4"/>
      <c r="QTM26" s="4"/>
      <c r="QTN26" s="4"/>
      <c r="QTO26" s="4"/>
      <c r="QTP26" s="4"/>
      <c r="QTQ26" s="4"/>
      <c r="QTR26" s="4"/>
      <c r="QTS26" s="4"/>
      <c r="QTT26" s="4"/>
      <c r="QTU26" s="4"/>
      <c r="QTV26" s="4"/>
      <c r="QTW26" s="4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5"/>
      <c r="QUJ26" s="4"/>
      <c r="QUK26" s="28"/>
      <c r="QUL26" s="28"/>
      <c r="QUM26" s="4"/>
      <c r="QUN26" s="4"/>
      <c r="QUO26" s="4"/>
      <c r="QUP26" s="4"/>
      <c r="QUQ26" s="4"/>
      <c r="QUR26" s="4"/>
      <c r="QUS26" s="4"/>
      <c r="QUT26" s="4"/>
      <c r="QUU26" s="4"/>
      <c r="QUV26" s="4"/>
      <c r="QUW26" s="4"/>
      <c r="QUX26" s="4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5"/>
      <c r="QVK26" s="4"/>
      <c r="QVL26" s="28"/>
      <c r="QVM26" s="28"/>
      <c r="QVN26" s="4"/>
      <c r="QVO26" s="4"/>
      <c r="QVP26" s="4"/>
      <c r="QVQ26" s="4"/>
      <c r="QVR26" s="4"/>
      <c r="QVS26" s="4"/>
      <c r="QVT26" s="4"/>
      <c r="QVU26" s="4"/>
      <c r="QVV26" s="4"/>
      <c r="QVW26" s="4"/>
      <c r="QVX26" s="4"/>
      <c r="QVY26" s="4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5"/>
      <c r="QWL26" s="4"/>
      <c r="QWM26" s="28"/>
      <c r="QWN26" s="28"/>
      <c r="QWO26" s="4"/>
      <c r="QWP26" s="4"/>
      <c r="QWQ26" s="4"/>
      <c r="QWR26" s="4"/>
      <c r="QWS26" s="4"/>
      <c r="QWT26" s="4"/>
      <c r="QWU26" s="4"/>
      <c r="QWV26" s="4"/>
      <c r="QWW26" s="4"/>
      <c r="QWX26" s="4"/>
      <c r="QWY26" s="4"/>
      <c r="QWZ26" s="4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5"/>
      <c r="QXM26" s="4"/>
      <c r="QXN26" s="28"/>
      <c r="QXO26" s="28"/>
      <c r="QXP26" s="4"/>
      <c r="QXQ26" s="4"/>
      <c r="QXR26" s="4"/>
      <c r="QXS26" s="4"/>
      <c r="QXT26" s="4"/>
      <c r="QXU26" s="4"/>
      <c r="QXV26" s="4"/>
      <c r="QXW26" s="4"/>
      <c r="QXX26" s="4"/>
      <c r="QXY26" s="4"/>
      <c r="QXZ26" s="4"/>
      <c r="QYA26" s="4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5"/>
      <c r="QYN26" s="4"/>
      <c r="QYO26" s="28"/>
      <c r="QYP26" s="28"/>
      <c r="QYQ26" s="4"/>
      <c r="QYR26" s="4"/>
      <c r="QYS26" s="4"/>
      <c r="QYT26" s="4"/>
      <c r="QYU26" s="4"/>
      <c r="QYV26" s="4"/>
      <c r="QYW26" s="4"/>
      <c r="QYX26" s="4"/>
      <c r="QYY26" s="4"/>
      <c r="QYZ26" s="4"/>
      <c r="QZA26" s="4"/>
      <c r="QZB26" s="4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5"/>
      <c r="QZO26" s="4"/>
      <c r="QZP26" s="28"/>
      <c r="QZQ26" s="28"/>
      <c r="QZR26" s="4"/>
      <c r="QZS26" s="4"/>
      <c r="QZT26" s="4"/>
      <c r="QZU26" s="4"/>
      <c r="QZV26" s="4"/>
      <c r="QZW26" s="4"/>
      <c r="QZX26" s="4"/>
      <c r="QZY26" s="4"/>
      <c r="QZZ26" s="4"/>
      <c r="RAA26" s="4"/>
      <c r="RAB26" s="4"/>
      <c r="RAC26" s="4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5"/>
      <c r="RAP26" s="4"/>
      <c r="RAQ26" s="28"/>
      <c r="RAR26" s="28"/>
      <c r="RAS26" s="4"/>
      <c r="RAT26" s="4"/>
      <c r="RAU26" s="4"/>
      <c r="RAV26" s="4"/>
      <c r="RAW26" s="4"/>
      <c r="RAX26" s="4"/>
      <c r="RAY26" s="4"/>
      <c r="RAZ26" s="4"/>
      <c r="RBA26" s="4"/>
      <c r="RBB26" s="4"/>
      <c r="RBC26" s="4"/>
      <c r="RBD26" s="4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5"/>
      <c r="RBQ26" s="4"/>
      <c r="RBR26" s="28"/>
      <c r="RBS26" s="28"/>
      <c r="RBT26" s="4"/>
      <c r="RBU26" s="4"/>
      <c r="RBV26" s="4"/>
      <c r="RBW26" s="4"/>
      <c r="RBX26" s="4"/>
      <c r="RBY26" s="4"/>
      <c r="RBZ26" s="4"/>
      <c r="RCA26" s="4"/>
      <c r="RCB26" s="4"/>
      <c r="RCC26" s="4"/>
      <c r="RCD26" s="4"/>
      <c r="RCE26" s="4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5"/>
      <c r="RCR26" s="4"/>
      <c r="RCS26" s="28"/>
      <c r="RCT26" s="28"/>
      <c r="RCU26" s="4"/>
      <c r="RCV26" s="4"/>
      <c r="RCW26" s="4"/>
      <c r="RCX26" s="4"/>
      <c r="RCY26" s="4"/>
      <c r="RCZ26" s="4"/>
      <c r="RDA26" s="4"/>
      <c r="RDB26" s="4"/>
      <c r="RDC26" s="4"/>
      <c r="RDD26" s="4"/>
      <c r="RDE26" s="4"/>
      <c r="RDF26" s="4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5"/>
      <c r="RDS26" s="4"/>
      <c r="RDT26" s="28"/>
      <c r="RDU26" s="28"/>
      <c r="RDV26" s="4"/>
      <c r="RDW26" s="4"/>
      <c r="RDX26" s="4"/>
      <c r="RDY26" s="4"/>
      <c r="RDZ26" s="4"/>
      <c r="REA26" s="4"/>
      <c r="REB26" s="4"/>
      <c r="REC26" s="4"/>
      <c r="RED26" s="4"/>
      <c r="REE26" s="4"/>
      <c r="REF26" s="4"/>
      <c r="REG26" s="4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5"/>
      <c r="RET26" s="4"/>
      <c r="REU26" s="28"/>
      <c r="REV26" s="28"/>
      <c r="REW26" s="4"/>
      <c r="REX26" s="4"/>
      <c r="REY26" s="4"/>
      <c r="REZ26" s="4"/>
      <c r="RFA26" s="4"/>
      <c r="RFB26" s="4"/>
      <c r="RFC26" s="4"/>
      <c r="RFD26" s="4"/>
      <c r="RFE26" s="4"/>
      <c r="RFF26" s="4"/>
      <c r="RFG26" s="4"/>
      <c r="RFH26" s="4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5"/>
      <c r="RFU26" s="4"/>
      <c r="RFV26" s="28"/>
      <c r="RFW26" s="28"/>
      <c r="RFX26" s="4"/>
      <c r="RFY26" s="4"/>
      <c r="RFZ26" s="4"/>
      <c r="RGA26" s="4"/>
      <c r="RGB26" s="4"/>
      <c r="RGC26" s="4"/>
      <c r="RGD26" s="4"/>
      <c r="RGE26" s="4"/>
      <c r="RGF26" s="4"/>
      <c r="RGG26" s="4"/>
      <c r="RGH26" s="4"/>
      <c r="RGI26" s="4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5"/>
      <c r="RGV26" s="4"/>
      <c r="RGW26" s="28"/>
      <c r="RGX26" s="28"/>
      <c r="RGY26" s="4"/>
      <c r="RGZ26" s="4"/>
      <c r="RHA26" s="4"/>
      <c r="RHB26" s="4"/>
      <c r="RHC26" s="4"/>
      <c r="RHD26" s="4"/>
      <c r="RHE26" s="4"/>
      <c r="RHF26" s="4"/>
      <c r="RHG26" s="4"/>
      <c r="RHH26" s="4"/>
      <c r="RHI26" s="4"/>
      <c r="RHJ26" s="4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5"/>
      <c r="RHW26" s="4"/>
      <c r="RHX26" s="28"/>
      <c r="RHY26" s="28"/>
      <c r="RHZ26" s="4"/>
      <c r="RIA26" s="4"/>
      <c r="RIB26" s="4"/>
      <c r="RIC26" s="4"/>
      <c r="RID26" s="4"/>
      <c r="RIE26" s="4"/>
      <c r="RIF26" s="4"/>
      <c r="RIG26" s="4"/>
      <c r="RIH26" s="4"/>
      <c r="RII26" s="4"/>
      <c r="RIJ26" s="4"/>
      <c r="RIK26" s="4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5"/>
      <c r="RIX26" s="4"/>
      <c r="RIY26" s="28"/>
      <c r="RIZ26" s="28"/>
      <c r="RJA26" s="4"/>
      <c r="RJB26" s="4"/>
      <c r="RJC26" s="4"/>
      <c r="RJD26" s="4"/>
      <c r="RJE26" s="4"/>
      <c r="RJF26" s="4"/>
      <c r="RJG26" s="4"/>
      <c r="RJH26" s="4"/>
      <c r="RJI26" s="4"/>
      <c r="RJJ26" s="4"/>
      <c r="RJK26" s="4"/>
      <c r="RJL26" s="4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5"/>
      <c r="RJY26" s="4"/>
      <c r="RJZ26" s="28"/>
      <c r="RKA26" s="28"/>
      <c r="RKB26" s="4"/>
      <c r="RKC26" s="4"/>
      <c r="RKD26" s="4"/>
      <c r="RKE26" s="4"/>
      <c r="RKF26" s="4"/>
      <c r="RKG26" s="4"/>
      <c r="RKH26" s="4"/>
      <c r="RKI26" s="4"/>
      <c r="RKJ26" s="4"/>
      <c r="RKK26" s="4"/>
      <c r="RKL26" s="4"/>
      <c r="RKM26" s="4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5"/>
      <c r="RKZ26" s="4"/>
      <c r="RLA26" s="28"/>
      <c r="RLB26" s="28"/>
      <c r="RLC26" s="4"/>
      <c r="RLD26" s="4"/>
      <c r="RLE26" s="4"/>
      <c r="RLF26" s="4"/>
      <c r="RLG26" s="4"/>
      <c r="RLH26" s="4"/>
      <c r="RLI26" s="4"/>
      <c r="RLJ26" s="4"/>
      <c r="RLK26" s="4"/>
      <c r="RLL26" s="4"/>
      <c r="RLM26" s="4"/>
      <c r="RLN26" s="4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5"/>
      <c r="RMA26" s="4"/>
      <c r="RMB26" s="28"/>
      <c r="RMC26" s="28"/>
      <c r="RMD26" s="4"/>
      <c r="RME26" s="4"/>
      <c r="RMF26" s="4"/>
      <c r="RMG26" s="4"/>
      <c r="RMH26" s="4"/>
      <c r="RMI26" s="4"/>
      <c r="RMJ26" s="4"/>
      <c r="RMK26" s="4"/>
      <c r="RML26" s="4"/>
      <c r="RMM26" s="4"/>
      <c r="RMN26" s="4"/>
      <c r="RMO26" s="4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5"/>
      <c r="RNB26" s="4"/>
      <c r="RNC26" s="28"/>
      <c r="RND26" s="28"/>
      <c r="RNE26" s="4"/>
      <c r="RNF26" s="4"/>
      <c r="RNG26" s="4"/>
      <c r="RNH26" s="4"/>
      <c r="RNI26" s="4"/>
      <c r="RNJ26" s="4"/>
      <c r="RNK26" s="4"/>
      <c r="RNL26" s="4"/>
      <c r="RNM26" s="4"/>
      <c r="RNN26" s="4"/>
      <c r="RNO26" s="4"/>
      <c r="RNP26" s="4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5"/>
      <c r="ROC26" s="4"/>
      <c r="ROD26" s="28"/>
      <c r="ROE26" s="28"/>
      <c r="ROF26" s="4"/>
      <c r="ROG26" s="4"/>
      <c r="ROH26" s="4"/>
      <c r="ROI26" s="4"/>
      <c r="ROJ26" s="4"/>
      <c r="ROK26" s="4"/>
      <c r="ROL26" s="4"/>
      <c r="ROM26" s="4"/>
      <c r="RON26" s="4"/>
      <c r="ROO26" s="4"/>
      <c r="ROP26" s="4"/>
      <c r="ROQ26" s="4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5"/>
      <c r="RPD26" s="4"/>
      <c r="RPE26" s="28"/>
      <c r="RPF26" s="28"/>
      <c r="RPG26" s="4"/>
      <c r="RPH26" s="4"/>
      <c r="RPI26" s="4"/>
      <c r="RPJ26" s="4"/>
      <c r="RPK26" s="4"/>
      <c r="RPL26" s="4"/>
      <c r="RPM26" s="4"/>
      <c r="RPN26" s="4"/>
      <c r="RPO26" s="4"/>
      <c r="RPP26" s="4"/>
      <c r="RPQ26" s="4"/>
      <c r="RPR26" s="4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5"/>
      <c r="RQE26" s="4"/>
      <c r="RQF26" s="28"/>
      <c r="RQG26" s="28"/>
      <c r="RQH26" s="4"/>
      <c r="RQI26" s="4"/>
      <c r="RQJ26" s="4"/>
      <c r="RQK26" s="4"/>
      <c r="RQL26" s="4"/>
      <c r="RQM26" s="4"/>
      <c r="RQN26" s="4"/>
      <c r="RQO26" s="4"/>
      <c r="RQP26" s="4"/>
      <c r="RQQ26" s="4"/>
      <c r="RQR26" s="4"/>
      <c r="RQS26" s="4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5"/>
      <c r="RRF26" s="4"/>
      <c r="RRG26" s="28"/>
      <c r="RRH26" s="28"/>
      <c r="RRI26" s="4"/>
      <c r="RRJ26" s="4"/>
      <c r="RRK26" s="4"/>
      <c r="RRL26" s="4"/>
      <c r="RRM26" s="4"/>
      <c r="RRN26" s="4"/>
      <c r="RRO26" s="4"/>
      <c r="RRP26" s="4"/>
      <c r="RRQ26" s="4"/>
      <c r="RRR26" s="4"/>
      <c r="RRS26" s="4"/>
      <c r="RRT26" s="4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5"/>
      <c r="RSG26" s="4"/>
      <c r="RSH26" s="28"/>
      <c r="RSI26" s="28"/>
      <c r="RSJ26" s="4"/>
      <c r="RSK26" s="4"/>
      <c r="RSL26" s="4"/>
      <c r="RSM26" s="4"/>
      <c r="RSN26" s="4"/>
      <c r="RSO26" s="4"/>
      <c r="RSP26" s="4"/>
      <c r="RSQ26" s="4"/>
      <c r="RSR26" s="4"/>
      <c r="RSS26" s="4"/>
      <c r="RST26" s="4"/>
      <c r="RSU26" s="4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5"/>
      <c r="RTH26" s="4"/>
      <c r="RTI26" s="28"/>
      <c r="RTJ26" s="28"/>
      <c r="RTK26" s="4"/>
      <c r="RTL26" s="4"/>
      <c r="RTM26" s="4"/>
      <c r="RTN26" s="4"/>
      <c r="RTO26" s="4"/>
      <c r="RTP26" s="4"/>
      <c r="RTQ26" s="4"/>
      <c r="RTR26" s="4"/>
      <c r="RTS26" s="4"/>
      <c r="RTT26" s="4"/>
      <c r="RTU26" s="4"/>
      <c r="RTV26" s="4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5"/>
      <c r="RUI26" s="4"/>
      <c r="RUJ26" s="28"/>
      <c r="RUK26" s="28"/>
      <c r="RUL26" s="4"/>
      <c r="RUM26" s="4"/>
      <c r="RUN26" s="4"/>
      <c r="RUO26" s="4"/>
      <c r="RUP26" s="4"/>
      <c r="RUQ26" s="4"/>
      <c r="RUR26" s="4"/>
      <c r="RUS26" s="4"/>
      <c r="RUT26" s="4"/>
      <c r="RUU26" s="4"/>
      <c r="RUV26" s="4"/>
      <c r="RUW26" s="4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5"/>
      <c r="RVJ26" s="4"/>
      <c r="RVK26" s="28"/>
      <c r="RVL26" s="28"/>
      <c r="RVM26" s="4"/>
      <c r="RVN26" s="4"/>
      <c r="RVO26" s="4"/>
      <c r="RVP26" s="4"/>
      <c r="RVQ26" s="4"/>
      <c r="RVR26" s="4"/>
      <c r="RVS26" s="4"/>
      <c r="RVT26" s="4"/>
      <c r="RVU26" s="4"/>
      <c r="RVV26" s="4"/>
      <c r="RVW26" s="4"/>
      <c r="RVX26" s="4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5"/>
      <c r="RWK26" s="4"/>
      <c r="RWL26" s="28"/>
      <c r="RWM26" s="28"/>
      <c r="RWN26" s="4"/>
      <c r="RWO26" s="4"/>
      <c r="RWP26" s="4"/>
      <c r="RWQ26" s="4"/>
      <c r="RWR26" s="4"/>
      <c r="RWS26" s="4"/>
      <c r="RWT26" s="4"/>
      <c r="RWU26" s="4"/>
      <c r="RWV26" s="4"/>
      <c r="RWW26" s="4"/>
      <c r="RWX26" s="4"/>
      <c r="RWY26" s="4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5"/>
      <c r="RXL26" s="4"/>
      <c r="RXM26" s="28"/>
      <c r="RXN26" s="28"/>
      <c r="RXO26" s="4"/>
      <c r="RXP26" s="4"/>
      <c r="RXQ26" s="4"/>
      <c r="RXR26" s="4"/>
      <c r="RXS26" s="4"/>
      <c r="RXT26" s="4"/>
      <c r="RXU26" s="4"/>
      <c r="RXV26" s="4"/>
      <c r="RXW26" s="4"/>
      <c r="RXX26" s="4"/>
      <c r="RXY26" s="4"/>
      <c r="RXZ26" s="4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5"/>
      <c r="RYM26" s="4"/>
      <c r="RYN26" s="28"/>
      <c r="RYO26" s="28"/>
      <c r="RYP26" s="4"/>
      <c r="RYQ26" s="4"/>
      <c r="RYR26" s="4"/>
      <c r="RYS26" s="4"/>
      <c r="RYT26" s="4"/>
      <c r="RYU26" s="4"/>
      <c r="RYV26" s="4"/>
      <c r="RYW26" s="4"/>
      <c r="RYX26" s="4"/>
      <c r="RYY26" s="4"/>
      <c r="RYZ26" s="4"/>
      <c r="RZA26" s="4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5"/>
      <c r="RZN26" s="4"/>
      <c r="RZO26" s="28"/>
      <c r="RZP26" s="28"/>
      <c r="RZQ26" s="4"/>
      <c r="RZR26" s="4"/>
      <c r="RZS26" s="4"/>
      <c r="RZT26" s="4"/>
      <c r="RZU26" s="4"/>
      <c r="RZV26" s="4"/>
      <c r="RZW26" s="4"/>
      <c r="RZX26" s="4"/>
      <c r="RZY26" s="4"/>
      <c r="RZZ26" s="4"/>
      <c r="SAA26" s="4"/>
      <c r="SAB26" s="4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5"/>
      <c r="SAO26" s="4"/>
      <c r="SAP26" s="28"/>
      <c r="SAQ26" s="28"/>
      <c r="SAR26" s="4"/>
      <c r="SAS26" s="4"/>
      <c r="SAT26" s="4"/>
      <c r="SAU26" s="4"/>
      <c r="SAV26" s="4"/>
      <c r="SAW26" s="4"/>
      <c r="SAX26" s="4"/>
      <c r="SAY26" s="4"/>
      <c r="SAZ26" s="4"/>
      <c r="SBA26" s="4"/>
      <c r="SBB26" s="4"/>
      <c r="SBC26" s="4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5"/>
      <c r="SBP26" s="4"/>
      <c r="SBQ26" s="28"/>
      <c r="SBR26" s="28"/>
      <c r="SBS26" s="4"/>
      <c r="SBT26" s="4"/>
      <c r="SBU26" s="4"/>
      <c r="SBV26" s="4"/>
      <c r="SBW26" s="4"/>
      <c r="SBX26" s="4"/>
      <c r="SBY26" s="4"/>
      <c r="SBZ26" s="4"/>
      <c r="SCA26" s="4"/>
      <c r="SCB26" s="4"/>
      <c r="SCC26" s="4"/>
      <c r="SCD26" s="4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5"/>
      <c r="SCQ26" s="4"/>
      <c r="SCR26" s="28"/>
      <c r="SCS26" s="28"/>
      <c r="SCT26" s="4"/>
      <c r="SCU26" s="4"/>
      <c r="SCV26" s="4"/>
      <c r="SCW26" s="4"/>
      <c r="SCX26" s="4"/>
      <c r="SCY26" s="4"/>
      <c r="SCZ26" s="4"/>
      <c r="SDA26" s="4"/>
      <c r="SDB26" s="4"/>
      <c r="SDC26" s="4"/>
      <c r="SDD26" s="4"/>
      <c r="SDE26" s="4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5"/>
      <c r="SDR26" s="4"/>
      <c r="SDS26" s="28"/>
      <c r="SDT26" s="28"/>
      <c r="SDU26" s="4"/>
      <c r="SDV26" s="4"/>
      <c r="SDW26" s="4"/>
      <c r="SDX26" s="4"/>
      <c r="SDY26" s="4"/>
      <c r="SDZ26" s="4"/>
      <c r="SEA26" s="4"/>
      <c r="SEB26" s="4"/>
      <c r="SEC26" s="4"/>
      <c r="SED26" s="4"/>
      <c r="SEE26" s="4"/>
      <c r="SEF26" s="4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5"/>
      <c r="SES26" s="4"/>
      <c r="SET26" s="28"/>
      <c r="SEU26" s="28"/>
      <c r="SEV26" s="4"/>
      <c r="SEW26" s="4"/>
      <c r="SEX26" s="4"/>
      <c r="SEY26" s="4"/>
      <c r="SEZ26" s="4"/>
      <c r="SFA26" s="4"/>
      <c r="SFB26" s="4"/>
      <c r="SFC26" s="4"/>
      <c r="SFD26" s="4"/>
      <c r="SFE26" s="4"/>
      <c r="SFF26" s="4"/>
      <c r="SFG26" s="4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5"/>
      <c r="SFT26" s="4"/>
      <c r="SFU26" s="28"/>
      <c r="SFV26" s="28"/>
      <c r="SFW26" s="4"/>
      <c r="SFX26" s="4"/>
      <c r="SFY26" s="4"/>
      <c r="SFZ26" s="4"/>
      <c r="SGA26" s="4"/>
      <c r="SGB26" s="4"/>
      <c r="SGC26" s="4"/>
      <c r="SGD26" s="4"/>
      <c r="SGE26" s="4"/>
      <c r="SGF26" s="4"/>
      <c r="SGG26" s="4"/>
      <c r="SGH26" s="4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5"/>
      <c r="SGU26" s="4"/>
      <c r="SGV26" s="28"/>
      <c r="SGW26" s="28"/>
      <c r="SGX26" s="4"/>
      <c r="SGY26" s="4"/>
      <c r="SGZ26" s="4"/>
      <c r="SHA26" s="4"/>
      <c r="SHB26" s="4"/>
      <c r="SHC26" s="4"/>
      <c r="SHD26" s="4"/>
      <c r="SHE26" s="4"/>
      <c r="SHF26" s="4"/>
      <c r="SHG26" s="4"/>
      <c r="SHH26" s="4"/>
      <c r="SHI26" s="4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5"/>
      <c r="SHV26" s="4"/>
      <c r="SHW26" s="28"/>
      <c r="SHX26" s="28"/>
      <c r="SHY26" s="4"/>
      <c r="SHZ26" s="4"/>
      <c r="SIA26" s="4"/>
      <c r="SIB26" s="4"/>
      <c r="SIC26" s="4"/>
      <c r="SID26" s="4"/>
      <c r="SIE26" s="4"/>
      <c r="SIF26" s="4"/>
      <c r="SIG26" s="4"/>
      <c r="SIH26" s="4"/>
      <c r="SII26" s="4"/>
      <c r="SIJ26" s="4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5"/>
      <c r="SIW26" s="4"/>
      <c r="SIX26" s="28"/>
      <c r="SIY26" s="28"/>
      <c r="SIZ26" s="4"/>
      <c r="SJA26" s="4"/>
      <c r="SJB26" s="4"/>
      <c r="SJC26" s="4"/>
      <c r="SJD26" s="4"/>
      <c r="SJE26" s="4"/>
      <c r="SJF26" s="4"/>
      <c r="SJG26" s="4"/>
      <c r="SJH26" s="4"/>
      <c r="SJI26" s="4"/>
      <c r="SJJ26" s="4"/>
      <c r="SJK26" s="4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5"/>
      <c r="SJX26" s="4"/>
      <c r="SJY26" s="28"/>
      <c r="SJZ26" s="28"/>
      <c r="SKA26" s="4"/>
      <c r="SKB26" s="4"/>
      <c r="SKC26" s="4"/>
      <c r="SKD26" s="4"/>
      <c r="SKE26" s="4"/>
      <c r="SKF26" s="4"/>
      <c r="SKG26" s="4"/>
      <c r="SKH26" s="4"/>
      <c r="SKI26" s="4"/>
      <c r="SKJ26" s="4"/>
      <c r="SKK26" s="4"/>
      <c r="SKL26" s="4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5"/>
      <c r="SKY26" s="4"/>
      <c r="SKZ26" s="28"/>
      <c r="SLA26" s="28"/>
      <c r="SLB26" s="4"/>
      <c r="SLC26" s="4"/>
      <c r="SLD26" s="4"/>
      <c r="SLE26" s="4"/>
      <c r="SLF26" s="4"/>
      <c r="SLG26" s="4"/>
      <c r="SLH26" s="4"/>
      <c r="SLI26" s="4"/>
      <c r="SLJ26" s="4"/>
      <c r="SLK26" s="4"/>
      <c r="SLL26" s="4"/>
      <c r="SLM26" s="4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5"/>
      <c r="SLZ26" s="4"/>
      <c r="SMA26" s="28"/>
      <c r="SMB26" s="28"/>
      <c r="SMC26" s="4"/>
      <c r="SMD26" s="4"/>
      <c r="SME26" s="4"/>
      <c r="SMF26" s="4"/>
      <c r="SMG26" s="4"/>
      <c r="SMH26" s="4"/>
      <c r="SMI26" s="4"/>
      <c r="SMJ26" s="4"/>
      <c r="SMK26" s="4"/>
      <c r="SML26" s="4"/>
      <c r="SMM26" s="4"/>
      <c r="SMN26" s="4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5"/>
      <c r="SNA26" s="4"/>
      <c r="SNB26" s="28"/>
      <c r="SNC26" s="28"/>
      <c r="SND26" s="4"/>
      <c r="SNE26" s="4"/>
      <c r="SNF26" s="4"/>
      <c r="SNG26" s="4"/>
      <c r="SNH26" s="4"/>
      <c r="SNI26" s="4"/>
      <c r="SNJ26" s="4"/>
      <c r="SNK26" s="4"/>
      <c r="SNL26" s="4"/>
      <c r="SNM26" s="4"/>
      <c r="SNN26" s="4"/>
      <c r="SNO26" s="4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5"/>
      <c r="SOB26" s="4"/>
      <c r="SOC26" s="28"/>
      <c r="SOD26" s="28"/>
      <c r="SOE26" s="4"/>
      <c r="SOF26" s="4"/>
      <c r="SOG26" s="4"/>
      <c r="SOH26" s="4"/>
      <c r="SOI26" s="4"/>
      <c r="SOJ26" s="4"/>
      <c r="SOK26" s="4"/>
      <c r="SOL26" s="4"/>
      <c r="SOM26" s="4"/>
      <c r="SON26" s="4"/>
      <c r="SOO26" s="4"/>
      <c r="SOP26" s="4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5"/>
      <c r="SPC26" s="4"/>
      <c r="SPD26" s="28"/>
      <c r="SPE26" s="28"/>
      <c r="SPF26" s="4"/>
      <c r="SPG26" s="4"/>
      <c r="SPH26" s="4"/>
      <c r="SPI26" s="4"/>
      <c r="SPJ26" s="4"/>
      <c r="SPK26" s="4"/>
      <c r="SPL26" s="4"/>
      <c r="SPM26" s="4"/>
      <c r="SPN26" s="4"/>
      <c r="SPO26" s="4"/>
      <c r="SPP26" s="4"/>
      <c r="SPQ26" s="4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5"/>
      <c r="SQD26" s="4"/>
      <c r="SQE26" s="28"/>
      <c r="SQF26" s="28"/>
      <c r="SQG26" s="4"/>
      <c r="SQH26" s="4"/>
      <c r="SQI26" s="4"/>
      <c r="SQJ26" s="4"/>
      <c r="SQK26" s="4"/>
      <c r="SQL26" s="4"/>
      <c r="SQM26" s="4"/>
      <c r="SQN26" s="4"/>
      <c r="SQO26" s="4"/>
      <c r="SQP26" s="4"/>
      <c r="SQQ26" s="4"/>
      <c r="SQR26" s="4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5"/>
      <c r="SRE26" s="4"/>
      <c r="SRF26" s="28"/>
      <c r="SRG26" s="28"/>
      <c r="SRH26" s="4"/>
      <c r="SRI26" s="4"/>
      <c r="SRJ26" s="4"/>
      <c r="SRK26" s="4"/>
      <c r="SRL26" s="4"/>
      <c r="SRM26" s="4"/>
      <c r="SRN26" s="4"/>
      <c r="SRO26" s="4"/>
      <c r="SRP26" s="4"/>
      <c r="SRQ26" s="4"/>
      <c r="SRR26" s="4"/>
      <c r="SRS26" s="4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5"/>
      <c r="SSF26" s="4"/>
      <c r="SSG26" s="28"/>
      <c r="SSH26" s="28"/>
      <c r="SSI26" s="4"/>
      <c r="SSJ26" s="4"/>
      <c r="SSK26" s="4"/>
      <c r="SSL26" s="4"/>
      <c r="SSM26" s="4"/>
      <c r="SSN26" s="4"/>
      <c r="SSO26" s="4"/>
      <c r="SSP26" s="4"/>
      <c r="SSQ26" s="4"/>
      <c r="SSR26" s="4"/>
      <c r="SSS26" s="4"/>
      <c r="SST26" s="4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5"/>
      <c r="STG26" s="4"/>
      <c r="STH26" s="28"/>
      <c r="STI26" s="28"/>
      <c r="STJ26" s="4"/>
      <c r="STK26" s="4"/>
      <c r="STL26" s="4"/>
      <c r="STM26" s="4"/>
      <c r="STN26" s="4"/>
      <c r="STO26" s="4"/>
      <c r="STP26" s="4"/>
      <c r="STQ26" s="4"/>
      <c r="STR26" s="4"/>
      <c r="STS26" s="4"/>
      <c r="STT26" s="4"/>
      <c r="STU26" s="4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5"/>
      <c r="SUH26" s="4"/>
      <c r="SUI26" s="28"/>
      <c r="SUJ26" s="28"/>
      <c r="SUK26" s="4"/>
      <c r="SUL26" s="4"/>
      <c r="SUM26" s="4"/>
      <c r="SUN26" s="4"/>
      <c r="SUO26" s="4"/>
      <c r="SUP26" s="4"/>
      <c r="SUQ26" s="4"/>
      <c r="SUR26" s="4"/>
      <c r="SUS26" s="4"/>
      <c r="SUT26" s="4"/>
      <c r="SUU26" s="4"/>
      <c r="SUV26" s="4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5"/>
      <c r="SVI26" s="4"/>
      <c r="SVJ26" s="28"/>
      <c r="SVK26" s="28"/>
      <c r="SVL26" s="4"/>
      <c r="SVM26" s="4"/>
      <c r="SVN26" s="4"/>
      <c r="SVO26" s="4"/>
      <c r="SVP26" s="4"/>
      <c r="SVQ26" s="4"/>
      <c r="SVR26" s="4"/>
      <c r="SVS26" s="4"/>
      <c r="SVT26" s="4"/>
      <c r="SVU26" s="4"/>
      <c r="SVV26" s="4"/>
      <c r="SVW26" s="4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5"/>
      <c r="SWJ26" s="4"/>
      <c r="SWK26" s="28"/>
      <c r="SWL26" s="28"/>
      <c r="SWM26" s="4"/>
      <c r="SWN26" s="4"/>
      <c r="SWO26" s="4"/>
      <c r="SWP26" s="4"/>
      <c r="SWQ26" s="4"/>
      <c r="SWR26" s="4"/>
      <c r="SWS26" s="4"/>
      <c r="SWT26" s="4"/>
      <c r="SWU26" s="4"/>
      <c r="SWV26" s="4"/>
      <c r="SWW26" s="4"/>
      <c r="SWX26" s="4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5"/>
      <c r="SXK26" s="4"/>
      <c r="SXL26" s="28"/>
      <c r="SXM26" s="28"/>
      <c r="SXN26" s="4"/>
      <c r="SXO26" s="4"/>
      <c r="SXP26" s="4"/>
      <c r="SXQ26" s="4"/>
      <c r="SXR26" s="4"/>
      <c r="SXS26" s="4"/>
      <c r="SXT26" s="4"/>
      <c r="SXU26" s="4"/>
      <c r="SXV26" s="4"/>
      <c r="SXW26" s="4"/>
      <c r="SXX26" s="4"/>
      <c r="SXY26" s="4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5"/>
      <c r="SYL26" s="4"/>
      <c r="SYM26" s="28"/>
      <c r="SYN26" s="28"/>
      <c r="SYO26" s="4"/>
      <c r="SYP26" s="4"/>
      <c r="SYQ26" s="4"/>
      <c r="SYR26" s="4"/>
      <c r="SYS26" s="4"/>
      <c r="SYT26" s="4"/>
      <c r="SYU26" s="4"/>
      <c r="SYV26" s="4"/>
      <c r="SYW26" s="4"/>
      <c r="SYX26" s="4"/>
      <c r="SYY26" s="4"/>
      <c r="SYZ26" s="4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5"/>
      <c r="SZM26" s="4"/>
      <c r="SZN26" s="28"/>
      <c r="SZO26" s="28"/>
      <c r="SZP26" s="4"/>
      <c r="SZQ26" s="4"/>
      <c r="SZR26" s="4"/>
      <c r="SZS26" s="4"/>
      <c r="SZT26" s="4"/>
      <c r="SZU26" s="4"/>
      <c r="SZV26" s="4"/>
      <c r="SZW26" s="4"/>
      <c r="SZX26" s="4"/>
      <c r="SZY26" s="4"/>
      <c r="SZZ26" s="4"/>
      <c r="TAA26" s="4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5"/>
      <c r="TAN26" s="4"/>
      <c r="TAO26" s="28"/>
      <c r="TAP26" s="28"/>
      <c r="TAQ26" s="4"/>
      <c r="TAR26" s="4"/>
      <c r="TAS26" s="4"/>
      <c r="TAT26" s="4"/>
      <c r="TAU26" s="4"/>
      <c r="TAV26" s="4"/>
      <c r="TAW26" s="4"/>
      <c r="TAX26" s="4"/>
      <c r="TAY26" s="4"/>
      <c r="TAZ26" s="4"/>
      <c r="TBA26" s="4"/>
      <c r="TBB26" s="4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5"/>
      <c r="TBO26" s="4"/>
      <c r="TBP26" s="28"/>
      <c r="TBQ26" s="28"/>
      <c r="TBR26" s="4"/>
      <c r="TBS26" s="4"/>
      <c r="TBT26" s="4"/>
      <c r="TBU26" s="4"/>
      <c r="TBV26" s="4"/>
      <c r="TBW26" s="4"/>
      <c r="TBX26" s="4"/>
      <c r="TBY26" s="4"/>
      <c r="TBZ26" s="4"/>
      <c r="TCA26" s="4"/>
      <c r="TCB26" s="4"/>
      <c r="TCC26" s="4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5"/>
      <c r="TCP26" s="4"/>
      <c r="TCQ26" s="28"/>
      <c r="TCR26" s="28"/>
      <c r="TCS26" s="4"/>
      <c r="TCT26" s="4"/>
      <c r="TCU26" s="4"/>
      <c r="TCV26" s="4"/>
      <c r="TCW26" s="4"/>
      <c r="TCX26" s="4"/>
      <c r="TCY26" s="4"/>
      <c r="TCZ26" s="4"/>
      <c r="TDA26" s="4"/>
      <c r="TDB26" s="4"/>
      <c r="TDC26" s="4"/>
      <c r="TDD26" s="4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5"/>
      <c r="TDQ26" s="4"/>
      <c r="TDR26" s="28"/>
      <c r="TDS26" s="28"/>
      <c r="TDT26" s="4"/>
      <c r="TDU26" s="4"/>
      <c r="TDV26" s="4"/>
      <c r="TDW26" s="4"/>
      <c r="TDX26" s="4"/>
      <c r="TDY26" s="4"/>
      <c r="TDZ26" s="4"/>
      <c r="TEA26" s="4"/>
      <c r="TEB26" s="4"/>
      <c r="TEC26" s="4"/>
      <c r="TED26" s="4"/>
      <c r="TEE26" s="4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5"/>
      <c r="TER26" s="4"/>
      <c r="TES26" s="28"/>
      <c r="TET26" s="28"/>
      <c r="TEU26" s="4"/>
      <c r="TEV26" s="4"/>
      <c r="TEW26" s="4"/>
      <c r="TEX26" s="4"/>
      <c r="TEY26" s="4"/>
      <c r="TEZ26" s="4"/>
      <c r="TFA26" s="4"/>
      <c r="TFB26" s="4"/>
      <c r="TFC26" s="4"/>
      <c r="TFD26" s="4"/>
      <c r="TFE26" s="4"/>
      <c r="TFF26" s="4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5"/>
      <c r="TFS26" s="4"/>
      <c r="TFT26" s="28"/>
      <c r="TFU26" s="28"/>
      <c r="TFV26" s="4"/>
      <c r="TFW26" s="4"/>
      <c r="TFX26" s="4"/>
      <c r="TFY26" s="4"/>
      <c r="TFZ26" s="4"/>
      <c r="TGA26" s="4"/>
      <c r="TGB26" s="4"/>
      <c r="TGC26" s="4"/>
      <c r="TGD26" s="4"/>
      <c r="TGE26" s="4"/>
      <c r="TGF26" s="4"/>
      <c r="TGG26" s="4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5"/>
      <c r="TGT26" s="4"/>
      <c r="TGU26" s="28"/>
      <c r="TGV26" s="28"/>
      <c r="TGW26" s="4"/>
      <c r="TGX26" s="4"/>
      <c r="TGY26" s="4"/>
      <c r="TGZ26" s="4"/>
      <c r="THA26" s="4"/>
      <c r="THB26" s="4"/>
      <c r="THC26" s="4"/>
      <c r="THD26" s="4"/>
      <c r="THE26" s="4"/>
      <c r="THF26" s="4"/>
      <c r="THG26" s="4"/>
      <c r="THH26" s="4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5"/>
      <c r="THU26" s="4"/>
      <c r="THV26" s="28"/>
      <c r="THW26" s="28"/>
      <c r="THX26" s="4"/>
      <c r="THY26" s="4"/>
      <c r="THZ26" s="4"/>
      <c r="TIA26" s="4"/>
      <c r="TIB26" s="4"/>
      <c r="TIC26" s="4"/>
      <c r="TID26" s="4"/>
      <c r="TIE26" s="4"/>
      <c r="TIF26" s="4"/>
      <c r="TIG26" s="4"/>
      <c r="TIH26" s="4"/>
      <c r="TII26" s="4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5"/>
      <c r="TIV26" s="4"/>
      <c r="TIW26" s="28"/>
      <c r="TIX26" s="28"/>
      <c r="TIY26" s="4"/>
      <c r="TIZ26" s="4"/>
      <c r="TJA26" s="4"/>
      <c r="TJB26" s="4"/>
      <c r="TJC26" s="4"/>
      <c r="TJD26" s="4"/>
      <c r="TJE26" s="4"/>
      <c r="TJF26" s="4"/>
      <c r="TJG26" s="4"/>
      <c r="TJH26" s="4"/>
      <c r="TJI26" s="4"/>
      <c r="TJJ26" s="4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5"/>
      <c r="TJW26" s="4"/>
      <c r="TJX26" s="28"/>
      <c r="TJY26" s="28"/>
      <c r="TJZ26" s="4"/>
      <c r="TKA26" s="4"/>
      <c r="TKB26" s="4"/>
      <c r="TKC26" s="4"/>
      <c r="TKD26" s="4"/>
      <c r="TKE26" s="4"/>
      <c r="TKF26" s="4"/>
      <c r="TKG26" s="4"/>
      <c r="TKH26" s="4"/>
      <c r="TKI26" s="4"/>
      <c r="TKJ26" s="4"/>
      <c r="TKK26" s="4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5"/>
      <c r="TKX26" s="4"/>
      <c r="TKY26" s="28"/>
      <c r="TKZ26" s="28"/>
      <c r="TLA26" s="4"/>
      <c r="TLB26" s="4"/>
      <c r="TLC26" s="4"/>
      <c r="TLD26" s="4"/>
      <c r="TLE26" s="4"/>
      <c r="TLF26" s="4"/>
      <c r="TLG26" s="4"/>
      <c r="TLH26" s="4"/>
      <c r="TLI26" s="4"/>
      <c r="TLJ26" s="4"/>
      <c r="TLK26" s="4"/>
      <c r="TLL26" s="4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5"/>
      <c r="TLY26" s="4"/>
      <c r="TLZ26" s="28"/>
      <c r="TMA26" s="28"/>
      <c r="TMB26" s="4"/>
      <c r="TMC26" s="4"/>
      <c r="TMD26" s="4"/>
      <c r="TME26" s="4"/>
      <c r="TMF26" s="4"/>
      <c r="TMG26" s="4"/>
      <c r="TMH26" s="4"/>
      <c r="TMI26" s="4"/>
      <c r="TMJ26" s="4"/>
      <c r="TMK26" s="4"/>
      <c r="TML26" s="4"/>
      <c r="TMM26" s="4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5"/>
      <c r="TMZ26" s="4"/>
      <c r="TNA26" s="28"/>
      <c r="TNB26" s="28"/>
      <c r="TNC26" s="4"/>
      <c r="TND26" s="4"/>
      <c r="TNE26" s="4"/>
      <c r="TNF26" s="4"/>
      <c r="TNG26" s="4"/>
      <c r="TNH26" s="4"/>
      <c r="TNI26" s="4"/>
      <c r="TNJ26" s="4"/>
      <c r="TNK26" s="4"/>
      <c r="TNL26" s="4"/>
      <c r="TNM26" s="4"/>
      <c r="TNN26" s="4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5"/>
      <c r="TOA26" s="4"/>
      <c r="TOB26" s="28"/>
      <c r="TOC26" s="28"/>
      <c r="TOD26" s="4"/>
      <c r="TOE26" s="4"/>
      <c r="TOF26" s="4"/>
      <c r="TOG26" s="4"/>
      <c r="TOH26" s="4"/>
      <c r="TOI26" s="4"/>
      <c r="TOJ26" s="4"/>
      <c r="TOK26" s="4"/>
      <c r="TOL26" s="4"/>
      <c r="TOM26" s="4"/>
      <c r="TON26" s="4"/>
      <c r="TOO26" s="4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5"/>
      <c r="TPB26" s="4"/>
      <c r="TPC26" s="28"/>
      <c r="TPD26" s="28"/>
      <c r="TPE26" s="4"/>
      <c r="TPF26" s="4"/>
      <c r="TPG26" s="4"/>
      <c r="TPH26" s="4"/>
      <c r="TPI26" s="4"/>
      <c r="TPJ26" s="4"/>
      <c r="TPK26" s="4"/>
      <c r="TPL26" s="4"/>
      <c r="TPM26" s="4"/>
      <c r="TPN26" s="4"/>
      <c r="TPO26" s="4"/>
      <c r="TPP26" s="4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5"/>
      <c r="TQC26" s="4"/>
      <c r="TQD26" s="28"/>
      <c r="TQE26" s="28"/>
      <c r="TQF26" s="4"/>
      <c r="TQG26" s="4"/>
      <c r="TQH26" s="4"/>
      <c r="TQI26" s="4"/>
      <c r="TQJ26" s="4"/>
      <c r="TQK26" s="4"/>
      <c r="TQL26" s="4"/>
      <c r="TQM26" s="4"/>
      <c r="TQN26" s="4"/>
      <c r="TQO26" s="4"/>
      <c r="TQP26" s="4"/>
      <c r="TQQ26" s="4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5"/>
      <c r="TRD26" s="4"/>
      <c r="TRE26" s="28"/>
      <c r="TRF26" s="28"/>
      <c r="TRG26" s="4"/>
      <c r="TRH26" s="4"/>
      <c r="TRI26" s="4"/>
      <c r="TRJ26" s="4"/>
      <c r="TRK26" s="4"/>
      <c r="TRL26" s="4"/>
      <c r="TRM26" s="4"/>
      <c r="TRN26" s="4"/>
      <c r="TRO26" s="4"/>
      <c r="TRP26" s="4"/>
      <c r="TRQ26" s="4"/>
      <c r="TRR26" s="4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5"/>
      <c r="TSE26" s="4"/>
      <c r="TSF26" s="28"/>
      <c r="TSG26" s="28"/>
      <c r="TSH26" s="4"/>
      <c r="TSI26" s="4"/>
      <c r="TSJ26" s="4"/>
      <c r="TSK26" s="4"/>
      <c r="TSL26" s="4"/>
      <c r="TSM26" s="4"/>
      <c r="TSN26" s="4"/>
      <c r="TSO26" s="4"/>
      <c r="TSP26" s="4"/>
      <c r="TSQ26" s="4"/>
      <c r="TSR26" s="4"/>
      <c r="TSS26" s="4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5"/>
      <c r="TTF26" s="4"/>
      <c r="TTG26" s="28"/>
      <c r="TTH26" s="28"/>
      <c r="TTI26" s="4"/>
      <c r="TTJ26" s="4"/>
      <c r="TTK26" s="4"/>
      <c r="TTL26" s="4"/>
      <c r="TTM26" s="4"/>
      <c r="TTN26" s="4"/>
      <c r="TTO26" s="4"/>
      <c r="TTP26" s="4"/>
      <c r="TTQ26" s="4"/>
      <c r="TTR26" s="4"/>
      <c r="TTS26" s="4"/>
      <c r="TTT26" s="4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5"/>
      <c r="TUG26" s="4"/>
      <c r="TUH26" s="28"/>
      <c r="TUI26" s="28"/>
      <c r="TUJ26" s="4"/>
      <c r="TUK26" s="4"/>
      <c r="TUL26" s="4"/>
      <c r="TUM26" s="4"/>
      <c r="TUN26" s="4"/>
      <c r="TUO26" s="4"/>
      <c r="TUP26" s="4"/>
      <c r="TUQ26" s="4"/>
      <c r="TUR26" s="4"/>
      <c r="TUS26" s="4"/>
      <c r="TUT26" s="4"/>
      <c r="TUU26" s="4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5"/>
      <c r="TVH26" s="4"/>
      <c r="TVI26" s="28"/>
      <c r="TVJ26" s="28"/>
      <c r="TVK26" s="4"/>
      <c r="TVL26" s="4"/>
      <c r="TVM26" s="4"/>
      <c r="TVN26" s="4"/>
      <c r="TVO26" s="4"/>
      <c r="TVP26" s="4"/>
      <c r="TVQ26" s="4"/>
      <c r="TVR26" s="4"/>
      <c r="TVS26" s="4"/>
      <c r="TVT26" s="4"/>
      <c r="TVU26" s="4"/>
      <c r="TVV26" s="4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5"/>
      <c r="TWI26" s="4"/>
      <c r="TWJ26" s="28"/>
      <c r="TWK26" s="28"/>
      <c r="TWL26" s="4"/>
      <c r="TWM26" s="4"/>
      <c r="TWN26" s="4"/>
      <c r="TWO26" s="4"/>
      <c r="TWP26" s="4"/>
      <c r="TWQ26" s="4"/>
      <c r="TWR26" s="4"/>
      <c r="TWS26" s="4"/>
      <c r="TWT26" s="4"/>
      <c r="TWU26" s="4"/>
      <c r="TWV26" s="4"/>
      <c r="TWW26" s="4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5"/>
      <c r="TXJ26" s="4"/>
      <c r="TXK26" s="28"/>
      <c r="TXL26" s="28"/>
      <c r="TXM26" s="4"/>
      <c r="TXN26" s="4"/>
      <c r="TXO26" s="4"/>
      <c r="TXP26" s="4"/>
      <c r="TXQ26" s="4"/>
      <c r="TXR26" s="4"/>
      <c r="TXS26" s="4"/>
      <c r="TXT26" s="4"/>
      <c r="TXU26" s="4"/>
      <c r="TXV26" s="4"/>
      <c r="TXW26" s="4"/>
      <c r="TXX26" s="4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5"/>
      <c r="TYK26" s="4"/>
      <c r="TYL26" s="28"/>
      <c r="TYM26" s="28"/>
      <c r="TYN26" s="4"/>
      <c r="TYO26" s="4"/>
      <c r="TYP26" s="4"/>
      <c r="TYQ26" s="4"/>
      <c r="TYR26" s="4"/>
      <c r="TYS26" s="4"/>
      <c r="TYT26" s="4"/>
      <c r="TYU26" s="4"/>
      <c r="TYV26" s="4"/>
      <c r="TYW26" s="4"/>
      <c r="TYX26" s="4"/>
      <c r="TYY26" s="4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5"/>
      <c r="TZL26" s="4"/>
      <c r="TZM26" s="28"/>
      <c r="TZN26" s="28"/>
      <c r="TZO26" s="4"/>
      <c r="TZP26" s="4"/>
      <c r="TZQ26" s="4"/>
      <c r="TZR26" s="4"/>
      <c r="TZS26" s="4"/>
      <c r="TZT26" s="4"/>
      <c r="TZU26" s="4"/>
      <c r="TZV26" s="4"/>
      <c r="TZW26" s="4"/>
      <c r="TZX26" s="4"/>
      <c r="TZY26" s="4"/>
      <c r="TZZ26" s="4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5"/>
      <c r="UAM26" s="4"/>
      <c r="UAN26" s="28"/>
      <c r="UAO26" s="28"/>
      <c r="UAP26" s="4"/>
      <c r="UAQ26" s="4"/>
      <c r="UAR26" s="4"/>
      <c r="UAS26" s="4"/>
      <c r="UAT26" s="4"/>
      <c r="UAU26" s="4"/>
      <c r="UAV26" s="4"/>
      <c r="UAW26" s="4"/>
      <c r="UAX26" s="4"/>
      <c r="UAY26" s="4"/>
      <c r="UAZ26" s="4"/>
      <c r="UBA26" s="4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5"/>
      <c r="UBN26" s="4"/>
      <c r="UBO26" s="28"/>
      <c r="UBP26" s="28"/>
      <c r="UBQ26" s="4"/>
      <c r="UBR26" s="4"/>
      <c r="UBS26" s="4"/>
      <c r="UBT26" s="4"/>
      <c r="UBU26" s="4"/>
      <c r="UBV26" s="4"/>
      <c r="UBW26" s="4"/>
      <c r="UBX26" s="4"/>
      <c r="UBY26" s="4"/>
      <c r="UBZ26" s="4"/>
      <c r="UCA26" s="4"/>
      <c r="UCB26" s="4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5"/>
      <c r="UCO26" s="4"/>
      <c r="UCP26" s="28"/>
      <c r="UCQ26" s="28"/>
      <c r="UCR26" s="4"/>
      <c r="UCS26" s="4"/>
      <c r="UCT26" s="4"/>
      <c r="UCU26" s="4"/>
      <c r="UCV26" s="4"/>
      <c r="UCW26" s="4"/>
      <c r="UCX26" s="4"/>
      <c r="UCY26" s="4"/>
      <c r="UCZ26" s="4"/>
      <c r="UDA26" s="4"/>
      <c r="UDB26" s="4"/>
      <c r="UDC26" s="4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5"/>
      <c r="UDP26" s="4"/>
      <c r="UDQ26" s="28"/>
      <c r="UDR26" s="28"/>
      <c r="UDS26" s="4"/>
      <c r="UDT26" s="4"/>
      <c r="UDU26" s="4"/>
      <c r="UDV26" s="4"/>
      <c r="UDW26" s="4"/>
      <c r="UDX26" s="4"/>
      <c r="UDY26" s="4"/>
      <c r="UDZ26" s="4"/>
      <c r="UEA26" s="4"/>
      <c r="UEB26" s="4"/>
      <c r="UEC26" s="4"/>
      <c r="UED26" s="4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5"/>
      <c r="UEQ26" s="4"/>
      <c r="UER26" s="28"/>
      <c r="UES26" s="28"/>
      <c r="UET26" s="4"/>
      <c r="UEU26" s="4"/>
      <c r="UEV26" s="4"/>
      <c r="UEW26" s="4"/>
      <c r="UEX26" s="4"/>
      <c r="UEY26" s="4"/>
      <c r="UEZ26" s="4"/>
      <c r="UFA26" s="4"/>
      <c r="UFB26" s="4"/>
      <c r="UFC26" s="4"/>
      <c r="UFD26" s="4"/>
      <c r="UFE26" s="4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5"/>
      <c r="UFR26" s="4"/>
      <c r="UFS26" s="28"/>
      <c r="UFT26" s="28"/>
      <c r="UFU26" s="4"/>
      <c r="UFV26" s="4"/>
      <c r="UFW26" s="4"/>
      <c r="UFX26" s="4"/>
      <c r="UFY26" s="4"/>
      <c r="UFZ26" s="4"/>
      <c r="UGA26" s="4"/>
      <c r="UGB26" s="4"/>
      <c r="UGC26" s="4"/>
      <c r="UGD26" s="4"/>
      <c r="UGE26" s="4"/>
      <c r="UGF26" s="4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5"/>
      <c r="UGS26" s="4"/>
      <c r="UGT26" s="28"/>
      <c r="UGU26" s="28"/>
      <c r="UGV26" s="4"/>
      <c r="UGW26" s="4"/>
      <c r="UGX26" s="4"/>
      <c r="UGY26" s="4"/>
      <c r="UGZ26" s="4"/>
      <c r="UHA26" s="4"/>
      <c r="UHB26" s="4"/>
      <c r="UHC26" s="4"/>
      <c r="UHD26" s="4"/>
      <c r="UHE26" s="4"/>
      <c r="UHF26" s="4"/>
      <c r="UHG26" s="4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5"/>
      <c r="UHT26" s="4"/>
      <c r="UHU26" s="28"/>
      <c r="UHV26" s="28"/>
      <c r="UHW26" s="4"/>
      <c r="UHX26" s="4"/>
      <c r="UHY26" s="4"/>
      <c r="UHZ26" s="4"/>
      <c r="UIA26" s="4"/>
      <c r="UIB26" s="4"/>
      <c r="UIC26" s="4"/>
      <c r="UID26" s="4"/>
      <c r="UIE26" s="4"/>
      <c r="UIF26" s="4"/>
      <c r="UIG26" s="4"/>
      <c r="UIH26" s="4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5"/>
      <c r="UIU26" s="4"/>
      <c r="UIV26" s="28"/>
      <c r="UIW26" s="28"/>
      <c r="UIX26" s="4"/>
      <c r="UIY26" s="4"/>
      <c r="UIZ26" s="4"/>
      <c r="UJA26" s="4"/>
      <c r="UJB26" s="4"/>
      <c r="UJC26" s="4"/>
      <c r="UJD26" s="4"/>
      <c r="UJE26" s="4"/>
      <c r="UJF26" s="4"/>
      <c r="UJG26" s="4"/>
      <c r="UJH26" s="4"/>
      <c r="UJI26" s="4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5"/>
      <c r="UJV26" s="4"/>
      <c r="UJW26" s="28"/>
      <c r="UJX26" s="28"/>
      <c r="UJY26" s="4"/>
      <c r="UJZ26" s="4"/>
      <c r="UKA26" s="4"/>
      <c r="UKB26" s="4"/>
      <c r="UKC26" s="4"/>
      <c r="UKD26" s="4"/>
      <c r="UKE26" s="4"/>
      <c r="UKF26" s="4"/>
      <c r="UKG26" s="4"/>
      <c r="UKH26" s="4"/>
      <c r="UKI26" s="4"/>
      <c r="UKJ26" s="4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5"/>
      <c r="UKW26" s="4"/>
      <c r="UKX26" s="28"/>
      <c r="UKY26" s="28"/>
      <c r="UKZ26" s="4"/>
      <c r="ULA26" s="4"/>
      <c r="ULB26" s="4"/>
      <c r="ULC26" s="4"/>
      <c r="ULD26" s="4"/>
      <c r="ULE26" s="4"/>
      <c r="ULF26" s="4"/>
      <c r="ULG26" s="4"/>
      <c r="ULH26" s="4"/>
      <c r="ULI26" s="4"/>
      <c r="ULJ26" s="4"/>
      <c r="ULK26" s="4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5"/>
      <c r="ULX26" s="4"/>
      <c r="ULY26" s="28"/>
      <c r="ULZ26" s="28"/>
      <c r="UMA26" s="4"/>
      <c r="UMB26" s="4"/>
      <c r="UMC26" s="4"/>
      <c r="UMD26" s="4"/>
      <c r="UME26" s="4"/>
      <c r="UMF26" s="4"/>
      <c r="UMG26" s="4"/>
      <c r="UMH26" s="4"/>
      <c r="UMI26" s="4"/>
      <c r="UMJ26" s="4"/>
      <c r="UMK26" s="4"/>
      <c r="UML26" s="4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5"/>
      <c r="UMY26" s="4"/>
      <c r="UMZ26" s="28"/>
      <c r="UNA26" s="28"/>
      <c r="UNB26" s="4"/>
      <c r="UNC26" s="4"/>
      <c r="UND26" s="4"/>
      <c r="UNE26" s="4"/>
      <c r="UNF26" s="4"/>
      <c r="UNG26" s="4"/>
      <c r="UNH26" s="4"/>
      <c r="UNI26" s="4"/>
      <c r="UNJ26" s="4"/>
      <c r="UNK26" s="4"/>
      <c r="UNL26" s="4"/>
      <c r="UNM26" s="4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5"/>
      <c r="UNZ26" s="4"/>
      <c r="UOA26" s="28"/>
      <c r="UOB26" s="28"/>
      <c r="UOC26" s="4"/>
      <c r="UOD26" s="4"/>
      <c r="UOE26" s="4"/>
      <c r="UOF26" s="4"/>
      <c r="UOG26" s="4"/>
      <c r="UOH26" s="4"/>
      <c r="UOI26" s="4"/>
      <c r="UOJ26" s="4"/>
      <c r="UOK26" s="4"/>
      <c r="UOL26" s="4"/>
      <c r="UOM26" s="4"/>
      <c r="UON26" s="4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5"/>
      <c r="UPA26" s="4"/>
      <c r="UPB26" s="28"/>
      <c r="UPC26" s="28"/>
      <c r="UPD26" s="4"/>
      <c r="UPE26" s="4"/>
      <c r="UPF26" s="4"/>
      <c r="UPG26" s="4"/>
      <c r="UPH26" s="4"/>
      <c r="UPI26" s="4"/>
      <c r="UPJ26" s="4"/>
      <c r="UPK26" s="4"/>
      <c r="UPL26" s="4"/>
      <c r="UPM26" s="4"/>
      <c r="UPN26" s="4"/>
      <c r="UPO26" s="4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5"/>
      <c r="UQB26" s="4"/>
      <c r="UQC26" s="28"/>
      <c r="UQD26" s="28"/>
      <c r="UQE26" s="4"/>
      <c r="UQF26" s="4"/>
      <c r="UQG26" s="4"/>
      <c r="UQH26" s="4"/>
      <c r="UQI26" s="4"/>
      <c r="UQJ26" s="4"/>
      <c r="UQK26" s="4"/>
      <c r="UQL26" s="4"/>
      <c r="UQM26" s="4"/>
      <c r="UQN26" s="4"/>
      <c r="UQO26" s="4"/>
      <c r="UQP26" s="4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5"/>
      <c r="URC26" s="4"/>
      <c r="URD26" s="28"/>
      <c r="URE26" s="28"/>
      <c r="URF26" s="4"/>
      <c r="URG26" s="4"/>
      <c r="URH26" s="4"/>
      <c r="URI26" s="4"/>
      <c r="URJ26" s="4"/>
      <c r="URK26" s="4"/>
      <c r="URL26" s="4"/>
      <c r="URM26" s="4"/>
      <c r="URN26" s="4"/>
      <c r="URO26" s="4"/>
      <c r="URP26" s="4"/>
      <c r="URQ26" s="4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5"/>
      <c r="USD26" s="4"/>
      <c r="USE26" s="28"/>
      <c r="USF26" s="28"/>
      <c r="USG26" s="4"/>
      <c r="USH26" s="4"/>
      <c r="USI26" s="4"/>
      <c r="USJ26" s="4"/>
      <c r="USK26" s="4"/>
      <c r="USL26" s="4"/>
      <c r="USM26" s="4"/>
      <c r="USN26" s="4"/>
      <c r="USO26" s="4"/>
      <c r="USP26" s="4"/>
      <c r="USQ26" s="4"/>
      <c r="USR26" s="4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5"/>
      <c r="UTE26" s="4"/>
      <c r="UTF26" s="28"/>
      <c r="UTG26" s="28"/>
      <c r="UTH26" s="4"/>
      <c r="UTI26" s="4"/>
      <c r="UTJ26" s="4"/>
      <c r="UTK26" s="4"/>
      <c r="UTL26" s="4"/>
      <c r="UTM26" s="4"/>
      <c r="UTN26" s="4"/>
      <c r="UTO26" s="4"/>
      <c r="UTP26" s="4"/>
      <c r="UTQ26" s="4"/>
      <c r="UTR26" s="4"/>
      <c r="UTS26" s="4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5"/>
      <c r="UUF26" s="4"/>
      <c r="UUG26" s="28"/>
      <c r="UUH26" s="28"/>
      <c r="UUI26" s="4"/>
      <c r="UUJ26" s="4"/>
      <c r="UUK26" s="4"/>
      <c r="UUL26" s="4"/>
      <c r="UUM26" s="4"/>
      <c r="UUN26" s="4"/>
      <c r="UUO26" s="4"/>
      <c r="UUP26" s="4"/>
      <c r="UUQ26" s="4"/>
      <c r="UUR26" s="4"/>
      <c r="UUS26" s="4"/>
      <c r="UUT26" s="4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5"/>
      <c r="UVG26" s="4"/>
      <c r="UVH26" s="28"/>
      <c r="UVI26" s="28"/>
      <c r="UVJ26" s="4"/>
      <c r="UVK26" s="4"/>
      <c r="UVL26" s="4"/>
      <c r="UVM26" s="4"/>
      <c r="UVN26" s="4"/>
      <c r="UVO26" s="4"/>
      <c r="UVP26" s="4"/>
      <c r="UVQ26" s="4"/>
      <c r="UVR26" s="4"/>
      <c r="UVS26" s="4"/>
      <c r="UVT26" s="4"/>
      <c r="UVU26" s="4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5"/>
      <c r="UWH26" s="4"/>
      <c r="UWI26" s="28"/>
      <c r="UWJ26" s="28"/>
      <c r="UWK26" s="4"/>
      <c r="UWL26" s="4"/>
      <c r="UWM26" s="4"/>
      <c r="UWN26" s="4"/>
      <c r="UWO26" s="4"/>
      <c r="UWP26" s="4"/>
      <c r="UWQ26" s="4"/>
      <c r="UWR26" s="4"/>
      <c r="UWS26" s="4"/>
      <c r="UWT26" s="4"/>
      <c r="UWU26" s="4"/>
      <c r="UWV26" s="4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5"/>
      <c r="UXI26" s="4"/>
      <c r="UXJ26" s="28"/>
      <c r="UXK26" s="28"/>
      <c r="UXL26" s="4"/>
      <c r="UXM26" s="4"/>
      <c r="UXN26" s="4"/>
      <c r="UXO26" s="4"/>
      <c r="UXP26" s="4"/>
      <c r="UXQ26" s="4"/>
      <c r="UXR26" s="4"/>
      <c r="UXS26" s="4"/>
      <c r="UXT26" s="4"/>
      <c r="UXU26" s="4"/>
      <c r="UXV26" s="4"/>
      <c r="UXW26" s="4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5"/>
      <c r="UYJ26" s="4"/>
      <c r="UYK26" s="28"/>
      <c r="UYL26" s="28"/>
      <c r="UYM26" s="4"/>
      <c r="UYN26" s="4"/>
      <c r="UYO26" s="4"/>
      <c r="UYP26" s="4"/>
      <c r="UYQ26" s="4"/>
      <c r="UYR26" s="4"/>
      <c r="UYS26" s="4"/>
      <c r="UYT26" s="4"/>
      <c r="UYU26" s="4"/>
      <c r="UYV26" s="4"/>
      <c r="UYW26" s="4"/>
      <c r="UYX26" s="4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5"/>
      <c r="UZK26" s="4"/>
      <c r="UZL26" s="28"/>
      <c r="UZM26" s="28"/>
      <c r="UZN26" s="4"/>
      <c r="UZO26" s="4"/>
      <c r="UZP26" s="4"/>
      <c r="UZQ26" s="4"/>
      <c r="UZR26" s="4"/>
      <c r="UZS26" s="4"/>
      <c r="UZT26" s="4"/>
      <c r="UZU26" s="4"/>
      <c r="UZV26" s="4"/>
      <c r="UZW26" s="4"/>
      <c r="UZX26" s="4"/>
      <c r="UZY26" s="4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5"/>
      <c r="VAL26" s="4"/>
      <c r="VAM26" s="28"/>
      <c r="VAN26" s="28"/>
      <c r="VAO26" s="4"/>
      <c r="VAP26" s="4"/>
      <c r="VAQ26" s="4"/>
      <c r="VAR26" s="4"/>
      <c r="VAS26" s="4"/>
      <c r="VAT26" s="4"/>
      <c r="VAU26" s="4"/>
      <c r="VAV26" s="4"/>
      <c r="VAW26" s="4"/>
      <c r="VAX26" s="4"/>
      <c r="VAY26" s="4"/>
      <c r="VAZ26" s="4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5"/>
      <c r="VBM26" s="4"/>
      <c r="VBN26" s="28"/>
      <c r="VBO26" s="28"/>
      <c r="VBP26" s="4"/>
      <c r="VBQ26" s="4"/>
      <c r="VBR26" s="4"/>
      <c r="VBS26" s="4"/>
      <c r="VBT26" s="4"/>
      <c r="VBU26" s="4"/>
      <c r="VBV26" s="4"/>
      <c r="VBW26" s="4"/>
      <c r="VBX26" s="4"/>
      <c r="VBY26" s="4"/>
      <c r="VBZ26" s="4"/>
      <c r="VCA26" s="4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5"/>
      <c r="VCN26" s="4"/>
      <c r="VCO26" s="28"/>
      <c r="VCP26" s="28"/>
      <c r="VCQ26" s="4"/>
      <c r="VCR26" s="4"/>
      <c r="VCS26" s="4"/>
      <c r="VCT26" s="4"/>
      <c r="VCU26" s="4"/>
      <c r="VCV26" s="4"/>
      <c r="VCW26" s="4"/>
      <c r="VCX26" s="4"/>
      <c r="VCY26" s="4"/>
      <c r="VCZ26" s="4"/>
      <c r="VDA26" s="4"/>
      <c r="VDB26" s="4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5"/>
      <c r="VDO26" s="4"/>
      <c r="VDP26" s="28"/>
      <c r="VDQ26" s="28"/>
      <c r="VDR26" s="4"/>
      <c r="VDS26" s="4"/>
      <c r="VDT26" s="4"/>
      <c r="VDU26" s="4"/>
      <c r="VDV26" s="4"/>
      <c r="VDW26" s="4"/>
      <c r="VDX26" s="4"/>
      <c r="VDY26" s="4"/>
      <c r="VDZ26" s="4"/>
      <c r="VEA26" s="4"/>
      <c r="VEB26" s="4"/>
      <c r="VEC26" s="4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5"/>
      <c r="VEP26" s="4"/>
      <c r="VEQ26" s="28"/>
      <c r="VER26" s="28"/>
      <c r="VES26" s="4"/>
      <c r="VET26" s="4"/>
      <c r="VEU26" s="4"/>
      <c r="VEV26" s="4"/>
      <c r="VEW26" s="4"/>
      <c r="VEX26" s="4"/>
      <c r="VEY26" s="4"/>
      <c r="VEZ26" s="4"/>
      <c r="VFA26" s="4"/>
      <c r="VFB26" s="4"/>
      <c r="VFC26" s="4"/>
      <c r="VFD26" s="4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5"/>
      <c r="VFQ26" s="4"/>
      <c r="VFR26" s="28"/>
      <c r="VFS26" s="28"/>
      <c r="VFT26" s="4"/>
      <c r="VFU26" s="4"/>
      <c r="VFV26" s="4"/>
      <c r="VFW26" s="4"/>
      <c r="VFX26" s="4"/>
      <c r="VFY26" s="4"/>
      <c r="VFZ26" s="4"/>
      <c r="VGA26" s="4"/>
      <c r="VGB26" s="4"/>
      <c r="VGC26" s="4"/>
      <c r="VGD26" s="4"/>
      <c r="VGE26" s="4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5"/>
      <c r="VGR26" s="4"/>
      <c r="VGS26" s="28"/>
      <c r="VGT26" s="28"/>
      <c r="VGU26" s="4"/>
      <c r="VGV26" s="4"/>
      <c r="VGW26" s="4"/>
      <c r="VGX26" s="4"/>
      <c r="VGY26" s="4"/>
      <c r="VGZ26" s="4"/>
      <c r="VHA26" s="4"/>
      <c r="VHB26" s="4"/>
      <c r="VHC26" s="4"/>
      <c r="VHD26" s="4"/>
      <c r="VHE26" s="4"/>
      <c r="VHF26" s="4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5"/>
      <c r="VHS26" s="4"/>
      <c r="VHT26" s="28"/>
      <c r="VHU26" s="28"/>
      <c r="VHV26" s="4"/>
      <c r="VHW26" s="4"/>
      <c r="VHX26" s="4"/>
      <c r="VHY26" s="4"/>
      <c r="VHZ26" s="4"/>
      <c r="VIA26" s="4"/>
      <c r="VIB26" s="4"/>
      <c r="VIC26" s="4"/>
      <c r="VID26" s="4"/>
      <c r="VIE26" s="4"/>
      <c r="VIF26" s="4"/>
      <c r="VIG26" s="4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5"/>
      <c r="VIT26" s="4"/>
      <c r="VIU26" s="28"/>
      <c r="VIV26" s="28"/>
      <c r="VIW26" s="4"/>
      <c r="VIX26" s="4"/>
      <c r="VIY26" s="4"/>
      <c r="VIZ26" s="4"/>
      <c r="VJA26" s="4"/>
      <c r="VJB26" s="4"/>
      <c r="VJC26" s="4"/>
      <c r="VJD26" s="4"/>
      <c r="VJE26" s="4"/>
      <c r="VJF26" s="4"/>
      <c r="VJG26" s="4"/>
      <c r="VJH26" s="4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5"/>
      <c r="VJU26" s="4"/>
      <c r="VJV26" s="28"/>
      <c r="VJW26" s="28"/>
      <c r="VJX26" s="4"/>
      <c r="VJY26" s="4"/>
      <c r="VJZ26" s="4"/>
      <c r="VKA26" s="4"/>
      <c r="VKB26" s="4"/>
      <c r="VKC26" s="4"/>
      <c r="VKD26" s="4"/>
      <c r="VKE26" s="4"/>
      <c r="VKF26" s="4"/>
      <c r="VKG26" s="4"/>
      <c r="VKH26" s="4"/>
      <c r="VKI26" s="4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5"/>
      <c r="VKV26" s="4"/>
      <c r="VKW26" s="28"/>
      <c r="VKX26" s="28"/>
      <c r="VKY26" s="4"/>
      <c r="VKZ26" s="4"/>
      <c r="VLA26" s="4"/>
      <c r="VLB26" s="4"/>
      <c r="VLC26" s="4"/>
      <c r="VLD26" s="4"/>
      <c r="VLE26" s="4"/>
      <c r="VLF26" s="4"/>
      <c r="VLG26" s="4"/>
      <c r="VLH26" s="4"/>
      <c r="VLI26" s="4"/>
      <c r="VLJ26" s="4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5"/>
      <c r="VLW26" s="4"/>
      <c r="VLX26" s="28"/>
      <c r="VLY26" s="28"/>
      <c r="VLZ26" s="4"/>
      <c r="VMA26" s="4"/>
      <c r="VMB26" s="4"/>
      <c r="VMC26" s="4"/>
      <c r="VMD26" s="4"/>
      <c r="VME26" s="4"/>
      <c r="VMF26" s="4"/>
      <c r="VMG26" s="4"/>
      <c r="VMH26" s="4"/>
      <c r="VMI26" s="4"/>
      <c r="VMJ26" s="4"/>
      <c r="VMK26" s="4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5"/>
      <c r="VMX26" s="4"/>
      <c r="VMY26" s="28"/>
      <c r="VMZ26" s="28"/>
      <c r="VNA26" s="4"/>
      <c r="VNB26" s="4"/>
      <c r="VNC26" s="4"/>
      <c r="VND26" s="4"/>
      <c r="VNE26" s="4"/>
      <c r="VNF26" s="4"/>
      <c r="VNG26" s="4"/>
      <c r="VNH26" s="4"/>
      <c r="VNI26" s="4"/>
      <c r="VNJ26" s="4"/>
      <c r="VNK26" s="4"/>
      <c r="VNL26" s="4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5"/>
      <c r="VNY26" s="4"/>
      <c r="VNZ26" s="28"/>
      <c r="VOA26" s="28"/>
      <c r="VOB26" s="4"/>
      <c r="VOC26" s="4"/>
      <c r="VOD26" s="4"/>
      <c r="VOE26" s="4"/>
      <c r="VOF26" s="4"/>
      <c r="VOG26" s="4"/>
      <c r="VOH26" s="4"/>
      <c r="VOI26" s="4"/>
      <c r="VOJ26" s="4"/>
      <c r="VOK26" s="4"/>
      <c r="VOL26" s="4"/>
      <c r="VOM26" s="4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5"/>
      <c r="VOZ26" s="4"/>
      <c r="VPA26" s="28"/>
      <c r="VPB26" s="28"/>
      <c r="VPC26" s="4"/>
      <c r="VPD26" s="4"/>
      <c r="VPE26" s="4"/>
      <c r="VPF26" s="4"/>
      <c r="VPG26" s="4"/>
      <c r="VPH26" s="4"/>
      <c r="VPI26" s="4"/>
      <c r="VPJ26" s="4"/>
      <c r="VPK26" s="4"/>
      <c r="VPL26" s="4"/>
      <c r="VPM26" s="4"/>
      <c r="VPN26" s="4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5"/>
      <c r="VQA26" s="4"/>
      <c r="VQB26" s="28"/>
      <c r="VQC26" s="28"/>
      <c r="VQD26" s="4"/>
      <c r="VQE26" s="4"/>
      <c r="VQF26" s="4"/>
      <c r="VQG26" s="4"/>
      <c r="VQH26" s="4"/>
      <c r="VQI26" s="4"/>
      <c r="VQJ26" s="4"/>
      <c r="VQK26" s="4"/>
      <c r="VQL26" s="4"/>
      <c r="VQM26" s="4"/>
      <c r="VQN26" s="4"/>
      <c r="VQO26" s="4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5"/>
      <c r="VRB26" s="4"/>
      <c r="VRC26" s="28"/>
      <c r="VRD26" s="28"/>
      <c r="VRE26" s="4"/>
      <c r="VRF26" s="4"/>
      <c r="VRG26" s="4"/>
      <c r="VRH26" s="4"/>
      <c r="VRI26" s="4"/>
      <c r="VRJ26" s="4"/>
      <c r="VRK26" s="4"/>
      <c r="VRL26" s="4"/>
      <c r="VRM26" s="4"/>
      <c r="VRN26" s="4"/>
      <c r="VRO26" s="4"/>
      <c r="VRP26" s="4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5"/>
      <c r="VSC26" s="4"/>
      <c r="VSD26" s="28"/>
      <c r="VSE26" s="28"/>
      <c r="VSF26" s="4"/>
      <c r="VSG26" s="4"/>
      <c r="VSH26" s="4"/>
      <c r="VSI26" s="4"/>
      <c r="VSJ26" s="4"/>
      <c r="VSK26" s="4"/>
      <c r="VSL26" s="4"/>
      <c r="VSM26" s="4"/>
      <c r="VSN26" s="4"/>
      <c r="VSO26" s="4"/>
      <c r="VSP26" s="4"/>
      <c r="VSQ26" s="4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5"/>
      <c r="VTD26" s="4"/>
      <c r="VTE26" s="28"/>
      <c r="VTF26" s="28"/>
      <c r="VTG26" s="4"/>
      <c r="VTH26" s="4"/>
      <c r="VTI26" s="4"/>
      <c r="VTJ26" s="4"/>
      <c r="VTK26" s="4"/>
      <c r="VTL26" s="4"/>
      <c r="VTM26" s="4"/>
      <c r="VTN26" s="4"/>
      <c r="VTO26" s="4"/>
      <c r="VTP26" s="4"/>
      <c r="VTQ26" s="4"/>
      <c r="VTR26" s="4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5"/>
      <c r="VUE26" s="4"/>
      <c r="VUF26" s="28"/>
      <c r="VUG26" s="28"/>
      <c r="VUH26" s="4"/>
      <c r="VUI26" s="4"/>
      <c r="VUJ26" s="4"/>
      <c r="VUK26" s="4"/>
      <c r="VUL26" s="4"/>
      <c r="VUM26" s="4"/>
      <c r="VUN26" s="4"/>
      <c r="VUO26" s="4"/>
      <c r="VUP26" s="4"/>
      <c r="VUQ26" s="4"/>
      <c r="VUR26" s="4"/>
      <c r="VUS26" s="4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5"/>
      <c r="VVF26" s="4"/>
      <c r="VVG26" s="28"/>
      <c r="VVH26" s="28"/>
      <c r="VVI26" s="4"/>
      <c r="VVJ26" s="4"/>
      <c r="VVK26" s="4"/>
      <c r="VVL26" s="4"/>
      <c r="VVM26" s="4"/>
      <c r="VVN26" s="4"/>
      <c r="VVO26" s="4"/>
      <c r="VVP26" s="4"/>
      <c r="VVQ26" s="4"/>
      <c r="VVR26" s="4"/>
      <c r="VVS26" s="4"/>
      <c r="VVT26" s="4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5"/>
      <c r="VWG26" s="4"/>
      <c r="VWH26" s="28"/>
      <c r="VWI26" s="28"/>
      <c r="VWJ26" s="4"/>
      <c r="VWK26" s="4"/>
      <c r="VWL26" s="4"/>
      <c r="VWM26" s="4"/>
      <c r="VWN26" s="4"/>
      <c r="VWO26" s="4"/>
      <c r="VWP26" s="4"/>
      <c r="VWQ26" s="4"/>
      <c r="VWR26" s="4"/>
      <c r="VWS26" s="4"/>
      <c r="VWT26" s="4"/>
      <c r="VWU26" s="4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5"/>
      <c r="VXH26" s="4"/>
      <c r="VXI26" s="28"/>
      <c r="VXJ26" s="28"/>
      <c r="VXK26" s="4"/>
      <c r="VXL26" s="4"/>
      <c r="VXM26" s="4"/>
      <c r="VXN26" s="4"/>
      <c r="VXO26" s="4"/>
      <c r="VXP26" s="4"/>
      <c r="VXQ26" s="4"/>
      <c r="VXR26" s="4"/>
      <c r="VXS26" s="4"/>
      <c r="VXT26" s="4"/>
      <c r="VXU26" s="4"/>
      <c r="VXV26" s="4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5"/>
      <c r="VYI26" s="4"/>
      <c r="VYJ26" s="28"/>
      <c r="VYK26" s="28"/>
      <c r="VYL26" s="4"/>
      <c r="VYM26" s="4"/>
      <c r="VYN26" s="4"/>
      <c r="VYO26" s="4"/>
      <c r="VYP26" s="4"/>
      <c r="VYQ26" s="4"/>
      <c r="VYR26" s="4"/>
      <c r="VYS26" s="4"/>
      <c r="VYT26" s="4"/>
      <c r="VYU26" s="4"/>
      <c r="VYV26" s="4"/>
      <c r="VYW26" s="4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5"/>
      <c r="VZJ26" s="4"/>
      <c r="VZK26" s="28"/>
      <c r="VZL26" s="28"/>
      <c r="VZM26" s="4"/>
      <c r="VZN26" s="4"/>
      <c r="VZO26" s="4"/>
      <c r="VZP26" s="4"/>
      <c r="VZQ26" s="4"/>
      <c r="VZR26" s="4"/>
      <c r="VZS26" s="4"/>
      <c r="VZT26" s="4"/>
      <c r="VZU26" s="4"/>
      <c r="VZV26" s="4"/>
      <c r="VZW26" s="4"/>
      <c r="VZX26" s="4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5"/>
      <c r="WAK26" s="4"/>
      <c r="WAL26" s="28"/>
      <c r="WAM26" s="28"/>
      <c r="WAN26" s="4"/>
      <c r="WAO26" s="4"/>
      <c r="WAP26" s="4"/>
      <c r="WAQ26" s="4"/>
      <c r="WAR26" s="4"/>
      <c r="WAS26" s="4"/>
      <c r="WAT26" s="4"/>
      <c r="WAU26" s="4"/>
      <c r="WAV26" s="4"/>
      <c r="WAW26" s="4"/>
      <c r="WAX26" s="4"/>
      <c r="WAY26" s="4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5"/>
      <c r="WBL26" s="4"/>
      <c r="WBM26" s="28"/>
      <c r="WBN26" s="28"/>
      <c r="WBO26" s="4"/>
      <c r="WBP26" s="4"/>
      <c r="WBQ26" s="4"/>
      <c r="WBR26" s="4"/>
      <c r="WBS26" s="4"/>
      <c r="WBT26" s="4"/>
      <c r="WBU26" s="4"/>
      <c r="WBV26" s="4"/>
      <c r="WBW26" s="4"/>
      <c r="WBX26" s="4"/>
      <c r="WBY26" s="4"/>
      <c r="WBZ26" s="4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5"/>
      <c r="WCM26" s="4"/>
      <c r="WCN26" s="28"/>
      <c r="WCO26" s="28"/>
      <c r="WCP26" s="4"/>
      <c r="WCQ26" s="4"/>
      <c r="WCR26" s="4"/>
      <c r="WCS26" s="4"/>
      <c r="WCT26" s="4"/>
      <c r="WCU26" s="4"/>
      <c r="WCV26" s="4"/>
      <c r="WCW26" s="4"/>
      <c r="WCX26" s="4"/>
      <c r="WCY26" s="4"/>
      <c r="WCZ26" s="4"/>
      <c r="WDA26" s="4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5"/>
      <c r="WDN26" s="4"/>
      <c r="WDO26" s="28"/>
      <c r="WDP26" s="28"/>
      <c r="WDQ26" s="4"/>
      <c r="WDR26" s="4"/>
      <c r="WDS26" s="4"/>
      <c r="WDT26" s="4"/>
      <c r="WDU26" s="4"/>
      <c r="WDV26" s="4"/>
      <c r="WDW26" s="4"/>
      <c r="WDX26" s="4"/>
      <c r="WDY26" s="4"/>
      <c r="WDZ26" s="4"/>
      <c r="WEA26" s="4"/>
      <c r="WEB26" s="4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5"/>
      <c r="WEO26" s="4"/>
      <c r="WEP26" s="28"/>
      <c r="WEQ26" s="28"/>
      <c r="WER26" s="4"/>
      <c r="WES26" s="4"/>
      <c r="WET26" s="4"/>
      <c r="WEU26" s="4"/>
      <c r="WEV26" s="4"/>
      <c r="WEW26" s="4"/>
      <c r="WEX26" s="4"/>
      <c r="WEY26" s="4"/>
      <c r="WEZ26" s="4"/>
      <c r="WFA26" s="4"/>
      <c r="WFB26" s="4"/>
      <c r="WFC26" s="4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5"/>
      <c r="WFP26" s="4"/>
      <c r="WFQ26" s="28"/>
      <c r="WFR26" s="28"/>
      <c r="WFS26" s="4"/>
      <c r="WFT26" s="4"/>
      <c r="WFU26" s="4"/>
      <c r="WFV26" s="4"/>
      <c r="WFW26" s="4"/>
      <c r="WFX26" s="4"/>
      <c r="WFY26" s="4"/>
      <c r="WFZ26" s="4"/>
      <c r="WGA26" s="4"/>
      <c r="WGB26" s="4"/>
      <c r="WGC26" s="4"/>
      <c r="WGD26" s="4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5"/>
      <c r="WGQ26" s="4"/>
      <c r="WGR26" s="28"/>
      <c r="WGS26" s="28"/>
      <c r="WGT26" s="4"/>
      <c r="WGU26" s="4"/>
      <c r="WGV26" s="4"/>
      <c r="WGW26" s="4"/>
      <c r="WGX26" s="4"/>
      <c r="WGY26" s="4"/>
      <c r="WGZ26" s="4"/>
      <c r="WHA26" s="4"/>
      <c r="WHB26" s="4"/>
      <c r="WHC26" s="4"/>
      <c r="WHD26" s="4"/>
      <c r="WHE26" s="4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5"/>
      <c r="WHR26" s="4"/>
      <c r="WHS26" s="28"/>
      <c r="WHT26" s="28"/>
      <c r="WHU26" s="4"/>
      <c r="WHV26" s="4"/>
      <c r="WHW26" s="4"/>
      <c r="WHX26" s="4"/>
      <c r="WHY26" s="4"/>
      <c r="WHZ26" s="4"/>
      <c r="WIA26" s="4"/>
      <c r="WIB26" s="4"/>
      <c r="WIC26" s="4"/>
      <c r="WID26" s="4"/>
      <c r="WIE26" s="4"/>
      <c r="WIF26" s="4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5"/>
      <c r="WIS26" s="4"/>
      <c r="WIT26" s="28"/>
      <c r="WIU26" s="28"/>
      <c r="WIV26" s="4"/>
      <c r="WIW26" s="4"/>
      <c r="WIX26" s="4"/>
      <c r="WIY26" s="4"/>
      <c r="WIZ26" s="4"/>
      <c r="WJA26" s="4"/>
      <c r="WJB26" s="4"/>
      <c r="WJC26" s="4"/>
      <c r="WJD26" s="4"/>
      <c r="WJE26" s="4"/>
      <c r="WJF26" s="4"/>
      <c r="WJG26" s="4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5"/>
      <c r="WJT26" s="4"/>
      <c r="WJU26" s="28"/>
      <c r="WJV26" s="28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5"/>
      <c r="WKU26" s="4"/>
      <c r="WKV26" s="28"/>
      <c r="WKW26" s="28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5"/>
      <c r="WLV26" s="4"/>
      <c r="WLW26" s="28"/>
      <c r="WLX26" s="28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5"/>
      <c r="WMW26" s="4"/>
      <c r="WMX26" s="28"/>
      <c r="WMY26" s="28"/>
      <c r="WMZ26" s="4"/>
      <c r="WNA26" s="4"/>
      <c r="WNB26" s="4"/>
      <c r="WNC26" s="4"/>
      <c r="WND26" s="4"/>
      <c r="WNE26" s="4"/>
      <c r="WNF26" s="4"/>
      <c r="WNG26" s="4"/>
      <c r="WNH26" s="4"/>
      <c r="WNI26" s="4"/>
      <c r="WNJ26" s="4"/>
      <c r="WNK26" s="4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5"/>
      <c r="WNX26" s="4"/>
      <c r="WNY26" s="28"/>
      <c r="WNZ26" s="28"/>
      <c r="WOA26" s="4"/>
      <c r="WOB26" s="4"/>
      <c r="WOC26" s="4"/>
      <c r="WOD26" s="4"/>
      <c r="WOE26" s="4"/>
      <c r="WOF26" s="4"/>
      <c r="WOG26" s="4"/>
      <c r="WOH26" s="4"/>
      <c r="WOI26" s="4"/>
      <c r="WOJ26" s="4"/>
      <c r="WOK26" s="4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5"/>
      <c r="WOY26" s="4"/>
      <c r="WOZ26" s="28"/>
      <c r="WPA26" s="28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5"/>
      <c r="WPZ26" s="4"/>
      <c r="WQA26" s="28"/>
      <c r="WQB26" s="28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5"/>
      <c r="WRA26" s="4"/>
      <c r="WRB26" s="28"/>
      <c r="WRC26" s="28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5"/>
      <c r="WSB26" s="4"/>
      <c r="WSC26" s="28"/>
      <c r="WSD26" s="28"/>
      <c r="WSE26" s="4"/>
      <c r="WSF26" s="4"/>
      <c r="WSG26" s="4"/>
      <c r="WSH26" s="4"/>
      <c r="WSI26" s="4"/>
      <c r="WSJ26" s="4"/>
      <c r="WSK26" s="4"/>
      <c r="WSL26" s="4"/>
      <c r="WSM26" s="4"/>
      <c r="WSN26" s="4"/>
      <c r="WSO26" s="4"/>
      <c r="WSP26" s="4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5"/>
      <c r="WTC26" s="4"/>
      <c r="WTD26" s="28"/>
      <c r="WTE26" s="28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5"/>
      <c r="WUD26" s="4"/>
      <c r="WUE26" s="28"/>
      <c r="WUF26" s="28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5"/>
      <c r="WVE26" s="4"/>
      <c r="WVF26" s="28"/>
      <c r="WVG26" s="28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5"/>
      <c r="WWF26" s="4"/>
      <c r="WWG26" s="28"/>
      <c r="WWH26" s="28"/>
      <c r="WWI26" s="4"/>
      <c r="WWJ26" s="4"/>
      <c r="WWK26" s="4"/>
      <c r="WWL26" s="4"/>
      <c r="WWM26" s="4"/>
      <c r="WWN26" s="4"/>
      <c r="WWO26" s="4"/>
      <c r="WWP26" s="4"/>
      <c r="WWQ26" s="4"/>
      <c r="WWR26" s="4"/>
      <c r="WWS26" s="4"/>
      <c r="WWT26" s="4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5"/>
      <c r="WXG26" s="4"/>
      <c r="WXH26" s="28"/>
      <c r="WXI26" s="28"/>
      <c r="WXJ26" s="4"/>
      <c r="WXK26" s="4"/>
      <c r="WXL26" s="4"/>
      <c r="WXM26" s="4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5"/>
      <c r="WYH26" s="4"/>
      <c r="WYI26" s="28"/>
      <c r="WYJ26" s="28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5"/>
      <c r="WZI26" s="4"/>
      <c r="WZJ26" s="28"/>
      <c r="WZK26" s="28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5"/>
      <c r="XAJ26" s="4"/>
      <c r="XAK26" s="28"/>
      <c r="XAL26" s="28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5"/>
      <c r="XBK26" s="4"/>
      <c r="XBL26" s="28"/>
      <c r="XBM26" s="28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5"/>
      <c r="XCL26" s="4"/>
      <c r="XCM26" s="28"/>
      <c r="XCN26" s="28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5"/>
      <c r="XDM26" s="4"/>
      <c r="XDN26" s="28"/>
      <c r="XDO26" s="28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</row>
    <row r="27" spans="1:16360" ht="60.95" customHeight="1" x14ac:dyDescent="0.25">
      <c r="F27" s="17">
        <f t="shared" si="15"/>
        <v>18</v>
      </c>
      <c r="G27" s="31" t="s">
        <v>90</v>
      </c>
      <c r="H27" s="105" t="s">
        <v>91</v>
      </c>
      <c r="I27" s="106" t="s">
        <v>92</v>
      </c>
      <c r="J27" s="103" t="s">
        <v>93</v>
      </c>
      <c r="K27" s="104" t="s">
        <v>94</v>
      </c>
      <c r="M27" s="4"/>
      <c r="AT27" s="100" t="s">
        <v>95</v>
      </c>
    </row>
    <row r="28" spans="1:16360" x14ac:dyDescent="0.25">
      <c r="F28" s="17">
        <f t="shared" si="15"/>
        <v>19</v>
      </c>
      <c r="G28" s="12" t="s">
        <v>96</v>
      </c>
      <c r="H28" s="13">
        <v>0</v>
      </c>
      <c r="I28" s="13">
        <v>0</v>
      </c>
      <c r="J28" s="117">
        <v>0</v>
      </c>
      <c r="K28" s="189">
        <f>H66</f>
        <v>8885</v>
      </c>
      <c r="L28" s="189">
        <f t="shared" ref="L28:V28" si="19">$K$28</f>
        <v>8885</v>
      </c>
      <c r="M28" s="189">
        <f t="shared" si="19"/>
        <v>8885</v>
      </c>
      <c r="N28" s="189">
        <f t="shared" si="19"/>
        <v>8885</v>
      </c>
      <c r="O28" s="189">
        <f t="shared" si="19"/>
        <v>8885</v>
      </c>
      <c r="P28" s="189">
        <f t="shared" si="19"/>
        <v>8885</v>
      </c>
      <c r="Q28" s="189">
        <f t="shared" si="19"/>
        <v>8885</v>
      </c>
      <c r="R28" s="189">
        <f t="shared" si="19"/>
        <v>8885</v>
      </c>
      <c r="S28" s="189">
        <f t="shared" si="19"/>
        <v>8885</v>
      </c>
      <c r="T28" s="189">
        <f t="shared" si="19"/>
        <v>8885</v>
      </c>
      <c r="U28" s="189">
        <f t="shared" si="19"/>
        <v>8885</v>
      </c>
      <c r="V28" s="189">
        <f t="shared" si="19"/>
        <v>8885</v>
      </c>
      <c r="W28" s="189">
        <f>$K$28*(1+Dados!$C$22)</f>
        <v>9240.4</v>
      </c>
      <c r="X28" s="189">
        <f>$K$28*(1+Dados!$C$22)</f>
        <v>9240.4</v>
      </c>
      <c r="Y28" s="189">
        <f>$K$28*(1+Dados!$C$22)</f>
        <v>9240.4</v>
      </c>
      <c r="Z28" s="189">
        <f>$K$28*(1+Dados!$C$22)</f>
        <v>9240.4</v>
      </c>
      <c r="AA28" s="189">
        <f>$K$28*(1+Dados!$C$22)</f>
        <v>9240.4</v>
      </c>
      <c r="AB28" s="189">
        <f>$K$28*(1+Dados!$C$22)</f>
        <v>9240.4</v>
      </c>
      <c r="AC28" s="189">
        <f>$K$28*(1+Dados!$C$22)</f>
        <v>9240.4</v>
      </c>
      <c r="AD28" s="189">
        <f>$K$28*(1+Dados!$C$22)</f>
        <v>9240.4</v>
      </c>
      <c r="AE28" s="189">
        <f>$K$28*(1+Dados!$C$22)</f>
        <v>9240.4</v>
      </c>
      <c r="AF28" s="189">
        <f>$K$28*(1+Dados!$C$22)</f>
        <v>9240.4</v>
      </c>
      <c r="AG28" s="189">
        <f>$K$28*(1+Dados!$C$22)</f>
        <v>9240.4</v>
      </c>
      <c r="AH28" s="189">
        <f>$K$28*(1+Dados!$C$22)</f>
        <v>9240.4</v>
      </c>
      <c r="AI28" s="189">
        <f>$AH$28*(1+Dados!$C$22)</f>
        <v>9610.0159999999996</v>
      </c>
      <c r="AJ28" s="189">
        <f>$AH$28*(1+Dados!$C$22)</f>
        <v>9610.0159999999996</v>
      </c>
      <c r="AK28" s="189">
        <f>$AH$28*(1+Dados!$C$22)</f>
        <v>9610.0159999999996</v>
      </c>
      <c r="AL28" s="189">
        <f>$AH$28*(1+Dados!$C$22)</f>
        <v>9610.0159999999996</v>
      </c>
      <c r="AM28" s="189">
        <f>$AH$28*(1+Dados!$C$22)</f>
        <v>9610.0159999999996</v>
      </c>
      <c r="AN28" s="189">
        <f>$AH$28*(1+Dados!$C$22)</f>
        <v>9610.0159999999996</v>
      </c>
      <c r="AO28" s="189">
        <f>$AH$28*(1+Dados!$C$22)</f>
        <v>9610.0159999999996</v>
      </c>
      <c r="AP28" s="189">
        <f>$AH$28*(1+Dados!$C$22)</f>
        <v>9610.0159999999996</v>
      </c>
      <c r="AQ28" s="189">
        <f>$AH$28*(1+Dados!$C$22)</f>
        <v>9610.0159999999996</v>
      </c>
      <c r="AR28" s="189">
        <f>$AH$28*(1+Dados!$C$22)</f>
        <v>9610.0159999999996</v>
      </c>
      <c r="AS28" s="189">
        <f>$AH$28*(1+Dados!$C$22)</f>
        <v>9610.0159999999996</v>
      </c>
      <c r="AT28" s="189">
        <f>$AH$28*(1+Dados!$C$22)</f>
        <v>9610.0159999999996</v>
      </c>
      <c r="AU28" s="13"/>
      <c r="AV28" s="13"/>
    </row>
    <row r="29" spans="1:16360" x14ac:dyDescent="0.25">
      <c r="F29" s="17">
        <f t="shared" si="15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16360" ht="47.25" x14ac:dyDescent="0.25">
      <c r="F30" s="17">
        <f t="shared" si="15"/>
        <v>21</v>
      </c>
      <c r="G30" s="31" t="s">
        <v>97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100" t="s">
        <v>98</v>
      </c>
    </row>
    <row r="31" spans="1:16360" x14ac:dyDescent="0.25">
      <c r="F31" s="17">
        <f t="shared" si="15"/>
        <v>22</v>
      </c>
      <c r="G31" s="12" t="s">
        <v>99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114">
        <v>0</v>
      </c>
    </row>
    <row r="32" spans="1:16360" x14ac:dyDescent="0.25">
      <c r="F32" s="17">
        <f t="shared" si="15"/>
        <v>23</v>
      </c>
      <c r="G32" s="12" t="s">
        <v>100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114">
        <f>H96</f>
        <v>126178.957872</v>
      </c>
    </row>
    <row r="33" spans="6:48" x14ac:dyDescent="0.25">
      <c r="F33" s="17">
        <f t="shared" si="15"/>
        <v>24</v>
      </c>
    </row>
    <row r="34" spans="6:48" x14ac:dyDescent="0.25">
      <c r="F34" s="17">
        <f t="shared" si="15"/>
        <v>25</v>
      </c>
      <c r="G34" s="33" t="s">
        <v>101</v>
      </c>
    </row>
    <row r="35" spans="6:48" x14ac:dyDescent="0.25">
      <c r="F35" s="17">
        <f t="shared" si="15"/>
        <v>26</v>
      </c>
      <c r="G35" s="156" t="s">
        <v>102</v>
      </c>
    </row>
    <row r="36" spans="6:48" x14ac:dyDescent="0.25">
      <c r="F36" s="17">
        <f t="shared" si="15"/>
        <v>27</v>
      </c>
      <c r="G36" s="12" t="s">
        <v>103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324.30249999999995</v>
      </c>
      <c r="L36" s="13">
        <f>Tributos!$B$5*SUM(L28)</f>
        <v>324.30249999999995</v>
      </c>
      <c r="M36" s="13">
        <f>Tributos!$B$5*SUM(M28)</f>
        <v>324.30249999999995</v>
      </c>
      <c r="N36" s="13">
        <f>Tributos!$B$5*SUM(N28)</f>
        <v>324.30249999999995</v>
      </c>
      <c r="O36" s="13">
        <f>Tributos!$B$5*SUM(O28)</f>
        <v>324.30249999999995</v>
      </c>
      <c r="P36" s="13">
        <f>Tributos!$B$5*SUM(P28)</f>
        <v>324.30249999999995</v>
      </c>
      <c r="Q36" s="13">
        <f>Tributos!$B$5*SUM(Q28)</f>
        <v>324.30249999999995</v>
      </c>
      <c r="R36" s="13">
        <f>Tributos!$B$5*SUM(R28)</f>
        <v>324.30249999999995</v>
      </c>
      <c r="S36" s="13">
        <f>Tributos!$B$5*SUM(S28)</f>
        <v>324.30249999999995</v>
      </c>
      <c r="T36" s="13">
        <f>Tributos!$B$5*SUM(T28)</f>
        <v>324.30249999999995</v>
      </c>
      <c r="U36" s="13">
        <f>Tributos!$B$5*SUM(U28)</f>
        <v>324.30249999999995</v>
      </c>
      <c r="V36" s="13">
        <f>Tributos!$B$5*SUM(V28)</f>
        <v>324.30249999999995</v>
      </c>
      <c r="W36" s="13">
        <f>Tributos!$B$5*SUM(W28)</f>
        <v>337.27459999999996</v>
      </c>
      <c r="X36" s="13">
        <f>Tributos!$B$5*SUM(X28)</f>
        <v>337.27459999999996</v>
      </c>
      <c r="Y36" s="13">
        <f>Tributos!$B$5*SUM(Y28)</f>
        <v>337.27459999999996</v>
      </c>
      <c r="Z36" s="13">
        <f>Tributos!$B$5*SUM(Z28)</f>
        <v>337.27459999999996</v>
      </c>
      <c r="AA36" s="13">
        <f>Tributos!$B$5*SUM(AA28)</f>
        <v>337.27459999999996</v>
      </c>
      <c r="AB36" s="13">
        <f>Tributos!$B$5*SUM(AB28)</f>
        <v>337.27459999999996</v>
      </c>
      <c r="AC36" s="13">
        <f>Tributos!$B$5*SUM(AC28)</f>
        <v>337.27459999999996</v>
      </c>
      <c r="AD36" s="13">
        <f>Tributos!$B$5*SUM(AD28)</f>
        <v>337.27459999999996</v>
      </c>
      <c r="AE36" s="13">
        <f>Tributos!$B$5*SUM(AE28)</f>
        <v>337.27459999999996</v>
      </c>
      <c r="AF36" s="13">
        <f>Tributos!$B$5*SUM(AF28)</f>
        <v>337.27459999999996</v>
      </c>
      <c r="AG36" s="13">
        <f>Tributos!$B$5*SUM(AG28)</f>
        <v>337.27459999999996</v>
      </c>
      <c r="AH36" s="13">
        <f>Tributos!$B$5*SUM(AH28)</f>
        <v>337.27459999999996</v>
      </c>
      <c r="AI36" s="13">
        <f>Tributos!$B$5*SUM(AI28)</f>
        <v>350.76558399999999</v>
      </c>
      <c r="AJ36" s="13">
        <f>Tributos!$B$5*SUM(AJ28)</f>
        <v>350.76558399999999</v>
      </c>
      <c r="AK36" s="13">
        <f>Tributos!$B$5*SUM(AK28)</f>
        <v>350.76558399999999</v>
      </c>
      <c r="AL36" s="13">
        <f>Tributos!$B$5*SUM(AL28)</f>
        <v>350.76558399999999</v>
      </c>
      <c r="AM36" s="13">
        <f>Tributos!$B$5*SUM(AM28)</f>
        <v>350.76558399999999</v>
      </c>
      <c r="AN36" s="13">
        <f>Tributos!$B$5*SUM(AN28)</f>
        <v>350.76558399999999</v>
      </c>
      <c r="AO36" s="13">
        <f>Tributos!$B$5*SUM(AO28)</f>
        <v>350.76558399999999</v>
      </c>
      <c r="AP36" s="13">
        <f>Tributos!$B$5*SUM(AP28)</f>
        <v>350.76558399999999</v>
      </c>
      <c r="AQ36" s="13">
        <f>Tributos!$B$5*SUM(AQ28)</f>
        <v>350.76558399999999</v>
      </c>
      <c r="AR36" s="13">
        <f>Tributos!$B$5*SUM(AR28)</f>
        <v>350.76558399999999</v>
      </c>
      <c r="AS36" s="13">
        <f>Tributos!$B$5*SUM(AS28)</f>
        <v>350.76558399999999</v>
      </c>
      <c r="AT36" s="13">
        <f>Tributos!$B$5*SUM(AT28)</f>
        <v>350.76558399999999</v>
      </c>
      <c r="AU36" s="13">
        <f>Tributos!$B$5*SUM(AU28)</f>
        <v>0</v>
      </c>
      <c r="AV36" s="13">
        <f>Tributos!$B$5*SUM(AV28)</f>
        <v>0</v>
      </c>
    </row>
    <row r="37" spans="6:48" x14ac:dyDescent="0.25">
      <c r="F37" s="17">
        <f t="shared" si="15"/>
        <v>28</v>
      </c>
    </row>
    <row r="38" spans="6:48" x14ac:dyDescent="0.25">
      <c r="F38" s="17">
        <f t="shared" si="15"/>
        <v>29</v>
      </c>
      <c r="G38" s="160" t="s">
        <v>104</v>
      </c>
    </row>
    <row r="39" spans="6:48" x14ac:dyDescent="0.25">
      <c r="F39" s="17">
        <f t="shared" si="15"/>
        <v>30</v>
      </c>
      <c r="G39" s="31" t="s">
        <v>105</v>
      </c>
    </row>
    <row r="40" spans="6:48" x14ac:dyDescent="0.25">
      <c r="F40" s="17">
        <f t="shared" si="15"/>
        <v>31</v>
      </c>
      <c r="G40" s="12"/>
      <c r="H40" s="25">
        <f t="shared" ref="H40:AS40" si="20">SUM(H28)-H36</f>
        <v>0</v>
      </c>
      <c r="I40" s="25">
        <f t="shared" si="20"/>
        <v>0</v>
      </c>
      <c r="J40" s="25">
        <f t="shared" si="20"/>
        <v>0</v>
      </c>
      <c r="K40" s="25">
        <f t="shared" si="20"/>
        <v>8560.6975000000002</v>
      </c>
      <c r="L40" s="25">
        <f t="shared" si="20"/>
        <v>8560.6975000000002</v>
      </c>
      <c r="M40" s="25">
        <f t="shared" si="20"/>
        <v>8560.6975000000002</v>
      </c>
      <c r="N40" s="25">
        <f t="shared" si="20"/>
        <v>8560.6975000000002</v>
      </c>
      <c r="O40" s="25">
        <f t="shared" si="20"/>
        <v>8560.6975000000002</v>
      </c>
      <c r="P40" s="25">
        <f t="shared" si="20"/>
        <v>8560.6975000000002</v>
      </c>
      <c r="Q40" s="25">
        <f t="shared" si="20"/>
        <v>8560.6975000000002</v>
      </c>
      <c r="R40" s="25">
        <f t="shared" si="20"/>
        <v>8560.6975000000002</v>
      </c>
      <c r="S40" s="25">
        <f t="shared" si="20"/>
        <v>8560.6975000000002</v>
      </c>
      <c r="T40" s="25">
        <f t="shared" si="20"/>
        <v>8560.6975000000002</v>
      </c>
      <c r="U40" s="25">
        <f t="shared" si="20"/>
        <v>8560.6975000000002</v>
      </c>
      <c r="V40" s="25">
        <f t="shared" si="20"/>
        <v>8560.6975000000002</v>
      </c>
      <c r="W40" s="25">
        <f t="shared" si="20"/>
        <v>8903.125399999999</v>
      </c>
      <c r="X40" s="25">
        <f t="shared" si="20"/>
        <v>8903.125399999999</v>
      </c>
      <c r="Y40" s="25">
        <f t="shared" si="20"/>
        <v>8903.125399999999</v>
      </c>
      <c r="Z40" s="25">
        <f t="shared" si="20"/>
        <v>8903.125399999999</v>
      </c>
      <c r="AA40" s="25">
        <f t="shared" si="20"/>
        <v>8903.125399999999</v>
      </c>
      <c r="AB40" s="25">
        <f t="shared" si="20"/>
        <v>8903.125399999999</v>
      </c>
      <c r="AC40" s="25">
        <f t="shared" si="20"/>
        <v>8903.125399999999</v>
      </c>
      <c r="AD40" s="25">
        <f t="shared" si="20"/>
        <v>8903.125399999999</v>
      </c>
      <c r="AE40" s="25">
        <f t="shared" si="20"/>
        <v>8903.125399999999</v>
      </c>
      <c r="AF40" s="25">
        <f t="shared" si="20"/>
        <v>8903.125399999999</v>
      </c>
      <c r="AG40" s="25">
        <f t="shared" si="20"/>
        <v>8903.125399999999</v>
      </c>
      <c r="AH40" s="25">
        <f t="shared" si="20"/>
        <v>8903.125399999999</v>
      </c>
      <c r="AI40" s="25">
        <f t="shared" ref="AI40:AN40" si="21">SUM(AI28)-AI36</f>
        <v>9259.2504159999989</v>
      </c>
      <c r="AJ40" s="25">
        <f t="shared" si="21"/>
        <v>9259.2504159999989</v>
      </c>
      <c r="AK40" s="25">
        <f t="shared" si="21"/>
        <v>9259.2504159999989</v>
      </c>
      <c r="AL40" s="25">
        <f t="shared" si="21"/>
        <v>9259.2504159999989</v>
      </c>
      <c r="AM40" s="25">
        <f t="shared" si="21"/>
        <v>9259.2504159999989</v>
      </c>
      <c r="AN40" s="25">
        <f t="shared" si="21"/>
        <v>9259.2504159999989</v>
      </c>
      <c r="AO40" s="25">
        <f t="shared" si="20"/>
        <v>9259.2504159999989</v>
      </c>
      <c r="AP40" s="25">
        <f t="shared" si="20"/>
        <v>9259.2504159999989</v>
      </c>
      <c r="AQ40" s="25">
        <f t="shared" si="20"/>
        <v>9259.2504159999989</v>
      </c>
      <c r="AR40" s="25">
        <f t="shared" si="20"/>
        <v>9259.2504159999989</v>
      </c>
      <c r="AS40" s="25">
        <f t="shared" si="20"/>
        <v>9259.2504159999989</v>
      </c>
      <c r="AT40" s="25">
        <f>SUM(AT28)-AT36</f>
        <v>9259.2504159999989</v>
      </c>
      <c r="AU40" s="25">
        <f>SUM(AU28)-AU36</f>
        <v>0</v>
      </c>
      <c r="AV40" s="25">
        <f>SUM(AV28)-AV36</f>
        <v>0</v>
      </c>
    </row>
    <row r="41" spans="6:48" x14ac:dyDescent="0.25">
      <c r="F41" s="17">
        <f t="shared" si="15"/>
        <v>32</v>
      </c>
      <c r="G41" s="31" t="s">
        <v>106</v>
      </c>
    </row>
    <row r="42" spans="6:48" x14ac:dyDescent="0.25">
      <c r="F42" s="17">
        <f t="shared" si="15"/>
        <v>33</v>
      </c>
      <c r="G42" s="12"/>
      <c r="H42" s="25">
        <f>SUM(H31:H32)</f>
        <v>0</v>
      </c>
      <c r="I42" s="25">
        <f t="shared" ref="I42:AS42" si="22">SUM(I31:I32)</f>
        <v>0</v>
      </c>
      <c r="J42" s="25">
        <f t="shared" si="22"/>
        <v>0</v>
      </c>
      <c r="K42" s="25">
        <f t="shared" si="22"/>
        <v>0</v>
      </c>
      <c r="L42" s="25">
        <f t="shared" si="22"/>
        <v>0</v>
      </c>
      <c r="M42" s="25">
        <f t="shared" si="22"/>
        <v>0</v>
      </c>
      <c r="N42" s="25">
        <f t="shared" si="22"/>
        <v>0</v>
      </c>
      <c r="O42" s="25">
        <f t="shared" si="22"/>
        <v>0</v>
      </c>
      <c r="P42" s="25">
        <f t="shared" si="22"/>
        <v>0</v>
      </c>
      <c r="Q42" s="25">
        <f t="shared" si="22"/>
        <v>0</v>
      </c>
      <c r="R42" s="25">
        <f t="shared" si="22"/>
        <v>0</v>
      </c>
      <c r="S42" s="25">
        <f t="shared" si="22"/>
        <v>0</v>
      </c>
      <c r="T42" s="25">
        <f t="shared" si="22"/>
        <v>0</v>
      </c>
      <c r="U42" s="25">
        <f t="shared" si="22"/>
        <v>0</v>
      </c>
      <c r="V42" s="25">
        <f t="shared" si="22"/>
        <v>0</v>
      </c>
      <c r="W42" s="25">
        <f t="shared" si="22"/>
        <v>0</v>
      </c>
      <c r="X42" s="25">
        <f t="shared" si="22"/>
        <v>0</v>
      </c>
      <c r="Y42" s="25">
        <f t="shared" si="22"/>
        <v>0</v>
      </c>
      <c r="Z42" s="25">
        <f t="shared" si="22"/>
        <v>0</v>
      </c>
      <c r="AA42" s="25">
        <f t="shared" si="22"/>
        <v>0</v>
      </c>
      <c r="AB42" s="25">
        <f t="shared" si="22"/>
        <v>0</v>
      </c>
      <c r="AC42" s="25">
        <f t="shared" si="22"/>
        <v>0</v>
      </c>
      <c r="AD42" s="25">
        <f t="shared" si="22"/>
        <v>0</v>
      </c>
      <c r="AE42" s="25">
        <f t="shared" si="22"/>
        <v>0</v>
      </c>
      <c r="AF42" s="25">
        <f t="shared" si="22"/>
        <v>0</v>
      </c>
      <c r="AG42" s="25">
        <f t="shared" si="22"/>
        <v>0</v>
      </c>
      <c r="AH42" s="25">
        <f t="shared" si="22"/>
        <v>0</v>
      </c>
      <c r="AI42" s="25">
        <f t="shared" ref="AI42:AN42" si="23">SUM(AI31:AI32)</f>
        <v>0</v>
      </c>
      <c r="AJ42" s="25">
        <f t="shared" si="23"/>
        <v>0</v>
      </c>
      <c r="AK42" s="25">
        <f t="shared" si="23"/>
        <v>0</v>
      </c>
      <c r="AL42" s="25">
        <f t="shared" si="23"/>
        <v>0</v>
      </c>
      <c r="AM42" s="25">
        <f t="shared" si="23"/>
        <v>0</v>
      </c>
      <c r="AN42" s="25">
        <f t="shared" si="23"/>
        <v>0</v>
      </c>
      <c r="AO42" s="25">
        <f t="shared" si="22"/>
        <v>0</v>
      </c>
      <c r="AP42" s="25">
        <f t="shared" si="22"/>
        <v>0</v>
      </c>
      <c r="AQ42" s="25">
        <f t="shared" si="22"/>
        <v>0</v>
      </c>
      <c r="AR42" s="25">
        <f t="shared" si="22"/>
        <v>0</v>
      </c>
      <c r="AS42" s="25">
        <f t="shared" si="22"/>
        <v>0</v>
      </c>
      <c r="AT42" s="25">
        <f>SUM(AT31:AT32)</f>
        <v>0</v>
      </c>
      <c r="AU42" s="25">
        <f>SUM(AU31:AU32)</f>
        <v>0</v>
      </c>
      <c r="AV42" s="25">
        <f>SUM(AV31:AV32)</f>
        <v>126178.957872</v>
      </c>
    </row>
    <row r="43" spans="6:48" x14ac:dyDescent="0.25">
      <c r="F43" s="17">
        <f t="shared" si="15"/>
        <v>34</v>
      </c>
    </row>
    <row r="44" spans="6:48" x14ac:dyDescent="0.25">
      <c r="F44" s="17">
        <f t="shared" si="15"/>
        <v>35</v>
      </c>
      <c r="G44" s="32" t="s">
        <v>107</v>
      </c>
    </row>
    <row r="45" spans="6:48" x14ac:dyDescent="0.25">
      <c r="F45" s="17">
        <f t="shared" si="15"/>
        <v>36</v>
      </c>
      <c r="G45" s="27"/>
      <c r="H45" s="27">
        <f>H28-H13-H11</f>
        <v>0</v>
      </c>
      <c r="I45" s="27">
        <f t="shared" ref="I45:AS45" si="24">I28-I13-I11</f>
        <v>-14803.031039300608</v>
      </c>
      <c r="J45" s="27">
        <f t="shared" si="24"/>
        <v>-9881.681039300609</v>
      </c>
      <c r="K45" s="27">
        <f t="shared" si="24"/>
        <v>-996.68103930060897</v>
      </c>
      <c r="L45" s="27">
        <f t="shared" si="24"/>
        <v>-996.68103930060897</v>
      </c>
      <c r="M45" s="27">
        <f t="shared" si="24"/>
        <v>-996.68103930060897</v>
      </c>
      <c r="N45" s="27">
        <f t="shared" si="24"/>
        <v>-996.68103930060897</v>
      </c>
      <c r="O45" s="27">
        <f t="shared" si="24"/>
        <v>-996.68103930060897</v>
      </c>
      <c r="P45" s="27">
        <f t="shared" si="24"/>
        <v>-996.68103930060897</v>
      </c>
      <c r="Q45" s="27">
        <f t="shared" si="24"/>
        <v>-996.68103930060897</v>
      </c>
      <c r="R45" s="27">
        <f t="shared" si="24"/>
        <v>-996.68103930060897</v>
      </c>
      <c r="S45" s="27">
        <f t="shared" si="24"/>
        <v>-996.68103930060897</v>
      </c>
      <c r="T45" s="27">
        <f t="shared" si="24"/>
        <v>-996.68103930060897</v>
      </c>
      <c r="U45" s="27">
        <f t="shared" si="24"/>
        <v>-5468.0310393006084</v>
      </c>
      <c r="V45" s="27">
        <f t="shared" si="24"/>
        <v>-996.68103930060897</v>
      </c>
      <c r="W45" s="27">
        <f t="shared" si="24"/>
        <v>-641.28103930060934</v>
      </c>
      <c r="X45" s="27">
        <f t="shared" si="24"/>
        <v>-641.28103930060934</v>
      </c>
      <c r="Y45" s="27">
        <f t="shared" si="24"/>
        <v>-641.28103930060934</v>
      </c>
      <c r="Z45" s="27">
        <f t="shared" si="24"/>
        <v>-641.28103930060934</v>
      </c>
      <c r="AA45" s="27">
        <f t="shared" si="24"/>
        <v>-641.28103930060934</v>
      </c>
      <c r="AB45" s="27">
        <f t="shared" si="24"/>
        <v>-641.28103930060934</v>
      </c>
      <c r="AC45" s="27">
        <f t="shared" si="24"/>
        <v>-641.28103930060934</v>
      </c>
      <c r="AD45" s="27">
        <f t="shared" si="24"/>
        <v>-641.28103930060934</v>
      </c>
      <c r="AE45" s="27">
        <f t="shared" si="24"/>
        <v>-641.28103930060934</v>
      </c>
      <c r="AF45" s="27">
        <f t="shared" si="24"/>
        <v>-641.28103930060934</v>
      </c>
      <c r="AG45" s="27">
        <f t="shared" si="24"/>
        <v>-4464.4285393006094</v>
      </c>
      <c r="AH45" s="27">
        <f t="shared" si="24"/>
        <v>-641.28103930060934</v>
      </c>
      <c r="AI45" s="27">
        <f t="shared" ref="AI45:AN45" si="25">AI28-AI13-AI11</f>
        <v>-271.66503930060935</v>
      </c>
      <c r="AJ45" s="27">
        <f t="shared" si="25"/>
        <v>-271.66503930060935</v>
      </c>
      <c r="AK45" s="27">
        <f t="shared" si="25"/>
        <v>-271.66503930060935</v>
      </c>
      <c r="AL45" s="27">
        <f t="shared" si="25"/>
        <v>-271.66503930060935</v>
      </c>
      <c r="AM45" s="27">
        <f t="shared" si="25"/>
        <v>-271.66503930060935</v>
      </c>
      <c r="AN45" s="27">
        <f t="shared" si="25"/>
        <v>-271.66503930060935</v>
      </c>
      <c r="AO45" s="27">
        <f t="shared" si="24"/>
        <v>-271.66503930060935</v>
      </c>
      <c r="AP45" s="27">
        <f t="shared" si="24"/>
        <v>-271.66503930060935</v>
      </c>
      <c r="AQ45" s="27">
        <f t="shared" si="24"/>
        <v>-271.66503930060935</v>
      </c>
      <c r="AR45" s="27">
        <f t="shared" si="24"/>
        <v>-271.66503930060935</v>
      </c>
      <c r="AS45" s="27">
        <f t="shared" si="24"/>
        <v>6337.8406249999998</v>
      </c>
      <c r="AT45" s="27">
        <f>AT28-AT13-AT11</f>
        <v>9610.0159999999996</v>
      </c>
      <c r="AU45" s="27">
        <f>AU28-AU13-AU11</f>
        <v>0</v>
      </c>
      <c r="AV45" s="27">
        <f>AV28-AV13-AV11</f>
        <v>0</v>
      </c>
    </row>
    <row r="46" spans="6:48" x14ac:dyDescent="0.25">
      <c r="F46" s="17">
        <f t="shared" si="15"/>
        <v>37</v>
      </c>
    </row>
    <row r="47" spans="6:48" x14ac:dyDescent="0.25">
      <c r="F47" s="17">
        <f t="shared" si="15"/>
        <v>38</v>
      </c>
    </row>
    <row r="48" spans="6:48" x14ac:dyDescent="0.25">
      <c r="F48" s="17">
        <f t="shared" si="15"/>
        <v>39</v>
      </c>
      <c r="G48" s="33" t="s">
        <v>108</v>
      </c>
    </row>
    <row r="49" spans="6:50" x14ac:dyDescent="0.25">
      <c r="F49" s="17">
        <f t="shared" si="15"/>
        <v>40</v>
      </c>
      <c r="G49" s="33" t="s">
        <v>109</v>
      </c>
    </row>
    <row r="50" spans="6:50" x14ac:dyDescent="0.25">
      <c r="F50" s="17">
        <f t="shared" si="15"/>
        <v>41</v>
      </c>
      <c r="G50" s="27" t="s">
        <v>110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426.48</v>
      </c>
      <c r="L50" s="27">
        <f>Tributos!$B$8*SUM(Cashflow!L28)*32%</f>
        <v>426.48</v>
      </c>
      <c r="M50" s="27">
        <f>Tributos!$B$8*SUM(Cashflow!M28)*32%</f>
        <v>426.48</v>
      </c>
      <c r="N50" s="27">
        <f>Tributos!$B$8*SUM(Cashflow!N28)*32%</f>
        <v>426.48</v>
      </c>
      <c r="O50" s="27">
        <f>Tributos!$B$8*SUM(Cashflow!O28)*32%</f>
        <v>426.48</v>
      </c>
      <c r="P50" s="27">
        <f>Tributos!$B$8*SUM(Cashflow!P28)*32%</f>
        <v>426.48</v>
      </c>
      <c r="Q50" s="27">
        <f>Tributos!$B$8*SUM(Cashflow!Q28)*32%</f>
        <v>426.48</v>
      </c>
      <c r="R50" s="27">
        <f>Tributos!$B$8*SUM(Cashflow!R28)*32%</f>
        <v>426.48</v>
      </c>
      <c r="S50" s="27">
        <f>Tributos!$B$8*SUM(Cashflow!S28)*32%</f>
        <v>426.48</v>
      </c>
      <c r="T50" s="27">
        <f>Tributos!$B$8*SUM(Cashflow!T28)*32%</f>
        <v>426.48</v>
      </c>
      <c r="U50" s="27">
        <f>Tributos!$B$8*SUM(Cashflow!U28)*32%</f>
        <v>426.48</v>
      </c>
      <c r="V50" s="27">
        <f>Tributos!$B$8*SUM(Cashflow!V28)*32%</f>
        <v>426.48</v>
      </c>
      <c r="W50" s="27">
        <f>Tributos!$B$8*SUM(Cashflow!W28)*32%</f>
        <v>443.53919999999999</v>
      </c>
      <c r="X50" s="27">
        <f>Tributos!$B$8*SUM(Cashflow!X28)*32%</f>
        <v>443.53919999999999</v>
      </c>
      <c r="Y50" s="27">
        <f>Tributos!$B$8*SUM(Cashflow!Y28)*32%</f>
        <v>443.53919999999999</v>
      </c>
      <c r="Z50" s="27">
        <f>Tributos!$B$8*SUM(Cashflow!Z28)*32%</f>
        <v>443.53919999999999</v>
      </c>
      <c r="AA50" s="27">
        <f>Tributos!$B$8*SUM(Cashflow!AA28)*32%</f>
        <v>443.53919999999999</v>
      </c>
      <c r="AB50" s="27">
        <f>Tributos!$B$8*SUM(Cashflow!AB28)*32%</f>
        <v>443.53919999999999</v>
      </c>
      <c r="AC50" s="27">
        <f>Tributos!$B$8*SUM(Cashflow!AC28)*32%</f>
        <v>443.53919999999999</v>
      </c>
      <c r="AD50" s="27">
        <f>Tributos!$B$8*SUM(Cashflow!AD28)*32%</f>
        <v>443.53919999999999</v>
      </c>
      <c r="AE50" s="27">
        <f>Tributos!$B$8*SUM(Cashflow!AE28)*32%</f>
        <v>443.53919999999999</v>
      </c>
      <c r="AF50" s="27">
        <f>Tributos!$B$8*SUM(Cashflow!AF28)*32%</f>
        <v>443.53919999999999</v>
      </c>
      <c r="AG50" s="27">
        <f>Tributos!$B$8*SUM(Cashflow!AG28)*32%</f>
        <v>443.53919999999999</v>
      </c>
      <c r="AH50" s="27">
        <f>Tributos!$B$8*SUM(Cashflow!AH28)*32%</f>
        <v>443.53919999999999</v>
      </c>
      <c r="AI50" s="27">
        <f>Tributos!$B$8*SUM(Cashflow!AI28)*32%</f>
        <v>461.28076799999997</v>
      </c>
      <c r="AJ50" s="27">
        <f>Tributos!$B$8*SUM(Cashflow!AJ28)*32%</f>
        <v>461.28076799999997</v>
      </c>
      <c r="AK50" s="27">
        <f>Tributos!$B$8*SUM(Cashflow!AK28)*32%</f>
        <v>461.28076799999997</v>
      </c>
      <c r="AL50" s="27">
        <f>Tributos!$B$8*SUM(Cashflow!AL28)*32%</f>
        <v>461.28076799999997</v>
      </c>
      <c r="AM50" s="27">
        <f>Tributos!$B$8*SUM(Cashflow!AM28)*32%</f>
        <v>461.28076799999997</v>
      </c>
      <c r="AN50" s="27">
        <f>Tributos!$B$8*SUM(Cashflow!AN28)*32%</f>
        <v>461.28076799999997</v>
      </c>
      <c r="AO50" s="27">
        <f>Tributos!$B$8*SUM(Cashflow!AO28)*32%</f>
        <v>461.28076799999997</v>
      </c>
      <c r="AP50" s="27">
        <f>Tributos!$B$8*SUM(Cashflow!AP28)*32%</f>
        <v>461.28076799999997</v>
      </c>
      <c r="AQ50" s="27">
        <f>Tributos!$B$8*SUM(Cashflow!AQ28)*32%</f>
        <v>461.28076799999997</v>
      </c>
      <c r="AR50" s="27">
        <f>Tributos!$B$8*SUM(Cashflow!AR28)*32%</f>
        <v>461.28076799999997</v>
      </c>
      <c r="AS50" s="27">
        <f>Tributos!$B$8*SUM(Cashflow!AS28)*32%</f>
        <v>461.28076799999997</v>
      </c>
      <c r="AT50" s="27">
        <f>Tributos!$B$8*SUM(Cashflow!AT28)*32%</f>
        <v>461.28076799999997</v>
      </c>
      <c r="AU50" s="27">
        <f>Tributos!$B$8*SUM(Cashflow!AU28)*32%</f>
        <v>0</v>
      </c>
      <c r="AV50" s="27">
        <f>Tributos!$B$8*SUM(Cashflow!AV28)*32%</f>
        <v>0</v>
      </c>
    </row>
    <row r="51" spans="6:50" x14ac:dyDescent="0.25">
      <c r="F51" s="17">
        <f t="shared" si="15"/>
        <v>42</v>
      </c>
      <c r="G51" s="27" t="s">
        <v>111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255.88800000000001</v>
      </c>
      <c r="L51" s="27">
        <f>Tributos!$B$9*SUM(Cashflow!L28)*32%</f>
        <v>255.88800000000001</v>
      </c>
      <c r="M51" s="27">
        <f>Tributos!$B$9*SUM(Cashflow!M28)*32%</f>
        <v>255.88800000000001</v>
      </c>
      <c r="N51" s="27">
        <f>Tributos!$B$9*SUM(Cashflow!N28)*32%</f>
        <v>255.88800000000001</v>
      </c>
      <c r="O51" s="27">
        <f>Tributos!$B$9*SUM(Cashflow!O28)*32%</f>
        <v>255.88800000000001</v>
      </c>
      <c r="P51" s="27">
        <f>Tributos!$B$9*SUM(Cashflow!P28)*32%</f>
        <v>255.88800000000001</v>
      </c>
      <c r="Q51" s="27">
        <f>Tributos!$B$9*SUM(Cashflow!Q28)*32%</f>
        <v>255.88800000000001</v>
      </c>
      <c r="R51" s="27">
        <f>Tributos!$B$9*SUM(Cashflow!R28)*32%</f>
        <v>255.88800000000001</v>
      </c>
      <c r="S51" s="27">
        <f>Tributos!$B$9*SUM(Cashflow!S28)*32%</f>
        <v>255.88800000000001</v>
      </c>
      <c r="T51" s="27">
        <f>Tributos!$B$9*SUM(Cashflow!T28)*32%</f>
        <v>255.88800000000001</v>
      </c>
      <c r="U51" s="27">
        <f>Tributos!$B$9*SUM(Cashflow!U28)*32%</f>
        <v>255.88800000000001</v>
      </c>
      <c r="V51" s="27">
        <f>Tributos!$B$9*SUM(Cashflow!V28)*32%</f>
        <v>255.88800000000001</v>
      </c>
      <c r="W51" s="27">
        <f>Tributos!$B$9*SUM(Cashflow!W28)*32%</f>
        <v>266.12351999999998</v>
      </c>
      <c r="X51" s="27">
        <f>Tributos!$B$9*SUM(Cashflow!X28)*32%</f>
        <v>266.12351999999998</v>
      </c>
      <c r="Y51" s="27">
        <f>Tributos!$B$9*SUM(Cashflow!Y28)*32%</f>
        <v>266.12351999999998</v>
      </c>
      <c r="Z51" s="27">
        <f>Tributos!$B$9*SUM(Cashflow!Z28)*32%</f>
        <v>266.12351999999998</v>
      </c>
      <c r="AA51" s="27">
        <f>Tributos!$B$9*SUM(Cashflow!AA28)*32%</f>
        <v>266.12351999999998</v>
      </c>
      <c r="AB51" s="27">
        <f>Tributos!$B$9*SUM(Cashflow!AB28)*32%</f>
        <v>266.12351999999998</v>
      </c>
      <c r="AC51" s="27">
        <f>Tributos!$B$9*SUM(Cashflow!AC28)*32%</f>
        <v>266.12351999999998</v>
      </c>
      <c r="AD51" s="27">
        <f>Tributos!$B$9*SUM(Cashflow!AD28)*32%</f>
        <v>266.12351999999998</v>
      </c>
      <c r="AE51" s="27">
        <f>Tributos!$B$9*SUM(Cashflow!AE28)*32%</f>
        <v>266.12351999999998</v>
      </c>
      <c r="AF51" s="27">
        <f>Tributos!$B$9*SUM(Cashflow!AF28)*32%</f>
        <v>266.12351999999998</v>
      </c>
      <c r="AG51" s="27">
        <f>Tributos!$B$9*SUM(Cashflow!AG28)*32%</f>
        <v>266.12351999999998</v>
      </c>
      <c r="AH51" s="27">
        <f>Tributos!$B$9*SUM(Cashflow!AH28)*32%</f>
        <v>266.12351999999998</v>
      </c>
      <c r="AI51" s="27">
        <f>Tributos!$B$9*SUM(Cashflow!AI28)*32%</f>
        <v>276.76846080000001</v>
      </c>
      <c r="AJ51" s="27">
        <f>Tributos!$B$9*SUM(Cashflow!AJ28)*32%</f>
        <v>276.76846080000001</v>
      </c>
      <c r="AK51" s="27">
        <f>Tributos!$B$9*SUM(Cashflow!AK28)*32%</f>
        <v>276.76846080000001</v>
      </c>
      <c r="AL51" s="27">
        <f>Tributos!$B$9*SUM(Cashflow!AL28)*32%</f>
        <v>276.76846080000001</v>
      </c>
      <c r="AM51" s="27">
        <f>Tributos!$B$9*SUM(Cashflow!AM28)*32%</f>
        <v>276.76846080000001</v>
      </c>
      <c r="AN51" s="27">
        <f>Tributos!$B$9*SUM(Cashflow!AN28)*32%</f>
        <v>276.76846080000001</v>
      </c>
      <c r="AO51" s="27">
        <f>Tributos!$B$9*SUM(Cashflow!AO28)*32%</f>
        <v>276.76846080000001</v>
      </c>
      <c r="AP51" s="27">
        <f>Tributos!$B$9*SUM(Cashflow!AP28)*32%</f>
        <v>276.76846080000001</v>
      </c>
      <c r="AQ51" s="27">
        <f>Tributos!$B$9*SUM(Cashflow!AQ28)*32%</f>
        <v>276.76846080000001</v>
      </c>
      <c r="AR51" s="27">
        <f>Tributos!$B$9*SUM(Cashflow!AR28)*32%</f>
        <v>276.76846080000001</v>
      </c>
      <c r="AS51" s="27">
        <f>Tributos!$B$9*SUM(Cashflow!AS28)*32%</f>
        <v>276.76846080000001</v>
      </c>
      <c r="AT51" s="27">
        <f>Tributos!$B$9*SUM(Cashflow!AT28)*32%</f>
        <v>276.76846080000001</v>
      </c>
      <c r="AU51" s="27">
        <f>Tributos!$B$9*SUM(Cashflow!AU28)*32%</f>
        <v>0</v>
      </c>
      <c r="AV51" s="27">
        <f>Tributos!$B$9*SUM(Cashflow!AV28)*32%</f>
        <v>0</v>
      </c>
    </row>
    <row r="52" spans="6:50" x14ac:dyDescent="0.25">
      <c r="F52" s="17">
        <f t="shared" si="15"/>
        <v>43</v>
      </c>
      <c r="G52" s="33" t="s">
        <v>112</v>
      </c>
    </row>
    <row r="53" spans="6:50" x14ac:dyDescent="0.25">
      <c r="F53" s="17">
        <f t="shared" si="15"/>
        <v>44</v>
      </c>
      <c r="G53" s="27" t="s">
        <v>113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196"/>
    </row>
    <row r="54" spans="6:50" x14ac:dyDescent="0.25">
      <c r="F54" s="17">
        <f t="shared" si="15"/>
        <v>45</v>
      </c>
      <c r="G54" s="27" t="s">
        <v>114</v>
      </c>
      <c r="H54" s="27">
        <f>H28*3.2%</f>
        <v>0</v>
      </c>
      <c r="I54" s="27">
        <f t="shared" ref="I54:AS54" si="26">I28*3.2%</f>
        <v>0</v>
      </c>
      <c r="J54" s="27">
        <f t="shared" si="26"/>
        <v>0</v>
      </c>
      <c r="K54" s="27">
        <f t="shared" si="26"/>
        <v>284.32</v>
      </c>
      <c r="L54" s="27">
        <f t="shared" si="26"/>
        <v>284.32</v>
      </c>
      <c r="M54" s="27">
        <f t="shared" si="26"/>
        <v>284.32</v>
      </c>
      <c r="N54" s="27">
        <f t="shared" si="26"/>
        <v>284.32</v>
      </c>
      <c r="O54" s="27">
        <f t="shared" si="26"/>
        <v>284.32</v>
      </c>
      <c r="P54" s="27">
        <f t="shared" si="26"/>
        <v>284.32</v>
      </c>
      <c r="Q54" s="27">
        <f t="shared" si="26"/>
        <v>284.32</v>
      </c>
      <c r="R54" s="27">
        <f t="shared" si="26"/>
        <v>284.32</v>
      </c>
      <c r="S54" s="27">
        <f t="shared" si="26"/>
        <v>284.32</v>
      </c>
      <c r="T54" s="27">
        <f t="shared" si="26"/>
        <v>284.32</v>
      </c>
      <c r="U54" s="27">
        <f t="shared" si="26"/>
        <v>284.32</v>
      </c>
      <c r="V54" s="27">
        <f t="shared" si="26"/>
        <v>284.32</v>
      </c>
      <c r="W54" s="27">
        <f t="shared" si="26"/>
        <v>295.69279999999998</v>
      </c>
      <c r="X54" s="27">
        <f t="shared" si="26"/>
        <v>295.69279999999998</v>
      </c>
      <c r="Y54" s="27">
        <f t="shared" si="26"/>
        <v>295.69279999999998</v>
      </c>
      <c r="Z54" s="27">
        <f t="shared" si="26"/>
        <v>295.69279999999998</v>
      </c>
      <c r="AA54" s="27">
        <f t="shared" si="26"/>
        <v>295.69279999999998</v>
      </c>
      <c r="AB54" s="27">
        <f t="shared" si="26"/>
        <v>295.69279999999998</v>
      </c>
      <c r="AC54" s="27">
        <f t="shared" si="26"/>
        <v>295.69279999999998</v>
      </c>
      <c r="AD54" s="27">
        <f t="shared" si="26"/>
        <v>295.69279999999998</v>
      </c>
      <c r="AE54" s="27">
        <f t="shared" si="26"/>
        <v>295.69279999999998</v>
      </c>
      <c r="AF54" s="27">
        <f t="shared" si="26"/>
        <v>295.69279999999998</v>
      </c>
      <c r="AG54" s="27">
        <f t="shared" si="26"/>
        <v>295.69279999999998</v>
      </c>
      <c r="AH54" s="27">
        <f t="shared" si="26"/>
        <v>295.69279999999998</v>
      </c>
      <c r="AI54" s="27">
        <f t="shared" si="26"/>
        <v>307.520512</v>
      </c>
      <c r="AJ54" s="27">
        <f t="shared" si="26"/>
        <v>307.520512</v>
      </c>
      <c r="AK54" s="27">
        <f t="shared" si="26"/>
        <v>307.520512</v>
      </c>
      <c r="AL54" s="27">
        <f t="shared" si="26"/>
        <v>307.520512</v>
      </c>
      <c r="AM54" s="27">
        <f t="shared" si="26"/>
        <v>307.520512</v>
      </c>
      <c r="AN54" s="27">
        <f t="shared" si="26"/>
        <v>307.520512</v>
      </c>
      <c r="AO54" s="27">
        <f t="shared" si="26"/>
        <v>307.520512</v>
      </c>
      <c r="AP54" s="27">
        <f t="shared" si="26"/>
        <v>307.520512</v>
      </c>
      <c r="AQ54" s="27">
        <f t="shared" si="26"/>
        <v>307.520512</v>
      </c>
      <c r="AR54" s="27">
        <f t="shared" si="26"/>
        <v>307.520512</v>
      </c>
      <c r="AS54" s="27">
        <f t="shared" si="26"/>
        <v>307.520512</v>
      </c>
      <c r="AT54" s="27">
        <f>AT28*3.2%</f>
        <v>307.520512</v>
      </c>
      <c r="AU54" s="27">
        <f>AU28*3.2%</f>
        <v>0</v>
      </c>
      <c r="AV54" s="196"/>
    </row>
    <row r="55" spans="6:50" x14ac:dyDescent="0.25">
      <c r="F55" s="17"/>
      <c r="G55" s="27" t="s">
        <v>103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196"/>
    </row>
    <row r="56" spans="6:50" x14ac:dyDescent="0.25">
      <c r="F56" s="17">
        <f>F54+1</f>
        <v>46</v>
      </c>
      <c r="G56" s="27" t="s">
        <v>115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196"/>
    </row>
    <row r="57" spans="6:50" x14ac:dyDescent="0.25">
      <c r="F57" s="17">
        <f>F56+1</f>
        <v>47</v>
      </c>
    </row>
    <row r="58" spans="6:50" x14ac:dyDescent="0.25">
      <c r="F58" s="17">
        <f t="shared" si="15"/>
        <v>48</v>
      </c>
      <c r="G58" s="165" t="s">
        <v>116</v>
      </c>
    </row>
    <row r="59" spans="6:50" x14ac:dyDescent="0.25">
      <c r="F59" s="17">
        <f t="shared" si="15"/>
        <v>49</v>
      </c>
      <c r="G59" s="27" t="s">
        <v>117</v>
      </c>
      <c r="H59" s="27">
        <f>H45-H50-H51-H54</f>
        <v>0</v>
      </c>
      <c r="I59" s="27">
        <f t="shared" ref="I59:AS59" si="27">I45-I50-I51-I54</f>
        <v>-14803.031039300608</v>
      </c>
      <c r="J59" s="27">
        <f t="shared" si="27"/>
        <v>-9881.681039300609</v>
      </c>
      <c r="K59" s="27">
        <f t="shared" si="27"/>
        <v>-1963.3690393006088</v>
      </c>
      <c r="L59" s="27">
        <f t="shared" si="27"/>
        <v>-1963.3690393006088</v>
      </c>
      <c r="M59" s="27">
        <f t="shared" si="27"/>
        <v>-1963.3690393006088</v>
      </c>
      <c r="N59" s="27">
        <f t="shared" si="27"/>
        <v>-1963.3690393006088</v>
      </c>
      <c r="O59" s="27">
        <f t="shared" si="27"/>
        <v>-1963.3690393006088</v>
      </c>
      <c r="P59" s="27">
        <f t="shared" si="27"/>
        <v>-1963.3690393006088</v>
      </c>
      <c r="Q59" s="27">
        <f t="shared" si="27"/>
        <v>-1963.3690393006088</v>
      </c>
      <c r="R59" s="27">
        <f t="shared" si="27"/>
        <v>-1963.3690393006088</v>
      </c>
      <c r="S59" s="27">
        <f t="shared" si="27"/>
        <v>-1963.3690393006088</v>
      </c>
      <c r="T59" s="27">
        <f t="shared" si="27"/>
        <v>-1963.3690393006088</v>
      </c>
      <c r="U59" s="27">
        <f t="shared" si="27"/>
        <v>-6434.7190393006085</v>
      </c>
      <c r="V59" s="27">
        <f t="shared" si="27"/>
        <v>-1963.3690393006088</v>
      </c>
      <c r="W59" s="27">
        <f t="shared" si="27"/>
        <v>-1646.6365593006092</v>
      </c>
      <c r="X59" s="27">
        <f t="shared" si="27"/>
        <v>-1646.6365593006092</v>
      </c>
      <c r="Y59" s="27">
        <f t="shared" si="27"/>
        <v>-1646.6365593006092</v>
      </c>
      <c r="Z59" s="27">
        <f t="shared" si="27"/>
        <v>-1646.6365593006092</v>
      </c>
      <c r="AA59" s="27">
        <f t="shared" si="27"/>
        <v>-1646.6365593006092</v>
      </c>
      <c r="AB59" s="27">
        <f t="shared" si="27"/>
        <v>-1646.6365593006092</v>
      </c>
      <c r="AC59" s="27">
        <f t="shared" si="27"/>
        <v>-1646.6365593006092</v>
      </c>
      <c r="AD59" s="27">
        <f t="shared" si="27"/>
        <v>-1646.6365593006092</v>
      </c>
      <c r="AE59" s="27">
        <f t="shared" si="27"/>
        <v>-1646.6365593006092</v>
      </c>
      <c r="AF59" s="27">
        <f t="shared" si="27"/>
        <v>-1646.6365593006092</v>
      </c>
      <c r="AG59" s="27">
        <f t="shared" si="27"/>
        <v>-5469.7840593006094</v>
      </c>
      <c r="AH59" s="27">
        <f t="shared" si="27"/>
        <v>-1646.6365593006092</v>
      </c>
      <c r="AI59" s="27">
        <f t="shared" si="27"/>
        <v>-1317.2347801006094</v>
      </c>
      <c r="AJ59" s="27">
        <f t="shared" si="27"/>
        <v>-1317.2347801006094</v>
      </c>
      <c r="AK59" s="27">
        <f t="shared" si="27"/>
        <v>-1317.2347801006094</v>
      </c>
      <c r="AL59" s="27">
        <f t="shared" si="27"/>
        <v>-1317.2347801006094</v>
      </c>
      <c r="AM59" s="27">
        <f t="shared" si="27"/>
        <v>-1317.2347801006094</v>
      </c>
      <c r="AN59" s="27">
        <f t="shared" si="27"/>
        <v>-1317.2347801006094</v>
      </c>
      <c r="AO59" s="27">
        <f t="shared" si="27"/>
        <v>-1317.2347801006094</v>
      </c>
      <c r="AP59" s="27">
        <f t="shared" si="27"/>
        <v>-1317.2347801006094</v>
      </c>
      <c r="AQ59" s="27">
        <f t="shared" si="27"/>
        <v>-1317.2347801006094</v>
      </c>
      <c r="AR59" s="27">
        <f t="shared" si="27"/>
        <v>-1317.2347801006094</v>
      </c>
      <c r="AS59" s="27">
        <f t="shared" si="27"/>
        <v>5292.2708842000002</v>
      </c>
      <c r="AT59" s="27">
        <f>AT45-AT50-AT51-AT54</f>
        <v>8564.4462592</v>
      </c>
      <c r="AU59" s="27">
        <f>AU45-AU50-AU51-AU54</f>
        <v>0</v>
      </c>
      <c r="AV59" s="27">
        <f>AV45-AV50-AV51-AV54</f>
        <v>0</v>
      </c>
    </row>
    <row r="60" spans="6:50" x14ac:dyDescent="0.25">
      <c r="F60" s="17">
        <f t="shared" si="15"/>
        <v>50</v>
      </c>
      <c r="G60" s="27" t="s">
        <v>118</v>
      </c>
      <c r="H60" s="27">
        <f t="shared" ref="H60:U60" si="28">H42-H53-H54-H56</f>
        <v>0</v>
      </c>
      <c r="I60" s="27">
        <f t="shared" si="28"/>
        <v>0</v>
      </c>
      <c r="J60" s="27">
        <f t="shared" si="28"/>
        <v>0</v>
      </c>
      <c r="K60" s="27">
        <f t="shared" si="28"/>
        <v>-284.32</v>
      </c>
      <c r="L60" s="27">
        <f t="shared" si="28"/>
        <v>-284.32</v>
      </c>
      <c r="M60" s="27">
        <f t="shared" si="28"/>
        <v>-284.32</v>
      </c>
      <c r="N60" s="27">
        <f t="shared" si="28"/>
        <v>-284.32</v>
      </c>
      <c r="O60" s="27">
        <f t="shared" si="28"/>
        <v>-284.32</v>
      </c>
      <c r="P60" s="27">
        <f t="shared" si="28"/>
        <v>-284.32</v>
      </c>
      <c r="Q60" s="27">
        <f t="shared" si="28"/>
        <v>-284.32</v>
      </c>
      <c r="R60" s="27">
        <f t="shared" si="28"/>
        <v>-284.32</v>
      </c>
      <c r="S60" s="27">
        <f t="shared" si="28"/>
        <v>-284.32</v>
      </c>
      <c r="T60" s="27">
        <f t="shared" si="28"/>
        <v>-284.32</v>
      </c>
      <c r="U60" s="27">
        <f t="shared" si="28"/>
        <v>-284.32</v>
      </c>
      <c r="V60" s="27">
        <f t="shared" ref="V60:AS60" si="29">V42-V53-V54-V56</f>
        <v>-284.32</v>
      </c>
      <c r="W60" s="27">
        <f t="shared" si="29"/>
        <v>-295.69279999999998</v>
      </c>
      <c r="X60" s="27">
        <f t="shared" si="29"/>
        <v>-295.69279999999998</v>
      </c>
      <c r="Y60" s="27">
        <f t="shared" si="29"/>
        <v>-295.69279999999998</v>
      </c>
      <c r="Z60" s="27">
        <f t="shared" si="29"/>
        <v>-295.69279999999998</v>
      </c>
      <c r="AA60" s="27">
        <f t="shared" si="29"/>
        <v>-295.69279999999998</v>
      </c>
      <c r="AB60" s="27">
        <f t="shared" si="29"/>
        <v>-295.69279999999998</v>
      </c>
      <c r="AC60" s="27">
        <f t="shared" si="29"/>
        <v>-295.69279999999998</v>
      </c>
      <c r="AD60" s="27">
        <f t="shared" si="29"/>
        <v>-295.69279999999998</v>
      </c>
      <c r="AE60" s="27">
        <f t="shared" si="29"/>
        <v>-295.69279999999998</v>
      </c>
      <c r="AF60" s="27">
        <f t="shared" si="29"/>
        <v>-295.69279999999998</v>
      </c>
      <c r="AG60" s="27">
        <f t="shared" si="29"/>
        <v>-295.69279999999998</v>
      </c>
      <c r="AH60" s="27">
        <f t="shared" si="29"/>
        <v>-295.69279999999998</v>
      </c>
      <c r="AI60" s="27">
        <f t="shared" ref="AI60:AN60" si="30">AI42-AI53-AI54-AI56</f>
        <v>-307.520512</v>
      </c>
      <c r="AJ60" s="27">
        <f t="shared" si="30"/>
        <v>-307.520512</v>
      </c>
      <c r="AK60" s="27">
        <f t="shared" si="30"/>
        <v>-307.520512</v>
      </c>
      <c r="AL60" s="27">
        <f t="shared" si="30"/>
        <v>-307.520512</v>
      </c>
      <c r="AM60" s="27">
        <f t="shared" si="30"/>
        <v>-307.520512</v>
      </c>
      <c r="AN60" s="27">
        <f t="shared" si="30"/>
        <v>-307.520512</v>
      </c>
      <c r="AO60" s="27">
        <f t="shared" si="29"/>
        <v>-307.520512</v>
      </c>
      <c r="AP60" s="27">
        <f t="shared" si="29"/>
        <v>-307.520512</v>
      </c>
      <c r="AQ60" s="27">
        <f t="shared" si="29"/>
        <v>-307.520512</v>
      </c>
      <c r="AR60" s="27">
        <f t="shared" si="29"/>
        <v>-307.520512</v>
      </c>
      <c r="AS60" s="27">
        <f t="shared" si="29"/>
        <v>-307.520512</v>
      </c>
      <c r="AT60" s="27">
        <f>AT42-AT53-AT54-AT56</f>
        <v>-307.520512</v>
      </c>
      <c r="AU60" s="27">
        <f>AU42-AU53-AU54-AU56</f>
        <v>0</v>
      </c>
      <c r="AV60" s="27">
        <f>AV42-AV53-AV54-AV56</f>
        <v>126178.957872</v>
      </c>
    </row>
    <row r="61" spans="6:50" x14ac:dyDescent="0.25">
      <c r="F61" s="17">
        <f t="shared" si="15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spans="6:50" x14ac:dyDescent="0.25">
      <c r="F62" s="17">
        <f t="shared" si="15"/>
        <v>52</v>
      </c>
      <c r="G62" s="32" t="s">
        <v>119</v>
      </c>
    </row>
    <row r="63" spans="6:50" x14ac:dyDescent="0.25">
      <c r="F63" s="17">
        <f t="shared" si="15"/>
        <v>53</v>
      </c>
      <c r="G63" s="27"/>
      <c r="H63" s="27">
        <f t="shared" ref="H63:AU63" si="31">H59+H31+H32</f>
        <v>0</v>
      </c>
      <c r="I63" s="27">
        <f t="shared" si="31"/>
        <v>-14803.031039300608</v>
      </c>
      <c r="J63" s="27">
        <f t="shared" si="31"/>
        <v>-9881.681039300609</v>
      </c>
      <c r="K63" s="27">
        <f t="shared" si="31"/>
        <v>-1963.3690393006088</v>
      </c>
      <c r="L63" s="27">
        <f t="shared" si="31"/>
        <v>-1963.3690393006088</v>
      </c>
      <c r="M63" s="27">
        <f t="shared" si="31"/>
        <v>-1963.3690393006088</v>
      </c>
      <c r="N63" s="27">
        <f t="shared" si="31"/>
        <v>-1963.3690393006088</v>
      </c>
      <c r="O63" s="27">
        <f t="shared" si="31"/>
        <v>-1963.3690393006088</v>
      </c>
      <c r="P63" s="27">
        <f t="shared" si="31"/>
        <v>-1963.3690393006088</v>
      </c>
      <c r="Q63" s="27">
        <f t="shared" si="31"/>
        <v>-1963.3690393006088</v>
      </c>
      <c r="R63" s="27">
        <f t="shared" si="31"/>
        <v>-1963.3690393006088</v>
      </c>
      <c r="S63" s="27">
        <f t="shared" si="31"/>
        <v>-1963.3690393006088</v>
      </c>
      <c r="T63" s="27">
        <f t="shared" si="31"/>
        <v>-1963.3690393006088</v>
      </c>
      <c r="U63" s="27">
        <f t="shared" si="31"/>
        <v>-6434.7190393006085</v>
      </c>
      <c r="V63" s="27">
        <f t="shared" si="31"/>
        <v>-1963.3690393006088</v>
      </c>
      <c r="W63" s="27">
        <f t="shared" si="31"/>
        <v>-1646.6365593006092</v>
      </c>
      <c r="X63" s="27">
        <f t="shared" si="31"/>
        <v>-1646.6365593006092</v>
      </c>
      <c r="Y63" s="27">
        <f t="shared" si="31"/>
        <v>-1646.6365593006092</v>
      </c>
      <c r="Z63" s="27">
        <f t="shared" si="31"/>
        <v>-1646.6365593006092</v>
      </c>
      <c r="AA63" s="27">
        <f t="shared" si="31"/>
        <v>-1646.6365593006092</v>
      </c>
      <c r="AB63" s="27">
        <f t="shared" si="31"/>
        <v>-1646.6365593006092</v>
      </c>
      <c r="AC63" s="27">
        <f t="shared" si="31"/>
        <v>-1646.6365593006092</v>
      </c>
      <c r="AD63" s="27">
        <f t="shared" si="31"/>
        <v>-1646.6365593006092</v>
      </c>
      <c r="AE63" s="27">
        <f t="shared" si="31"/>
        <v>-1646.6365593006092</v>
      </c>
      <c r="AF63" s="27">
        <f t="shared" si="31"/>
        <v>-1646.6365593006092</v>
      </c>
      <c r="AG63" s="27">
        <f t="shared" si="31"/>
        <v>-5469.7840593006094</v>
      </c>
      <c r="AH63" s="27">
        <f t="shared" si="31"/>
        <v>-1646.6365593006092</v>
      </c>
      <c r="AI63" s="27">
        <f t="shared" si="31"/>
        <v>-1317.2347801006094</v>
      </c>
      <c r="AJ63" s="27">
        <f t="shared" si="31"/>
        <v>-1317.2347801006094</v>
      </c>
      <c r="AK63" s="27">
        <f t="shared" si="31"/>
        <v>-1317.2347801006094</v>
      </c>
      <c r="AL63" s="27">
        <f t="shared" si="31"/>
        <v>-1317.2347801006094</v>
      </c>
      <c r="AM63" s="27">
        <f t="shared" si="31"/>
        <v>-1317.2347801006094</v>
      </c>
      <c r="AN63" s="27">
        <f t="shared" si="31"/>
        <v>-1317.2347801006094</v>
      </c>
      <c r="AO63" s="27">
        <f t="shared" si="31"/>
        <v>-1317.2347801006094</v>
      </c>
      <c r="AP63" s="27">
        <f t="shared" si="31"/>
        <v>-1317.2347801006094</v>
      </c>
      <c r="AQ63" s="27">
        <f t="shared" si="31"/>
        <v>-1317.2347801006094</v>
      </c>
      <c r="AR63" s="27">
        <f t="shared" si="31"/>
        <v>-1317.2347801006094</v>
      </c>
      <c r="AS63" s="27">
        <f t="shared" si="31"/>
        <v>5292.2708842000002</v>
      </c>
      <c r="AT63" s="27">
        <f t="shared" si="31"/>
        <v>8564.4462592</v>
      </c>
      <c r="AU63" s="27">
        <f t="shared" si="31"/>
        <v>0</v>
      </c>
      <c r="AV63" s="27">
        <f t="shared" ref="AV63" si="32">AV59+AV31+AV32</f>
        <v>126178.957872</v>
      </c>
      <c r="AX63" s="28">
        <f>SUM(H63:AV63)</f>
        <v>50564.050452578042</v>
      </c>
    </row>
    <row r="64" spans="6:50" x14ac:dyDescent="0.25">
      <c r="F64" s="17">
        <f t="shared" si="15"/>
        <v>54</v>
      </c>
    </row>
    <row r="65" spans="6:10" x14ac:dyDescent="0.25">
      <c r="F65" s="17">
        <f t="shared" si="15"/>
        <v>55</v>
      </c>
    </row>
    <row r="66" spans="6:10" x14ac:dyDescent="0.25">
      <c r="F66" s="17">
        <f t="shared" si="15"/>
        <v>56</v>
      </c>
      <c r="G66" s="16" t="s">
        <v>120</v>
      </c>
      <c r="H66" s="190">
        <v>8885</v>
      </c>
    </row>
    <row r="67" spans="6:10" x14ac:dyDescent="0.25">
      <c r="F67" s="17">
        <f t="shared" si="15"/>
        <v>57</v>
      </c>
    </row>
    <row r="68" spans="6:10" x14ac:dyDescent="0.25">
      <c r="F68" s="17">
        <f t="shared" si="15"/>
        <v>58</v>
      </c>
      <c r="G68" s="16" t="s">
        <v>121</v>
      </c>
      <c r="H68" s="46">
        <v>0.27</v>
      </c>
    </row>
    <row r="69" spans="6:10" x14ac:dyDescent="0.25">
      <c r="F69" s="17">
        <f t="shared" si="15"/>
        <v>59</v>
      </c>
      <c r="J69">
        <f>3540/3570</f>
        <v>0.99159663865546221</v>
      </c>
    </row>
    <row r="70" spans="6:10" x14ac:dyDescent="0.25">
      <c r="F70" s="17">
        <f t="shared" si="15"/>
        <v>60</v>
      </c>
      <c r="G70" s="16" t="s">
        <v>122</v>
      </c>
      <c r="H70" s="46">
        <f>(1+H68)^(1/12)-1</f>
        <v>2.0117763495523189E-2</v>
      </c>
      <c r="J70">
        <v>3530</v>
      </c>
    </row>
    <row r="71" spans="6:10" x14ac:dyDescent="0.25">
      <c r="F71" s="17">
        <f t="shared" si="15"/>
        <v>61</v>
      </c>
      <c r="J71">
        <f>3530/3570</f>
        <v>0.98879551820728295</v>
      </c>
    </row>
    <row r="72" spans="6:10" x14ac:dyDescent="0.25">
      <c r="F72" s="17">
        <f t="shared" si="15"/>
        <v>62</v>
      </c>
      <c r="G72" s="16" t="s">
        <v>123</v>
      </c>
      <c r="H72" s="34">
        <f>NPV(H70,H63:AV63)</f>
        <v>-6370.9310737151145</v>
      </c>
    </row>
    <row r="73" spans="6:10" x14ac:dyDescent="0.25">
      <c r="F73" s="17">
        <f t="shared" si="15"/>
        <v>63</v>
      </c>
    </row>
    <row r="74" spans="6:10" x14ac:dyDescent="0.25">
      <c r="F74" s="17">
        <f t="shared" si="15"/>
        <v>64</v>
      </c>
      <c r="G74" s="16" t="s">
        <v>124</v>
      </c>
      <c r="H74" s="204">
        <f>IRR(H63:AV63,0.1)</f>
        <v>1.660695018268088E-2</v>
      </c>
    </row>
    <row r="75" spans="6:10" x14ac:dyDescent="0.25">
      <c r="F75" s="17">
        <f t="shared" si="15"/>
        <v>65</v>
      </c>
    </row>
    <row r="76" spans="6:10" x14ac:dyDescent="0.25">
      <c r="F76" s="17">
        <f t="shared" si="15"/>
        <v>66</v>
      </c>
      <c r="G76" s="227" t="s">
        <v>125</v>
      </c>
      <c r="H76">
        <v>36</v>
      </c>
      <c r="I76">
        <v>48</v>
      </c>
    </row>
    <row r="77" spans="6:10" x14ac:dyDescent="0.25">
      <c r="F77" s="17">
        <f t="shared" ref="F77" si="33">F76+1</f>
        <v>67</v>
      </c>
      <c r="G77" s="43" t="s">
        <v>126</v>
      </c>
      <c r="H77">
        <v>3950</v>
      </c>
      <c r="I77">
        <v>3570</v>
      </c>
    </row>
    <row r="78" spans="6:10" x14ac:dyDescent="0.25">
      <c r="H78" s="176">
        <v>3570</v>
      </c>
      <c r="I78" s="176">
        <f>H77-H78</f>
        <v>380</v>
      </c>
      <c r="J78" s="176">
        <f>I78*43</f>
        <v>16340</v>
      </c>
    </row>
    <row r="79" spans="6:10" x14ac:dyDescent="0.25">
      <c r="H79" s="26">
        <f>(H78/H77)-1</f>
        <v>-9.6202531645569578E-2</v>
      </c>
      <c r="J79" s="176">
        <f>J78*12</f>
        <v>196080</v>
      </c>
    </row>
    <row r="80" spans="6:10" x14ac:dyDescent="0.25">
      <c r="G80" s="254" t="s">
        <v>127</v>
      </c>
      <c r="H80" s="254"/>
      <c r="J80" s="176">
        <f>J79*3</f>
        <v>588240</v>
      </c>
    </row>
    <row r="81" spans="7:8" x14ac:dyDescent="0.25">
      <c r="G81" t="s">
        <v>128</v>
      </c>
      <c r="H81" s="126">
        <f>SUM(H21:BJ21)</f>
        <v>241312.5</v>
      </c>
    </row>
    <row r="82" spans="7:8" x14ac:dyDescent="0.25">
      <c r="G82" s="252" t="s">
        <v>129</v>
      </c>
      <c r="H82" s="253"/>
    </row>
    <row r="83" spans="7:8" x14ac:dyDescent="0.25">
      <c r="G83" s="161" t="s">
        <v>130</v>
      </c>
      <c r="H83" s="162">
        <f>Dados!C32</f>
        <v>297000</v>
      </c>
    </row>
    <row r="84" spans="7:8" x14ac:dyDescent="0.25">
      <c r="G84" s="161" t="s">
        <v>131</v>
      </c>
      <c r="H84" s="162">
        <f>SUM(H21:DF21)</f>
        <v>241312.5</v>
      </c>
    </row>
    <row r="85" spans="7:8" x14ac:dyDescent="0.25">
      <c r="G85" t="s">
        <v>132</v>
      </c>
      <c r="H85" s="126">
        <f>H83-H84</f>
        <v>55687.5</v>
      </c>
    </row>
    <row r="86" spans="7:8" x14ac:dyDescent="0.25">
      <c r="H86" s="126"/>
    </row>
    <row r="87" spans="7:8" x14ac:dyDescent="0.25">
      <c r="G87" s="161" t="s">
        <v>133</v>
      </c>
      <c r="H87" s="162">
        <f>Dados!C36</f>
        <v>162492.73920000001</v>
      </c>
    </row>
    <row r="88" spans="7:8" x14ac:dyDescent="0.25">
      <c r="H88" s="126"/>
    </row>
    <row r="89" spans="7:8" ht="29.1" customHeight="1" x14ac:dyDescent="0.25">
      <c r="G89" t="s">
        <v>134</v>
      </c>
      <c r="H89" s="126">
        <f>H87-H85</f>
        <v>106805.23920000001</v>
      </c>
    </row>
    <row r="90" spans="7:8" ht="31.5" x14ac:dyDescent="0.25">
      <c r="G90" s="163" t="s">
        <v>135</v>
      </c>
      <c r="H90" s="164">
        <f>IF(H89&gt;0,H89,0)</f>
        <v>106805.23920000001</v>
      </c>
    </row>
    <row r="91" spans="7:8" x14ac:dyDescent="0.25">
      <c r="G91" s="250" t="s">
        <v>136</v>
      </c>
      <c r="H91" s="251"/>
    </row>
    <row r="92" spans="7:8" x14ac:dyDescent="0.25">
      <c r="G92" s="27" t="s">
        <v>113</v>
      </c>
      <c r="H92" s="202">
        <f>$H$90*15%</f>
        <v>16020.785880000001</v>
      </c>
    </row>
    <row r="93" spans="7:8" x14ac:dyDescent="0.25">
      <c r="G93" s="27" t="s">
        <v>114</v>
      </c>
      <c r="H93" s="202">
        <f>H90*10%</f>
        <v>10680.523920000001</v>
      </c>
    </row>
    <row r="94" spans="7:8" x14ac:dyDescent="0.25">
      <c r="G94" s="27" t="s">
        <v>115</v>
      </c>
      <c r="H94" s="202">
        <f>H90*9%</f>
        <v>9612.471528</v>
      </c>
    </row>
    <row r="95" spans="7:8" x14ac:dyDescent="0.25">
      <c r="G95" s="203" t="s">
        <v>137</v>
      </c>
      <c r="H95" s="202">
        <f>SUM(H92:H94)</f>
        <v>36313.781328000005</v>
      </c>
    </row>
    <row r="96" spans="7:8" x14ac:dyDescent="0.25">
      <c r="G96" s="203" t="s">
        <v>138</v>
      </c>
      <c r="H96" s="202">
        <f>H87-H95</f>
        <v>126178.957872</v>
      </c>
    </row>
  </sheetData>
  <mergeCells count="8">
    <mergeCell ref="J5:U5"/>
    <mergeCell ref="V5:AG5"/>
    <mergeCell ref="AH5:AS5"/>
    <mergeCell ref="G91:H91"/>
    <mergeCell ref="G82:H82"/>
    <mergeCell ref="G80:H80"/>
    <mergeCell ref="G1:H1"/>
    <mergeCell ref="G5:H5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27" workbookViewId="0">
      <selection activeCell="C41" sqref="C41:AL41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29" t="s">
        <v>139</v>
      </c>
      <c r="B1" s="229"/>
      <c r="C1" s="229"/>
      <c r="D1" s="229"/>
      <c r="E1" s="229"/>
      <c r="F1" s="229"/>
    </row>
    <row r="2" spans="1:34" ht="20.100000000000001" customHeight="1" x14ac:dyDescent="0.25">
      <c r="A2" s="229"/>
      <c r="B2" s="229"/>
      <c r="C2" s="229"/>
      <c r="D2" s="229"/>
      <c r="E2" s="229"/>
      <c r="F2" s="229"/>
    </row>
    <row r="3" spans="1:34" hidden="1" x14ac:dyDescent="0.25">
      <c r="A3" s="230" t="s">
        <v>140</v>
      </c>
      <c r="B3" s="230"/>
      <c r="C3" s="231" t="s">
        <v>141</v>
      </c>
      <c r="D3" s="232">
        <v>12</v>
      </c>
    </row>
    <row r="4" spans="1:34" ht="30.95" hidden="1" customHeight="1" x14ac:dyDescent="0.25">
      <c r="A4" s="230"/>
      <c r="B4" s="230"/>
      <c r="C4" s="231"/>
      <c r="D4" s="232"/>
    </row>
    <row r="5" spans="1:34" ht="30" hidden="1" customHeight="1" x14ac:dyDescent="0.25">
      <c r="A5" s="230"/>
      <c r="B5" s="230"/>
      <c r="C5" s="123" t="s">
        <v>14</v>
      </c>
      <c r="D5" s="124">
        <v>3</v>
      </c>
    </row>
    <row r="6" spans="1:34" ht="44.1" hidden="1" customHeight="1" x14ac:dyDescent="0.25">
      <c r="A6" s="230"/>
      <c r="B6" s="230"/>
      <c r="C6" s="125" t="s">
        <v>142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33" t="s">
        <v>143</v>
      </c>
      <c r="B8" s="23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144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145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35" t="s">
        <v>146</v>
      </c>
      <c r="B15" s="236"/>
      <c r="E15" s="4"/>
      <c r="I15" s="4"/>
      <c r="J15" s="4"/>
      <c r="K15" s="6"/>
      <c r="AH15" s="4"/>
    </row>
    <row r="16" spans="1:34" hidden="1" x14ac:dyDescent="0.25">
      <c r="A16" s="71" t="s">
        <v>147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148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145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8" t="s">
        <v>149</v>
      </c>
      <c r="B22" s="131" t="s">
        <v>150</v>
      </c>
      <c r="C22" s="131" t="s">
        <v>151</v>
      </c>
      <c r="D22" s="131" t="s">
        <v>152</v>
      </c>
      <c r="E22" s="132" t="s">
        <v>153</v>
      </c>
      <c r="F22" s="132" t="s">
        <v>154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9" t="s">
        <v>155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9" t="s">
        <v>156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157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158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159</v>
      </c>
      <c r="B27" s="140">
        <v>0</v>
      </c>
      <c r="C27" s="141" t="s">
        <v>160</v>
      </c>
      <c r="D27" s="141" t="s">
        <v>160</v>
      </c>
      <c r="E27" s="142" t="s">
        <v>160</v>
      </c>
      <c r="F27" s="142" t="s">
        <v>160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161</v>
      </c>
      <c r="B28" s="138">
        <f>Dados!C29</f>
        <v>275000</v>
      </c>
      <c r="C28" s="138"/>
      <c r="D28" s="138"/>
      <c r="E28" s="138"/>
      <c r="F28" s="138"/>
    </row>
    <row r="29" spans="1:34" x14ac:dyDescent="0.25">
      <c r="A29" s="55" t="s">
        <v>162</v>
      </c>
      <c r="B29" s="138">
        <f>Dados!C30</f>
        <v>22000</v>
      </c>
      <c r="C29" s="138"/>
      <c r="D29" s="138"/>
      <c r="E29" s="138"/>
      <c r="F29" s="138"/>
    </row>
    <row r="30" spans="1:34" ht="15" customHeight="1" x14ac:dyDescent="0.25">
      <c r="A30" s="230" t="str">
        <f>Dados!A29</f>
        <v>25.360 vtr</v>
      </c>
      <c r="B30" s="230"/>
      <c r="C30" s="238" t="s">
        <v>141</v>
      </c>
      <c r="D30" s="237">
        <f>Dados!C13</f>
        <v>36</v>
      </c>
    </row>
    <row r="31" spans="1:34" ht="32.1" customHeight="1" x14ac:dyDescent="0.25">
      <c r="A31" s="230"/>
      <c r="B31" s="230"/>
      <c r="C31" s="238"/>
      <c r="D31" s="237"/>
    </row>
    <row r="32" spans="1:34" ht="51.95" customHeight="1" x14ac:dyDescent="0.25">
      <c r="A32" s="230"/>
      <c r="B32" s="230"/>
      <c r="C32" s="110" t="s">
        <v>14</v>
      </c>
      <c r="D32" s="109">
        <f>Dados!C9</f>
        <v>2</v>
      </c>
    </row>
    <row r="33" spans="1:65" ht="78.75" x14ac:dyDescent="0.25">
      <c r="A33" s="230"/>
      <c r="B33" s="230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30"/>
      <c r="B34" s="230"/>
      <c r="C34" s="108" t="s">
        <v>142</v>
      </c>
      <c r="D34" s="109">
        <f>Dados!C13+Dados!C9+Dados!C11</f>
        <v>40</v>
      </c>
    </row>
    <row r="35" spans="1:65" ht="24" customHeight="1" thickBot="1" x14ac:dyDescent="0.3"/>
    <row r="36" spans="1:65" x14ac:dyDescent="0.25">
      <c r="A36" s="233" t="s">
        <v>163</v>
      </c>
      <c r="B36" s="234"/>
      <c r="C36" s="5"/>
      <c r="D36" s="5">
        <f>B37/4</f>
        <v>74250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144</v>
      </c>
      <c r="B37" s="8">
        <f>((B28+B29)*B23)-B58-B78</f>
        <v>297000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164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43466</v>
      </c>
      <c r="C39" s="14">
        <f>EDATE(B39,1)</f>
        <v>43497</v>
      </c>
      <c r="D39" s="14">
        <f t="shared" ref="D39:AP39" si="3">EDATE(C39,1)</f>
        <v>43525</v>
      </c>
      <c r="E39" s="14">
        <f t="shared" si="3"/>
        <v>43556</v>
      </c>
      <c r="F39" s="14">
        <f t="shared" si="3"/>
        <v>43586</v>
      </c>
      <c r="G39" s="14">
        <f t="shared" si="3"/>
        <v>43617</v>
      </c>
      <c r="H39" s="14">
        <f t="shared" si="3"/>
        <v>43647</v>
      </c>
      <c r="I39" s="14">
        <f t="shared" si="3"/>
        <v>43678</v>
      </c>
      <c r="J39" s="14">
        <f t="shared" si="3"/>
        <v>43709</v>
      </c>
      <c r="K39" s="14">
        <f t="shared" si="3"/>
        <v>43739</v>
      </c>
      <c r="L39" s="14">
        <f t="shared" si="3"/>
        <v>43770</v>
      </c>
      <c r="M39" s="14">
        <f t="shared" si="3"/>
        <v>43800</v>
      </c>
      <c r="N39" s="14">
        <f t="shared" si="3"/>
        <v>43831</v>
      </c>
      <c r="O39" s="14">
        <f t="shared" si="3"/>
        <v>43862</v>
      </c>
      <c r="P39" s="14">
        <f t="shared" si="3"/>
        <v>43891</v>
      </c>
      <c r="Q39" s="14">
        <f t="shared" si="3"/>
        <v>43922</v>
      </c>
      <c r="R39" s="14">
        <f t="shared" si="3"/>
        <v>43952</v>
      </c>
      <c r="S39" s="14">
        <f t="shared" si="3"/>
        <v>43983</v>
      </c>
      <c r="T39" s="14">
        <f t="shared" si="3"/>
        <v>44013</v>
      </c>
      <c r="U39" s="14">
        <f t="shared" si="3"/>
        <v>44044</v>
      </c>
      <c r="V39" s="14">
        <f t="shared" si="3"/>
        <v>44075</v>
      </c>
      <c r="W39" s="14">
        <f t="shared" si="3"/>
        <v>44105</v>
      </c>
      <c r="X39" s="14">
        <f t="shared" si="3"/>
        <v>44136</v>
      </c>
      <c r="Y39" s="14">
        <f t="shared" si="3"/>
        <v>44166</v>
      </c>
      <c r="Z39" s="14">
        <f t="shared" si="3"/>
        <v>44197</v>
      </c>
      <c r="AA39" s="14">
        <f t="shared" si="3"/>
        <v>44228</v>
      </c>
      <c r="AB39" s="14">
        <f t="shared" si="3"/>
        <v>44256</v>
      </c>
      <c r="AC39" s="14">
        <f t="shared" si="3"/>
        <v>44287</v>
      </c>
      <c r="AD39" s="14">
        <f t="shared" si="3"/>
        <v>44317</v>
      </c>
      <c r="AE39" s="14">
        <f t="shared" si="3"/>
        <v>44348</v>
      </c>
      <c r="AF39" s="14">
        <f t="shared" si="3"/>
        <v>44378</v>
      </c>
      <c r="AG39" s="14">
        <f t="shared" si="3"/>
        <v>44409</v>
      </c>
      <c r="AH39" s="14">
        <f>EDATE(AG39,1)</f>
        <v>44440</v>
      </c>
      <c r="AI39" s="14">
        <f t="shared" si="3"/>
        <v>44470</v>
      </c>
      <c r="AJ39" s="14">
        <f t="shared" si="3"/>
        <v>44501</v>
      </c>
      <c r="AK39" s="14">
        <f t="shared" si="3"/>
        <v>44531</v>
      </c>
      <c r="AL39" s="14">
        <f t="shared" si="3"/>
        <v>44562</v>
      </c>
      <c r="AM39" s="14">
        <f t="shared" si="3"/>
        <v>44593</v>
      </c>
      <c r="AN39" s="14">
        <f t="shared" si="3"/>
        <v>44621</v>
      </c>
      <c r="AO39" s="14">
        <f t="shared" si="3"/>
        <v>44652</v>
      </c>
      <c r="AP39" s="14">
        <f t="shared" si="3"/>
        <v>44682</v>
      </c>
      <c r="AQ39" s="14">
        <f t="shared" ref="AQ39" si="4">EDATE(AP39,1)</f>
        <v>44713</v>
      </c>
      <c r="AR39" s="14">
        <f t="shared" ref="AR39" si="5">EDATE(AQ39,1)</f>
        <v>44743</v>
      </c>
      <c r="AS39" s="14">
        <f t="shared" ref="AS39" si="6">EDATE(AR39,1)</f>
        <v>44774</v>
      </c>
      <c r="AT39" s="14">
        <f t="shared" ref="AT39" si="7">EDATE(AS39,1)</f>
        <v>44805</v>
      </c>
      <c r="AU39" s="14">
        <f t="shared" ref="AU39" si="8">EDATE(AT39,1)</f>
        <v>44835</v>
      </c>
      <c r="AV39" s="14">
        <f t="shared" ref="AV39" si="9">EDATE(AU39,1)</f>
        <v>44866</v>
      </c>
      <c r="AW39" s="14">
        <f t="shared" ref="AW39" si="10">EDATE(AV39,1)</f>
        <v>44896</v>
      </c>
      <c r="AX39" s="14">
        <f t="shared" ref="AX39" si="11">EDATE(AW39,1)</f>
        <v>44927</v>
      </c>
      <c r="AY39" s="14">
        <f t="shared" ref="AY39" si="12">EDATE(AX39,1)</f>
        <v>44958</v>
      </c>
      <c r="AZ39" s="14">
        <f t="shared" ref="AZ39" si="13">EDATE(AY39,1)</f>
        <v>44986</v>
      </c>
      <c r="BA39" s="14">
        <f t="shared" ref="BA39" si="14">EDATE(AZ39,1)</f>
        <v>45017</v>
      </c>
      <c r="BB39" s="212">
        <f t="shared" ref="BB39" si="15">EDATE(BA39,1)</f>
        <v>45047</v>
      </c>
      <c r="BC39" s="14">
        <f t="shared" ref="BC39" si="16">EDATE(BB39,1)</f>
        <v>45078</v>
      </c>
      <c r="BD39" s="14">
        <f t="shared" ref="BD39" si="17">EDATE(BC39,1)</f>
        <v>45108</v>
      </c>
      <c r="BE39" s="14">
        <f t="shared" ref="BE39" si="18">EDATE(BD39,1)</f>
        <v>45139</v>
      </c>
      <c r="BF39" s="14">
        <f t="shared" ref="BF39" si="19">EDATE(BE39,1)</f>
        <v>45170</v>
      </c>
      <c r="BG39" s="14">
        <f t="shared" ref="BG39" si="20">EDATE(BF39,1)</f>
        <v>45200</v>
      </c>
      <c r="BH39" s="14">
        <f t="shared" ref="BH39" si="21">EDATE(BG39,1)</f>
        <v>45231</v>
      </c>
      <c r="BI39" s="14">
        <f t="shared" ref="BI39" si="22">EDATE(BH39,1)</f>
        <v>45261</v>
      </c>
      <c r="BJ39" s="14">
        <f t="shared" ref="BJ39" si="23">EDATE(BI39,1)</f>
        <v>45292</v>
      </c>
      <c r="BK39" s="14">
        <f t="shared" ref="BK39" si="24">EDATE(BJ39,1)</f>
        <v>45323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145</v>
      </c>
      <c r="B41" s="218"/>
      <c r="C41" s="228">
        <f>-PMT($B$38,36,$B$37,,)</f>
        <v>9881.681039300609</v>
      </c>
      <c r="D41" s="228">
        <f t="shared" ref="D41:AL41" si="47">-PMT($B$38,36,$B$37,,)</f>
        <v>9881.681039300609</v>
      </c>
      <c r="E41" s="228">
        <f t="shared" si="47"/>
        <v>9881.681039300609</v>
      </c>
      <c r="F41" s="228">
        <f t="shared" si="47"/>
        <v>9881.681039300609</v>
      </c>
      <c r="G41" s="228">
        <f t="shared" si="47"/>
        <v>9881.681039300609</v>
      </c>
      <c r="H41" s="228">
        <f t="shared" si="47"/>
        <v>9881.681039300609</v>
      </c>
      <c r="I41" s="228">
        <f t="shared" si="47"/>
        <v>9881.681039300609</v>
      </c>
      <c r="J41" s="228">
        <f t="shared" si="47"/>
        <v>9881.681039300609</v>
      </c>
      <c r="K41" s="228">
        <f t="shared" si="47"/>
        <v>9881.681039300609</v>
      </c>
      <c r="L41" s="228">
        <f t="shared" si="47"/>
        <v>9881.681039300609</v>
      </c>
      <c r="M41" s="228">
        <f t="shared" si="47"/>
        <v>9881.681039300609</v>
      </c>
      <c r="N41" s="228">
        <f t="shared" si="47"/>
        <v>9881.681039300609</v>
      </c>
      <c r="O41" s="228">
        <f t="shared" si="47"/>
        <v>9881.681039300609</v>
      </c>
      <c r="P41" s="228">
        <f t="shared" si="47"/>
        <v>9881.681039300609</v>
      </c>
      <c r="Q41" s="228">
        <f t="shared" si="47"/>
        <v>9881.681039300609</v>
      </c>
      <c r="R41" s="228">
        <f t="shared" si="47"/>
        <v>9881.681039300609</v>
      </c>
      <c r="S41" s="228">
        <f t="shared" si="47"/>
        <v>9881.681039300609</v>
      </c>
      <c r="T41" s="228">
        <f t="shared" si="47"/>
        <v>9881.681039300609</v>
      </c>
      <c r="U41" s="228">
        <f t="shared" si="47"/>
        <v>9881.681039300609</v>
      </c>
      <c r="V41" s="228">
        <f t="shared" si="47"/>
        <v>9881.681039300609</v>
      </c>
      <c r="W41" s="228">
        <f t="shared" si="47"/>
        <v>9881.681039300609</v>
      </c>
      <c r="X41" s="228">
        <f t="shared" si="47"/>
        <v>9881.681039300609</v>
      </c>
      <c r="Y41" s="228">
        <f t="shared" si="47"/>
        <v>9881.681039300609</v>
      </c>
      <c r="Z41" s="228">
        <f t="shared" si="47"/>
        <v>9881.681039300609</v>
      </c>
      <c r="AA41" s="228">
        <f t="shared" si="47"/>
        <v>9881.681039300609</v>
      </c>
      <c r="AB41" s="228">
        <f t="shared" si="47"/>
        <v>9881.681039300609</v>
      </c>
      <c r="AC41" s="228">
        <f t="shared" si="47"/>
        <v>9881.681039300609</v>
      </c>
      <c r="AD41" s="228">
        <f t="shared" si="47"/>
        <v>9881.681039300609</v>
      </c>
      <c r="AE41" s="228">
        <f t="shared" si="47"/>
        <v>9881.681039300609</v>
      </c>
      <c r="AF41" s="228">
        <f t="shared" si="47"/>
        <v>9881.681039300609</v>
      </c>
      <c r="AG41" s="228">
        <f t="shared" si="47"/>
        <v>9881.681039300609</v>
      </c>
      <c r="AH41" s="228">
        <f t="shared" si="47"/>
        <v>9881.681039300609</v>
      </c>
      <c r="AI41" s="228">
        <f t="shared" si="47"/>
        <v>9881.681039300609</v>
      </c>
      <c r="AJ41" s="228">
        <f t="shared" si="47"/>
        <v>9881.681039300609</v>
      </c>
      <c r="AK41" s="228">
        <f t="shared" si="47"/>
        <v>9881.681039300609</v>
      </c>
      <c r="AL41" s="228">
        <f t="shared" si="47"/>
        <v>9881.681039300609</v>
      </c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</row>
    <row r="42" spans="1:65" ht="16.5" thickBot="1" x14ac:dyDescent="0.3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33" t="s">
        <v>149</v>
      </c>
      <c r="B43" s="23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144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43466</v>
      </c>
      <c r="C46" s="14">
        <f>EDATE(B46,1)</f>
        <v>43497</v>
      </c>
      <c r="D46" s="14">
        <f t="shared" ref="D46" si="48">EDATE(C46,1)</f>
        <v>43525</v>
      </c>
      <c r="E46" s="14">
        <f t="shared" ref="E46" si="49">EDATE(D46,1)</f>
        <v>43556</v>
      </c>
      <c r="F46" s="14">
        <f t="shared" ref="F46" si="50">EDATE(E46,1)</f>
        <v>43586</v>
      </c>
      <c r="G46" s="14">
        <f t="shared" ref="G46" si="51">EDATE(F46,1)</f>
        <v>43617</v>
      </c>
      <c r="H46" s="14">
        <f t="shared" ref="H46" si="52">EDATE(G46,1)</f>
        <v>43647</v>
      </c>
      <c r="I46" s="14">
        <f t="shared" ref="I46" si="53">EDATE(H46,1)</f>
        <v>43678</v>
      </c>
      <c r="J46" s="14">
        <f t="shared" ref="J46" si="54">EDATE(I46,1)</f>
        <v>43709</v>
      </c>
      <c r="K46" s="14">
        <f t="shared" ref="K46" si="55">EDATE(J46,1)</f>
        <v>43739</v>
      </c>
      <c r="L46" s="14">
        <f t="shared" ref="L46" si="56">EDATE(K46,1)</f>
        <v>43770</v>
      </c>
      <c r="M46" s="14">
        <f t="shared" ref="M46" si="57">EDATE(L46,1)</f>
        <v>43800</v>
      </c>
      <c r="N46" s="14">
        <f t="shared" ref="N46" si="58">EDATE(M46,1)</f>
        <v>43831</v>
      </c>
      <c r="O46" s="14">
        <f t="shared" ref="O46" si="59">EDATE(N46,1)</f>
        <v>43862</v>
      </c>
      <c r="P46" s="14">
        <f t="shared" ref="P46" si="60">EDATE(O46,1)</f>
        <v>43891</v>
      </c>
      <c r="Q46" s="14">
        <f t="shared" ref="Q46" si="61">EDATE(P46,1)</f>
        <v>43922</v>
      </c>
      <c r="R46" s="14">
        <f t="shared" ref="R46" si="62">EDATE(Q46,1)</f>
        <v>43952</v>
      </c>
      <c r="S46" s="14">
        <f t="shared" ref="S46" si="63">EDATE(R46,1)</f>
        <v>43983</v>
      </c>
      <c r="T46" s="14">
        <f t="shared" ref="T46" si="64">EDATE(S46,1)</f>
        <v>44013</v>
      </c>
      <c r="U46" s="14">
        <f t="shared" ref="U46" si="65">EDATE(T46,1)</f>
        <v>44044</v>
      </c>
      <c r="V46" s="14">
        <f t="shared" ref="V46" si="66">EDATE(U46,1)</f>
        <v>44075</v>
      </c>
      <c r="W46" s="14">
        <f t="shared" ref="W46" si="67">EDATE(V46,1)</f>
        <v>44105</v>
      </c>
      <c r="X46" s="14">
        <f t="shared" ref="X46" si="68">EDATE(W46,1)</f>
        <v>44136</v>
      </c>
      <c r="Y46" s="14">
        <f t="shared" ref="Y46" si="69">EDATE(X46,1)</f>
        <v>44166</v>
      </c>
      <c r="Z46" s="14">
        <f t="shared" ref="Z46" si="70">EDATE(Y46,1)</f>
        <v>44197</v>
      </c>
      <c r="AA46" s="14">
        <f t="shared" ref="AA46" si="71">EDATE(Z46,1)</f>
        <v>44228</v>
      </c>
      <c r="AB46" s="14">
        <f t="shared" ref="AB46" si="72">EDATE(AA46,1)</f>
        <v>44256</v>
      </c>
      <c r="AC46" s="14">
        <f t="shared" ref="AC46" si="73">EDATE(AB46,1)</f>
        <v>44287</v>
      </c>
      <c r="AD46" s="14">
        <f t="shared" ref="AD46" si="74">EDATE(AC46,1)</f>
        <v>44317</v>
      </c>
      <c r="AE46" s="14">
        <f t="shared" ref="AE46" si="75">EDATE(AD46,1)</f>
        <v>44348</v>
      </c>
      <c r="AF46" s="14">
        <f t="shared" ref="AF46" si="76">EDATE(AE46,1)</f>
        <v>44378</v>
      </c>
      <c r="AG46" s="14">
        <f t="shared" ref="AG46" si="77">EDATE(AF46,1)</f>
        <v>44409</v>
      </c>
      <c r="AH46" s="14">
        <f>EDATE(AG46,1)</f>
        <v>44440</v>
      </c>
      <c r="AI46" s="14">
        <f t="shared" ref="AI46" si="78">EDATE(AH46,1)</f>
        <v>44470</v>
      </c>
      <c r="AJ46" s="14">
        <f t="shared" ref="AJ46" si="79">EDATE(AI46,1)</f>
        <v>44501</v>
      </c>
      <c r="AK46" s="14">
        <f t="shared" ref="AK46" si="80">EDATE(AJ46,1)</f>
        <v>44531</v>
      </c>
      <c r="AL46" s="14">
        <f t="shared" ref="AL46" si="81">EDATE(AK46,1)</f>
        <v>44562</v>
      </c>
      <c r="AM46" s="14">
        <f t="shared" ref="AM46" si="82">EDATE(AL46,1)</f>
        <v>44593</v>
      </c>
      <c r="AN46" s="14">
        <f t="shared" ref="AN46" si="83">EDATE(AM46,1)</f>
        <v>44621</v>
      </c>
      <c r="AO46" s="14">
        <f t="shared" ref="AO46" si="84">EDATE(AN46,1)</f>
        <v>44652</v>
      </c>
      <c r="AP46" s="14">
        <f t="shared" ref="AP46" si="85">EDATE(AO46,1)</f>
        <v>44682</v>
      </c>
      <c r="AQ46" s="14">
        <f t="shared" ref="AQ46" si="86">EDATE(AP46,1)</f>
        <v>44713</v>
      </c>
      <c r="AR46" s="14">
        <f t="shared" ref="AR46" si="87">EDATE(AQ46,1)</f>
        <v>44743</v>
      </c>
      <c r="AS46" s="14">
        <f t="shared" ref="AS46" si="88">EDATE(AR46,1)</f>
        <v>44774</v>
      </c>
      <c r="AT46" s="14">
        <f t="shared" ref="AT46" si="89">EDATE(AS46,1)</f>
        <v>44805</v>
      </c>
      <c r="AU46" s="14">
        <f t="shared" ref="AU46" si="90">EDATE(AT46,1)</f>
        <v>44835</v>
      </c>
      <c r="AV46" s="14">
        <f t="shared" ref="AV46" si="91">EDATE(AU46,1)</f>
        <v>44866</v>
      </c>
      <c r="AW46" s="14">
        <f t="shared" ref="AW46" si="92">EDATE(AV46,1)</f>
        <v>44896</v>
      </c>
      <c r="AX46" s="14">
        <f t="shared" ref="AX46" si="93">EDATE(AW46,1)</f>
        <v>44927</v>
      </c>
      <c r="AY46" s="14">
        <f t="shared" ref="AY46" si="94">EDATE(AX46,1)</f>
        <v>44958</v>
      </c>
      <c r="AZ46" s="14">
        <f t="shared" ref="AZ46" si="95">EDATE(AY46,1)</f>
        <v>44986</v>
      </c>
      <c r="BA46" s="14">
        <f t="shared" ref="BA46" si="96">EDATE(AZ46,1)</f>
        <v>45017</v>
      </c>
      <c r="BB46" s="14">
        <f t="shared" ref="BB46" si="97">EDATE(BA46,1)</f>
        <v>45047</v>
      </c>
      <c r="BC46" s="14">
        <f t="shared" ref="BC46" si="98">EDATE(BB46,1)</f>
        <v>45078</v>
      </c>
      <c r="BD46" s="14">
        <f t="shared" ref="BD46" si="99">EDATE(BC46,1)</f>
        <v>45108</v>
      </c>
      <c r="BE46" s="14">
        <f t="shared" ref="BE46" si="100">EDATE(BD46,1)</f>
        <v>45139</v>
      </c>
      <c r="BF46" s="14">
        <f t="shared" ref="BF46" si="101">EDATE(BE46,1)</f>
        <v>45170</v>
      </c>
      <c r="BG46" s="14">
        <f t="shared" ref="BG46" si="102">EDATE(BF46,1)</f>
        <v>45200</v>
      </c>
      <c r="BH46" s="14">
        <f t="shared" ref="BH46" si="103">EDATE(BG46,1)</f>
        <v>45231</v>
      </c>
      <c r="BI46" s="14">
        <f t="shared" ref="BI46" si="104">EDATE(BH46,1)</f>
        <v>45261</v>
      </c>
      <c r="BJ46" s="14">
        <f t="shared" ref="BJ46" si="105">EDATE(BI46,1)</f>
        <v>45292</v>
      </c>
      <c r="BK46" s="14">
        <f t="shared" ref="BK46" si="106">EDATE(BJ46,1)</f>
        <v>45323</v>
      </c>
      <c r="BL46" s="14">
        <f t="shared" ref="BL46" si="107">EDATE(BK46,1)</f>
        <v>45352</v>
      </c>
      <c r="BM46" s="14">
        <f t="shared" ref="BM46" si="108">EDATE(BL46,1)</f>
        <v>45383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33" t="s">
        <v>158</v>
      </c>
      <c r="B50" s="234"/>
      <c r="C50" s="144" t="s">
        <v>165</v>
      </c>
      <c r="D50" s="145" t="s">
        <v>166</v>
      </c>
      <c r="E50" s="82" t="s">
        <v>167</v>
      </c>
      <c r="F50" s="146" t="s">
        <v>168</v>
      </c>
      <c r="G50" s="147" t="s">
        <v>169</v>
      </c>
      <c r="H50" s="147" t="s">
        <v>170</v>
      </c>
      <c r="I50" s="147" t="s">
        <v>171</v>
      </c>
      <c r="J50" s="147" t="s">
        <v>172</v>
      </c>
      <c r="K50" s="147" t="s">
        <v>173</v>
      </c>
      <c r="L50" s="148" t="s">
        <v>174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144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43466</v>
      </c>
      <c r="C53" s="14">
        <f>EDATE(B53,1)</f>
        <v>43497</v>
      </c>
      <c r="D53" s="14">
        <f t="shared" ref="D53:AP53" si="170">EDATE(C53,1)</f>
        <v>43525</v>
      </c>
      <c r="E53" s="14">
        <f t="shared" si="170"/>
        <v>43556</v>
      </c>
      <c r="F53" s="14">
        <f t="shared" si="170"/>
        <v>43586</v>
      </c>
      <c r="G53" s="14">
        <f t="shared" si="170"/>
        <v>43617</v>
      </c>
      <c r="H53" s="14">
        <f t="shared" si="170"/>
        <v>43647</v>
      </c>
      <c r="I53" s="14">
        <f t="shared" si="170"/>
        <v>43678</v>
      </c>
      <c r="J53" s="14">
        <f t="shared" si="170"/>
        <v>43709</v>
      </c>
      <c r="K53" s="14">
        <f t="shared" si="170"/>
        <v>43739</v>
      </c>
      <c r="L53" s="14">
        <f t="shared" si="170"/>
        <v>43770</v>
      </c>
      <c r="M53" s="14">
        <f t="shared" si="170"/>
        <v>43800</v>
      </c>
      <c r="N53" s="14">
        <f t="shared" si="170"/>
        <v>43831</v>
      </c>
      <c r="O53" s="14">
        <f t="shared" si="170"/>
        <v>43862</v>
      </c>
      <c r="P53" s="14">
        <f t="shared" si="170"/>
        <v>43891</v>
      </c>
      <c r="Q53" s="14">
        <f t="shared" si="170"/>
        <v>43922</v>
      </c>
      <c r="R53" s="14">
        <f t="shared" si="170"/>
        <v>43952</v>
      </c>
      <c r="S53" s="14">
        <f t="shared" si="170"/>
        <v>43983</v>
      </c>
      <c r="T53" s="14">
        <f t="shared" si="170"/>
        <v>44013</v>
      </c>
      <c r="U53" s="14">
        <f t="shared" si="170"/>
        <v>44044</v>
      </c>
      <c r="V53" s="14">
        <f t="shared" si="170"/>
        <v>44075</v>
      </c>
      <c r="W53" s="14">
        <f t="shared" si="170"/>
        <v>44105</v>
      </c>
      <c r="X53" s="14">
        <f t="shared" si="170"/>
        <v>44136</v>
      </c>
      <c r="Y53" s="14">
        <f t="shared" si="170"/>
        <v>44166</v>
      </c>
      <c r="Z53" s="14">
        <f t="shared" si="170"/>
        <v>44197</v>
      </c>
      <c r="AA53" s="14">
        <f t="shared" si="170"/>
        <v>44228</v>
      </c>
      <c r="AB53" s="14">
        <f t="shared" si="170"/>
        <v>44256</v>
      </c>
      <c r="AC53" s="14">
        <f t="shared" si="170"/>
        <v>44287</v>
      </c>
      <c r="AD53" s="14">
        <f t="shared" si="170"/>
        <v>44317</v>
      </c>
      <c r="AE53" s="14">
        <f t="shared" si="170"/>
        <v>44348</v>
      </c>
      <c r="AF53" s="14">
        <f t="shared" si="170"/>
        <v>44378</v>
      </c>
      <c r="AG53" s="14">
        <f t="shared" si="170"/>
        <v>44409</v>
      </c>
      <c r="AH53" s="14">
        <f>EDATE(AG53,1)</f>
        <v>44440</v>
      </c>
      <c r="AI53" s="14">
        <f t="shared" si="170"/>
        <v>44470</v>
      </c>
      <c r="AJ53" s="14">
        <f t="shared" si="170"/>
        <v>44501</v>
      </c>
      <c r="AK53" s="14">
        <f t="shared" si="170"/>
        <v>44531</v>
      </c>
      <c r="AL53" s="14">
        <f t="shared" si="170"/>
        <v>44562</v>
      </c>
      <c r="AM53" s="14">
        <f t="shared" si="170"/>
        <v>44593</v>
      </c>
      <c r="AN53" s="14">
        <f t="shared" si="170"/>
        <v>44621</v>
      </c>
      <c r="AO53" s="14">
        <f t="shared" si="170"/>
        <v>44652</v>
      </c>
      <c r="AP53" s="14">
        <f t="shared" si="170"/>
        <v>44682</v>
      </c>
      <c r="AQ53" s="14">
        <f t="shared" ref="AQ53" si="171">EDATE(AP53,1)</f>
        <v>44713</v>
      </c>
      <c r="AR53" s="14">
        <f t="shared" ref="AR53" si="172">EDATE(AQ53,1)</f>
        <v>44743</v>
      </c>
      <c r="AS53" s="14">
        <f t="shared" ref="AS53" si="173">EDATE(AR53,1)</f>
        <v>44774</v>
      </c>
      <c r="AT53" s="14">
        <f t="shared" ref="AT53" si="174">EDATE(AS53,1)</f>
        <v>44805</v>
      </c>
      <c r="AU53" s="14">
        <f t="shared" ref="AU53" si="175">EDATE(AT53,1)</f>
        <v>44835</v>
      </c>
      <c r="AV53" s="14">
        <f t="shared" ref="AV53" si="176">EDATE(AU53,1)</f>
        <v>44866</v>
      </c>
      <c r="AW53" s="14">
        <f t="shared" ref="AW53" si="177">EDATE(AV53,1)</f>
        <v>44896</v>
      </c>
      <c r="AX53" s="14">
        <f t="shared" ref="AX53" si="178">EDATE(AW53,1)</f>
        <v>44927</v>
      </c>
      <c r="AY53" s="14">
        <f t="shared" ref="AY53" si="179">EDATE(AX53,1)</f>
        <v>44958</v>
      </c>
      <c r="AZ53" s="14">
        <f t="shared" ref="AZ53" si="180">EDATE(AY53,1)</f>
        <v>44986</v>
      </c>
      <c r="BA53" s="14">
        <f t="shared" ref="BA53" si="181">EDATE(AZ53,1)</f>
        <v>45017</v>
      </c>
      <c r="BB53" s="14">
        <f t="shared" ref="BB53" si="182">EDATE(BA53,1)</f>
        <v>45047</v>
      </c>
      <c r="BC53" s="14">
        <f t="shared" ref="BC53" si="183">EDATE(BB53,1)</f>
        <v>45078</v>
      </c>
      <c r="BD53" s="14">
        <f t="shared" ref="BD53" si="184">EDATE(BC53,1)</f>
        <v>45108</v>
      </c>
      <c r="BE53" s="14">
        <f t="shared" ref="BE53" si="185">EDATE(BD53,1)</f>
        <v>45139</v>
      </c>
      <c r="BF53" s="14">
        <f t="shared" ref="BF53" si="186">EDATE(BE53,1)</f>
        <v>45170</v>
      </c>
      <c r="BG53" s="14">
        <f t="shared" ref="BG53" si="187">EDATE(BF53,1)</f>
        <v>45200</v>
      </c>
      <c r="BH53" s="14">
        <f t="shared" ref="BH53" si="188">EDATE(BG53,1)</f>
        <v>45231</v>
      </c>
      <c r="BI53" s="14">
        <f t="shared" ref="BI53" si="189">EDATE(BH53,1)</f>
        <v>45261</v>
      </c>
      <c r="BJ53" s="14">
        <f t="shared" ref="BJ53" si="190">EDATE(BI53,1)</f>
        <v>45292</v>
      </c>
      <c r="BK53" s="14">
        <f t="shared" ref="BK53" si="191">EDATE(BJ53,1)</f>
        <v>45323</v>
      </c>
      <c r="BL53" s="14">
        <f t="shared" ref="BL53" si="192">EDATE(BK53,1)</f>
        <v>45352</v>
      </c>
      <c r="BM53" s="14">
        <f t="shared" ref="BM53" si="193">EDATE(BL53,1)</f>
        <v>45383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145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33" t="s">
        <v>175</v>
      </c>
      <c r="B57" s="23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176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145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35" t="s">
        <v>177</v>
      </c>
      <c r="B64" s="236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148</v>
      </c>
      <c r="B65" s="10">
        <f>B51+B37</f>
        <v>297000</v>
      </c>
    </row>
    <row r="66" spans="1:65" hidden="1" x14ac:dyDescent="0.25"/>
    <row r="67" spans="1:65" hidden="1" x14ac:dyDescent="0.25">
      <c r="B67" s="14">
        <f>B39</f>
        <v>43466</v>
      </c>
      <c r="C67" s="14">
        <f>EDATE(B67,1)</f>
        <v>43497</v>
      </c>
      <c r="D67" s="14">
        <f t="shared" ref="D67:AC67" si="268">EDATE(C67,1)</f>
        <v>43525</v>
      </c>
      <c r="E67" s="14">
        <f t="shared" si="268"/>
        <v>43556</v>
      </c>
      <c r="F67" s="14">
        <f t="shared" si="268"/>
        <v>43586</v>
      </c>
      <c r="G67" s="14">
        <f t="shared" si="268"/>
        <v>43617</v>
      </c>
      <c r="H67" s="14">
        <f t="shared" si="268"/>
        <v>43647</v>
      </c>
      <c r="I67" s="14">
        <f t="shared" si="268"/>
        <v>43678</v>
      </c>
      <c r="J67" s="14">
        <f t="shared" si="268"/>
        <v>43709</v>
      </c>
      <c r="K67" s="14">
        <f t="shared" si="268"/>
        <v>43739</v>
      </c>
      <c r="L67" s="14">
        <f t="shared" si="268"/>
        <v>43770</v>
      </c>
      <c r="M67" s="14">
        <f t="shared" si="268"/>
        <v>43800</v>
      </c>
      <c r="N67" s="14">
        <f t="shared" si="268"/>
        <v>43831</v>
      </c>
      <c r="O67" s="14">
        <f t="shared" si="268"/>
        <v>43862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43891</v>
      </c>
      <c r="Y67" s="14">
        <f t="shared" si="268"/>
        <v>43922</v>
      </c>
      <c r="Z67" s="14">
        <f t="shared" si="268"/>
        <v>43952</v>
      </c>
      <c r="AA67" s="14">
        <f t="shared" si="268"/>
        <v>43983</v>
      </c>
      <c r="AB67" s="14">
        <f t="shared" si="268"/>
        <v>44013</v>
      </c>
      <c r="AC67" s="72">
        <f t="shared" si="268"/>
        <v>44044</v>
      </c>
      <c r="AD67" s="72">
        <f>EDATE(AC67,1)</f>
        <v>44075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145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30" t="s">
        <v>140</v>
      </c>
      <c r="B71" s="230"/>
      <c r="C71" s="239" t="s">
        <v>141</v>
      </c>
      <c r="D71" s="240">
        <v>24</v>
      </c>
      <c r="AE71" s="5"/>
      <c r="AF71" s="5"/>
      <c r="AG71" s="5"/>
      <c r="AH71" s="5"/>
    </row>
    <row r="72" spans="1:65" hidden="1" x14ac:dyDescent="0.25">
      <c r="A72" s="230"/>
      <c r="B72" s="230"/>
      <c r="C72" s="239"/>
      <c r="D72" s="240"/>
      <c r="AE72" s="5"/>
      <c r="AF72" s="5"/>
      <c r="AG72" s="5"/>
      <c r="AH72" s="5"/>
    </row>
    <row r="73" spans="1:65" ht="47.25" hidden="1" x14ac:dyDescent="0.25">
      <c r="A73" s="230"/>
      <c r="B73" s="230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30"/>
      <c r="B74" s="230"/>
      <c r="C74" s="108" t="s">
        <v>142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33" t="s">
        <v>143</v>
      </c>
      <c r="B76" s="23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144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178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43466</v>
      </c>
      <c r="C79" s="80">
        <f t="shared" ref="C79:AP79" si="270">EDATE(B79,1)</f>
        <v>43497</v>
      </c>
      <c r="D79" s="80">
        <f t="shared" si="270"/>
        <v>43525</v>
      </c>
      <c r="E79" s="80">
        <f t="shared" si="270"/>
        <v>43556</v>
      </c>
      <c r="F79" s="80">
        <f t="shared" si="270"/>
        <v>43586</v>
      </c>
      <c r="G79" s="80">
        <f t="shared" si="270"/>
        <v>43617</v>
      </c>
      <c r="H79" s="80">
        <f t="shared" si="270"/>
        <v>43647</v>
      </c>
      <c r="I79" s="80">
        <f t="shared" si="270"/>
        <v>43678</v>
      </c>
      <c r="J79" s="80">
        <f t="shared" si="270"/>
        <v>43709</v>
      </c>
      <c r="K79" s="80">
        <f t="shared" si="270"/>
        <v>43739</v>
      </c>
      <c r="L79" s="80">
        <f t="shared" si="270"/>
        <v>43770</v>
      </c>
      <c r="M79" s="80">
        <f t="shared" si="270"/>
        <v>43800</v>
      </c>
      <c r="N79" s="80">
        <f t="shared" si="270"/>
        <v>43831</v>
      </c>
      <c r="O79" s="80">
        <f t="shared" si="270"/>
        <v>43862</v>
      </c>
      <c r="P79" s="80">
        <f t="shared" si="270"/>
        <v>43891</v>
      </c>
      <c r="Q79" s="80">
        <f t="shared" si="270"/>
        <v>43922</v>
      </c>
      <c r="R79" s="80">
        <f t="shared" si="270"/>
        <v>43952</v>
      </c>
      <c r="S79" s="80">
        <f t="shared" si="270"/>
        <v>43983</v>
      </c>
      <c r="T79" s="80">
        <f t="shared" si="270"/>
        <v>44013</v>
      </c>
      <c r="U79" s="80">
        <f t="shared" si="270"/>
        <v>44044</v>
      </c>
      <c r="V79" s="80">
        <f t="shared" si="270"/>
        <v>44075</v>
      </c>
      <c r="W79" s="80">
        <f t="shared" si="270"/>
        <v>44105</v>
      </c>
      <c r="X79" s="80">
        <f t="shared" si="270"/>
        <v>44136</v>
      </c>
      <c r="Y79" s="80">
        <f t="shared" si="270"/>
        <v>44166</v>
      </c>
      <c r="Z79" s="80">
        <f t="shared" si="270"/>
        <v>44197</v>
      </c>
      <c r="AA79" s="80">
        <f t="shared" si="270"/>
        <v>44228</v>
      </c>
      <c r="AB79" s="80">
        <f t="shared" si="270"/>
        <v>44256</v>
      </c>
      <c r="AC79" s="80">
        <f t="shared" si="270"/>
        <v>44287</v>
      </c>
      <c r="AD79" s="80">
        <f t="shared" si="270"/>
        <v>44317</v>
      </c>
      <c r="AE79" s="80">
        <f t="shared" si="270"/>
        <v>44348</v>
      </c>
      <c r="AF79" s="80">
        <f t="shared" si="270"/>
        <v>44378</v>
      </c>
      <c r="AG79" s="80">
        <f t="shared" si="270"/>
        <v>44409</v>
      </c>
      <c r="AH79" s="80">
        <f t="shared" si="270"/>
        <v>44440</v>
      </c>
      <c r="AI79" s="80">
        <f t="shared" si="270"/>
        <v>44470</v>
      </c>
      <c r="AJ79" s="80">
        <f t="shared" si="270"/>
        <v>44501</v>
      </c>
      <c r="AK79" s="80">
        <f t="shared" si="270"/>
        <v>44531</v>
      </c>
      <c r="AL79" s="80">
        <f t="shared" si="270"/>
        <v>44562</v>
      </c>
      <c r="AM79" s="80">
        <f t="shared" si="270"/>
        <v>44593</v>
      </c>
      <c r="AN79" s="80">
        <f t="shared" si="270"/>
        <v>44621</v>
      </c>
      <c r="AO79" s="80">
        <f t="shared" si="270"/>
        <v>44652</v>
      </c>
      <c r="AP79" s="80">
        <f t="shared" si="270"/>
        <v>44682</v>
      </c>
      <c r="AQ79" s="80">
        <f t="shared" ref="AQ79" si="271">EDATE(AP79,1)</f>
        <v>44713</v>
      </c>
      <c r="AR79" s="80">
        <f t="shared" ref="AR79" si="272">EDATE(AQ79,1)</f>
        <v>44743</v>
      </c>
      <c r="AS79" s="80">
        <f t="shared" ref="AS79" si="273">EDATE(AR79,1)</f>
        <v>44774</v>
      </c>
      <c r="AT79" s="80">
        <f t="shared" ref="AT79" si="274">EDATE(AS79,1)</f>
        <v>44805</v>
      </c>
      <c r="AU79" s="80">
        <f t="shared" ref="AU79" si="275">EDATE(AT79,1)</f>
        <v>44835</v>
      </c>
      <c r="AV79" s="80">
        <f t="shared" ref="AV79" si="276">EDATE(AU79,1)</f>
        <v>44866</v>
      </c>
      <c r="AW79" s="80">
        <f t="shared" ref="AW79" si="277">EDATE(AV79,1)</f>
        <v>44896</v>
      </c>
      <c r="AX79" s="80">
        <f t="shared" ref="AX79" si="278">EDATE(AW79,1)</f>
        <v>44927</v>
      </c>
      <c r="AY79" s="80">
        <f t="shared" ref="AY79" si="279">EDATE(AX79,1)</f>
        <v>44958</v>
      </c>
      <c r="AZ79" s="80">
        <f t="shared" ref="AZ79" si="280">EDATE(AY79,1)</f>
        <v>44986</v>
      </c>
      <c r="BA79" s="80">
        <f t="shared" ref="BA79" si="281">EDATE(AZ79,1)</f>
        <v>45017</v>
      </c>
      <c r="BB79" s="80">
        <f t="shared" ref="BB79" si="282">EDATE(BA79,1)</f>
        <v>45047</v>
      </c>
      <c r="BC79" s="80">
        <f t="shared" ref="BC79" si="283">EDATE(BB79,1)</f>
        <v>45078</v>
      </c>
      <c r="BD79" s="80">
        <f t="shared" ref="BD79" si="284">EDATE(BC79,1)</f>
        <v>45108</v>
      </c>
      <c r="BE79" s="80">
        <f t="shared" ref="BE79" si="285">EDATE(BD79,1)</f>
        <v>45139</v>
      </c>
      <c r="BF79" s="80">
        <f t="shared" ref="BF79" si="286">EDATE(BE79,1)</f>
        <v>45170</v>
      </c>
      <c r="BG79" s="80">
        <f t="shared" ref="BG79" si="287">EDATE(BF79,1)</f>
        <v>45200</v>
      </c>
      <c r="BH79" s="80">
        <f t="shared" ref="BH79" si="288">EDATE(BG79,1)</f>
        <v>45231</v>
      </c>
      <c r="BI79" s="80">
        <f t="shared" ref="BI79" si="289">EDATE(BH79,1)</f>
        <v>45261</v>
      </c>
      <c r="BJ79" s="80">
        <f t="shared" ref="BJ79" si="290">EDATE(BI79,1)</f>
        <v>45292</v>
      </c>
      <c r="BK79" s="80">
        <f t="shared" ref="BK79" si="291">EDATE(BJ79,1)</f>
        <v>45323</v>
      </c>
      <c r="BL79" s="80">
        <f t="shared" ref="BL79" si="292">EDATE(BK79,1)</f>
        <v>45352</v>
      </c>
      <c r="BM79" s="80">
        <f t="shared" ref="BM79" si="293">EDATE(BL79,1)</f>
        <v>45383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145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35" t="s">
        <v>179</v>
      </c>
      <c r="B83" s="236"/>
      <c r="E83" s="4"/>
      <c r="I83" s="4"/>
      <c r="J83" s="4"/>
      <c r="K83" s="6"/>
    </row>
    <row r="84" spans="1:65" ht="16.5" thickBot="1" x14ac:dyDescent="0.3">
      <c r="A84" s="9" t="s">
        <v>180</v>
      </c>
      <c r="B84" s="10">
        <f>B28+B29</f>
        <v>297000</v>
      </c>
    </row>
    <row r="86" spans="1:65" x14ac:dyDescent="0.25">
      <c r="B86" s="173">
        <f>Cashflow!H7</f>
        <v>43466</v>
      </c>
      <c r="C86" s="173">
        <f>EDATE(B86,1)</f>
        <v>43497</v>
      </c>
      <c r="D86" s="173">
        <f t="shared" ref="D86:AP86" si="318">EDATE(C86,1)</f>
        <v>43525</v>
      </c>
      <c r="E86" s="173">
        <f t="shared" si="318"/>
        <v>43556</v>
      </c>
      <c r="F86" s="173">
        <f t="shared" si="318"/>
        <v>43586</v>
      </c>
      <c r="G86" s="173">
        <f t="shared" si="318"/>
        <v>43617</v>
      </c>
      <c r="H86" s="173">
        <f t="shared" si="318"/>
        <v>43647</v>
      </c>
      <c r="I86" s="173">
        <f t="shared" si="318"/>
        <v>43678</v>
      </c>
      <c r="J86" s="173">
        <f t="shared" si="318"/>
        <v>43709</v>
      </c>
      <c r="K86" s="173">
        <f t="shared" si="318"/>
        <v>43739</v>
      </c>
      <c r="L86" s="173">
        <f t="shared" si="318"/>
        <v>43770</v>
      </c>
      <c r="M86" s="173">
        <f t="shared" si="318"/>
        <v>43800</v>
      </c>
      <c r="N86" s="173">
        <f t="shared" si="318"/>
        <v>43831</v>
      </c>
      <c r="O86" s="173">
        <f t="shared" si="318"/>
        <v>43862</v>
      </c>
      <c r="P86" s="173">
        <f t="shared" si="318"/>
        <v>43891</v>
      </c>
      <c r="Q86" s="173">
        <f t="shared" si="318"/>
        <v>43922</v>
      </c>
      <c r="R86" s="173">
        <f t="shared" si="318"/>
        <v>43952</v>
      </c>
      <c r="S86" s="173">
        <f t="shared" si="318"/>
        <v>43983</v>
      </c>
      <c r="T86" s="173">
        <f t="shared" si="318"/>
        <v>44013</v>
      </c>
      <c r="U86" s="173">
        <f t="shared" si="318"/>
        <v>44044</v>
      </c>
      <c r="V86" s="173">
        <f t="shared" si="318"/>
        <v>44075</v>
      </c>
      <c r="W86" s="173">
        <f t="shared" si="318"/>
        <v>44105</v>
      </c>
      <c r="X86" s="173">
        <f t="shared" si="318"/>
        <v>44136</v>
      </c>
      <c r="Y86" s="173">
        <f t="shared" si="318"/>
        <v>44166</v>
      </c>
      <c r="Z86" s="173">
        <f t="shared" si="318"/>
        <v>44197</v>
      </c>
      <c r="AA86" s="173">
        <f t="shared" si="318"/>
        <v>44228</v>
      </c>
      <c r="AB86" s="173">
        <f t="shared" si="318"/>
        <v>44256</v>
      </c>
      <c r="AC86" s="173">
        <f t="shared" si="318"/>
        <v>44287</v>
      </c>
      <c r="AD86" s="173">
        <f t="shared" si="318"/>
        <v>44317</v>
      </c>
      <c r="AE86" s="173">
        <f t="shared" si="318"/>
        <v>44348</v>
      </c>
      <c r="AF86" s="173">
        <f t="shared" si="318"/>
        <v>44378</v>
      </c>
      <c r="AG86" s="173">
        <f t="shared" si="318"/>
        <v>44409</v>
      </c>
      <c r="AH86" s="173">
        <f>EDATE(AG86,1)</f>
        <v>44440</v>
      </c>
      <c r="AI86" s="173">
        <f t="shared" si="318"/>
        <v>44470</v>
      </c>
      <c r="AJ86" s="173">
        <f t="shared" si="318"/>
        <v>44501</v>
      </c>
      <c r="AK86" s="173">
        <f t="shared" si="318"/>
        <v>44531</v>
      </c>
      <c r="AL86" s="173">
        <f t="shared" si="318"/>
        <v>44562</v>
      </c>
      <c r="AM86" s="173">
        <f t="shared" si="318"/>
        <v>44593</v>
      </c>
      <c r="AN86" s="173">
        <f t="shared" si="318"/>
        <v>44621</v>
      </c>
      <c r="AO86" s="173">
        <f t="shared" si="318"/>
        <v>44652</v>
      </c>
      <c r="AP86" s="173">
        <f t="shared" si="318"/>
        <v>44682</v>
      </c>
      <c r="AQ86" s="173">
        <f t="shared" ref="AQ86" si="319">EDATE(AP86,1)</f>
        <v>44713</v>
      </c>
      <c r="AR86" s="173">
        <f t="shared" ref="AR86" si="320">EDATE(AQ86,1)</f>
        <v>44743</v>
      </c>
      <c r="AS86" s="173">
        <f t="shared" ref="AS86" si="321">EDATE(AR86,1)</f>
        <v>44774</v>
      </c>
      <c r="AT86" s="173">
        <f t="shared" ref="AT86" si="322">EDATE(AS86,1)</f>
        <v>44805</v>
      </c>
      <c r="AU86" s="173">
        <f t="shared" ref="AU86" si="323">EDATE(AT86,1)</f>
        <v>44835</v>
      </c>
      <c r="AV86" s="173">
        <f t="shared" ref="AV86" si="324">EDATE(AU86,1)</f>
        <v>44866</v>
      </c>
      <c r="AW86" s="173">
        <f t="shared" ref="AW86" si="325">EDATE(AV86,1)</f>
        <v>44896</v>
      </c>
      <c r="AX86" s="173">
        <f t="shared" ref="AX86" si="326">EDATE(AW86,1)</f>
        <v>44927</v>
      </c>
      <c r="AY86" s="173">
        <f t="shared" ref="AY86" si="327">EDATE(AX86,1)</f>
        <v>44958</v>
      </c>
      <c r="AZ86" s="173">
        <f t="shared" ref="AZ86" si="328">EDATE(AY86,1)</f>
        <v>44986</v>
      </c>
      <c r="BA86" s="173">
        <f t="shared" ref="BA86" si="329">EDATE(AZ86,1)</f>
        <v>45017</v>
      </c>
      <c r="BB86" s="173">
        <f t="shared" ref="BB86" si="330">EDATE(BA86,1)</f>
        <v>45047</v>
      </c>
      <c r="BC86" s="173">
        <f t="shared" ref="BC86" si="331">EDATE(BB86,1)</f>
        <v>45078</v>
      </c>
      <c r="BD86" s="173">
        <f t="shared" ref="BD86" si="332">EDATE(BC86,1)</f>
        <v>45108</v>
      </c>
      <c r="BE86" s="173">
        <f t="shared" ref="BE86" si="333">EDATE(BD86,1)</f>
        <v>45139</v>
      </c>
      <c r="BF86" s="173">
        <f t="shared" ref="BF86" si="334">EDATE(BE86,1)</f>
        <v>45170</v>
      </c>
      <c r="BG86" s="173">
        <f t="shared" ref="BG86" si="335">EDATE(BF86,1)</f>
        <v>45200</v>
      </c>
      <c r="BH86" s="173">
        <f t="shared" ref="BH86" si="336">EDATE(BG86,1)</f>
        <v>45231</v>
      </c>
      <c r="BI86" s="173">
        <f t="shared" ref="BI86" si="337">EDATE(BH86,1)</f>
        <v>45261</v>
      </c>
      <c r="BJ86" s="173">
        <f t="shared" ref="BJ86" si="338">EDATE(BI86,1)</f>
        <v>45292</v>
      </c>
      <c r="BK86" s="173">
        <f t="shared" ref="BK86" si="339">EDATE(BJ86,1)</f>
        <v>45323</v>
      </c>
      <c r="BL86" s="173">
        <f t="shared" ref="BL86" si="340">EDATE(BK86,1)</f>
        <v>45352</v>
      </c>
      <c r="BM86" s="173">
        <f t="shared" ref="BM86" si="341">EDATE(BL86,1)</f>
        <v>45383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145</v>
      </c>
      <c r="B88" s="13">
        <f>B81+B55+B48+B41</f>
        <v>0</v>
      </c>
      <c r="C88" s="13">
        <f t="shared" ref="C88:BM88" si="366">C81+C55+C48+C41</f>
        <v>9881.681039300609</v>
      </c>
      <c r="D88" s="13">
        <f t="shared" si="366"/>
        <v>9881.681039300609</v>
      </c>
      <c r="E88" s="13">
        <f t="shared" si="366"/>
        <v>9881.681039300609</v>
      </c>
      <c r="F88" s="13">
        <f t="shared" si="366"/>
        <v>9881.681039300609</v>
      </c>
      <c r="G88" s="13">
        <f t="shared" si="366"/>
        <v>9881.681039300609</v>
      </c>
      <c r="H88" s="13">
        <f t="shared" si="366"/>
        <v>9881.681039300609</v>
      </c>
      <c r="I88" s="13">
        <f t="shared" si="366"/>
        <v>9881.681039300609</v>
      </c>
      <c r="J88" s="13">
        <f t="shared" si="366"/>
        <v>9881.681039300609</v>
      </c>
      <c r="K88" s="13">
        <f t="shared" si="366"/>
        <v>9881.681039300609</v>
      </c>
      <c r="L88" s="13">
        <f t="shared" si="366"/>
        <v>9881.681039300609</v>
      </c>
      <c r="M88" s="13">
        <f t="shared" si="366"/>
        <v>9881.681039300609</v>
      </c>
      <c r="N88" s="13">
        <f t="shared" si="366"/>
        <v>9881.681039300609</v>
      </c>
      <c r="O88" s="13">
        <f t="shared" si="366"/>
        <v>9881.681039300609</v>
      </c>
      <c r="P88" s="13">
        <f t="shared" si="366"/>
        <v>9881.681039300609</v>
      </c>
      <c r="Q88" s="13">
        <f t="shared" si="366"/>
        <v>9881.681039300609</v>
      </c>
      <c r="R88" s="13">
        <f t="shared" si="366"/>
        <v>9881.681039300609</v>
      </c>
      <c r="S88" s="13">
        <f t="shared" si="366"/>
        <v>9881.681039300609</v>
      </c>
      <c r="T88" s="13">
        <f t="shared" si="366"/>
        <v>9881.681039300609</v>
      </c>
      <c r="U88" s="13">
        <f t="shared" si="366"/>
        <v>9881.681039300609</v>
      </c>
      <c r="V88" s="13">
        <f t="shared" si="366"/>
        <v>9881.681039300609</v>
      </c>
      <c r="W88" s="13">
        <f t="shared" si="366"/>
        <v>9881.681039300609</v>
      </c>
      <c r="X88" s="13">
        <f t="shared" si="366"/>
        <v>9881.681039300609</v>
      </c>
      <c r="Y88" s="13">
        <f t="shared" si="366"/>
        <v>9881.681039300609</v>
      </c>
      <c r="Z88" s="13">
        <f t="shared" si="366"/>
        <v>9881.681039300609</v>
      </c>
      <c r="AA88" s="13">
        <f t="shared" si="366"/>
        <v>9881.681039300609</v>
      </c>
      <c r="AB88" s="13">
        <f t="shared" si="366"/>
        <v>9881.681039300609</v>
      </c>
      <c r="AC88" s="13">
        <f t="shared" si="366"/>
        <v>9881.681039300609</v>
      </c>
      <c r="AD88" s="13">
        <f t="shared" si="366"/>
        <v>9881.681039300609</v>
      </c>
      <c r="AE88" s="13">
        <f t="shared" si="366"/>
        <v>9881.681039300609</v>
      </c>
      <c r="AF88" s="13">
        <f t="shared" si="366"/>
        <v>9881.681039300609</v>
      </c>
      <c r="AG88" s="13">
        <f t="shared" si="366"/>
        <v>9881.681039300609</v>
      </c>
      <c r="AH88" s="13">
        <f t="shared" si="366"/>
        <v>9881.681039300609</v>
      </c>
      <c r="AI88" s="13">
        <f t="shared" si="366"/>
        <v>9881.681039300609</v>
      </c>
      <c r="AJ88" s="13">
        <f t="shared" si="366"/>
        <v>9881.681039300609</v>
      </c>
      <c r="AK88" s="13">
        <f t="shared" si="366"/>
        <v>9881.681039300609</v>
      </c>
      <c r="AL88" s="13">
        <f t="shared" si="366"/>
        <v>9881.681039300609</v>
      </c>
      <c r="AM88" s="13">
        <f t="shared" si="366"/>
        <v>0</v>
      </c>
      <c r="AN88" s="13">
        <f t="shared" si="366"/>
        <v>0</v>
      </c>
      <c r="AO88" s="13">
        <f t="shared" si="366"/>
        <v>0</v>
      </c>
      <c r="AP88" s="13">
        <f t="shared" si="366"/>
        <v>0</v>
      </c>
      <c r="AQ88" s="13">
        <f t="shared" si="366"/>
        <v>0</v>
      </c>
      <c r="AR88" s="13">
        <f t="shared" si="366"/>
        <v>0</v>
      </c>
      <c r="AS88" s="13">
        <f t="shared" si="366"/>
        <v>0</v>
      </c>
      <c r="AT88" s="13">
        <f t="shared" si="366"/>
        <v>0</v>
      </c>
      <c r="AU88" s="13">
        <f t="shared" si="366"/>
        <v>0</v>
      </c>
      <c r="AV88" s="13">
        <f t="shared" si="366"/>
        <v>0</v>
      </c>
      <c r="AW88" s="13">
        <f t="shared" si="366"/>
        <v>0</v>
      </c>
      <c r="AX88" s="13">
        <f t="shared" si="366"/>
        <v>0</v>
      </c>
      <c r="AY88" s="13">
        <f t="shared" si="366"/>
        <v>0</v>
      </c>
      <c r="AZ88" s="13">
        <f t="shared" si="366"/>
        <v>0</v>
      </c>
      <c r="BA88" s="13">
        <f t="shared" si="366"/>
        <v>0</v>
      </c>
      <c r="BB88" s="13">
        <f t="shared" si="366"/>
        <v>0</v>
      </c>
      <c r="BC88" s="13">
        <f t="shared" si="366"/>
        <v>0</v>
      </c>
      <c r="BD88" s="13">
        <f t="shared" si="366"/>
        <v>0</v>
      </c>
      <c r="BE88" s="13">
        <f t="shared" si="366"/>
        <v>0</v>
      </c>
      <c r="BF88" s="13">
        <f t="shared" si="366"/>
        <v>0</v>
      </c>
      <c r="BG88" s="13">
        <f t="shared" si="366"/>
        <v>0</v>
      </c>
      <c r="BH88" s="13">
        <f t="shared" si="366"/>
        <v>0</v>
      </c>
      <c r="BI88" s="13">
        <f t="shared" si="366"/>
        <v>0</v>
      </c>
      <c r="BJ88" s="13">
        <f t="shared" si="366"/>
        <v>0</v>
      </c>
      <c r="BK88" s="13">
        <f t="shared" si="366"/>
        <v>0</v>
      </c>
      <c r="BL88" s="13">
        <f t="shared" si="366"/>
        <v>0</v>
      </c>
      <c r="BM88" s="13">
        <f t="shared" si="366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61" t="s">
        <v>181</v>
      </c>
      <c r="C1" s="261"/>
      <c r="D1" s="261"/>
      <c r="E1" s="261"/>
      <c r="F1" s="261"/>
    </row>
    <row r="2" spans="1:8" ht="15" customHeight="1" x14ac:dyDescent="0.25">
      <c r="B2" s="261"/>
      <c r="C2" s="261"/>
      <c r="D2" s="261"/>
      <c r="E2" s="261"/>
      <c r="F2" s="261"/>
    </row>
    <row r="3" spans="1:8" ht="15" customHeight="1" x14ac:dyDescent="0.25">
      <c r="A3" s="267" t="s">
        <v>182</v>
      </c>
      <c r="B3" s="56" t="s">
        <v>183</v>
      </c>
      <c r="C3" s="56"/>
      <c r="D3" s="56"/>
      <c r="E3" s="56"/>
      <c r="F3" s="55"/>
      <c r="H3" s="227" t="s">
        <v>184</v>
      </c>
    </row>
    <row r="4" spans="1:8" x14ac:dyDescent="0.25">
      <c r="A4" s="267"/>
      <c r="B4" s="21" t="s">
        <v>185</v>
      </c>
      <c r="C4" s="22" t="s">
        <v>186</v>
      </c>
      <c r="D4" t="s">
        <v>187</v>
      </c>
      <c r="E4" t="s">
        <v>180</v>
      </c>
      <c r="H4" s="58" t="s">
        <v>188</v>
      </c>
    </row>
    <row r="5" spans="1:8" x14ac:dyDescent="0.25">
      <c r="A5" s="267"/>
      <c r="B5" t="s">
        <v>189</v>
      </c>
      <c r="C5" s="45">
        <v>1</v>
      </c>
      <c r="D5" s="4">
        <v>9600</v>
      </c>
      <c r="E5" s="4">
        <f t="shared" ref="E5:E10" si="0">C5*D5</f>
        <v>9600</v>
      </c>
      <c r="H5" s="59" t="s">
        <v>190</v>
      </c>
    </row>
    <row r="6" spans="1:8" x14ac:dyDescent="0.25">
      <c r="A6" s="267"/>
      <c r="B6" t="s">
        <v>191</v>
      </c>
      <c r="C6" s="45">
        <v>1</v>
      </c>
      <c r="D6" s="4">
        <v>10000</v>
      </c>
      <c r="E6" s="4">
        <f t="shared" si="0"/>
        <v>10000</v>
      </c>
      <c r="H6" s="61" t="s">
        <v>192</v>
      </c>
    </row>
    <row r="7" spans="1:8" x14ac:dyDescent="0.25">
      <c r="A7" s="267"/>
      <c r="B7" t="s">
        <v>193</v>
      </c>
      <c r="C7" s="45">
        <v>1</v>
      </c>
      <c r="D7" s="4">
        <v>10250</v>
      </c>
      <c r="E7" s="4">
        <f t="shared" si="0"/>
        <v>10250</v>
      </c>
      <c r="H7" s="66" t="s">
        <v>194</v>
      </c>
    </row>
    <row r="8" spans="1:8" x14ac:dyDescent="0.25">
      <c r="A8" s="267"/>
      <c r="B8" t="s">
        <v>195</v>
      </c>
      <c r="C8" s="45"/>
      <c r="D8" s="4"/>
      <c r="E8" s="4">
        <f t="shared" si="0"/>
        <v>0</v>
      </c>
    </row>
    <row r="9" spans="1:8" x14ac:dyDescent="0.25">
      <c r="A9" s="267"/>
      <c r="C9" s="45"/>
      <c r="D9" s="52"/>
      <c r="E9" s="4">
        <f t="shared" si="0"/>
        <v>0</v>
      </c>
    </row>
    <row r="10" spans="1:8" x14ac:dyDescent="0.25">
      <c r="A10" s="267"/>
      <c r="C10" s="45"/>
      <c r="D10" s="4"/>
      <c r="E10" s="4">
        <f t="shared" si="0"/>
        <v>0</v>
      </c>
    </row>
    <row r="11" spans="1:8" x14ac:dyDescent="0.25">
      <c r="B11" s="67" t="s">
        <v>196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197</v>
      </c>
      <c r="C13" s="57"/>
      <c r="D13" s="57"/>
      <c r="E13" s="57"/>
      <c r="F13" s="57"/>
    </row>
    <row r="14" spans="1:8" x14ac:dyDescent="0.25">
      <c r="A14" s="270" t="s">
        <v>198</v>
      </c>
      <c r="B14" s="21" t="s">
        <v>185</v>
      </c>
      <c r="C14" s="22" t="s">
        <v>186</v>
      </c>
      <c r="D14" s="59" t="s">
        <v>199</v>
      </c>
      <c r="E14" t="s">
        <v>187</v>
      </c>
      <c r="F14" t="s">
        <v>180</v>
      </c>
    </row>
    <row r="15" spans="1:8" x14ac:dyDescent="0.25">
      <c r="A15" s="270"/>
      <c r="B15" t="s">
        <v>189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70"/>
      <c r="B16" t="s">
        <v>200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70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70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70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70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196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68" t="s">
        <v>201</v>
      </c>
      <c r="C23" s="269"/>
      <c r="D23" s="265">
        <f>(F21/E11)-1</f>
        <v>3.5516750418760346E-2</v>
      </c>
      <c r="E23" s="266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62" t="s">
        <v>202</v>
      </c>
      <c r="B25" s="56" t="s">
        <v>203</v>
      </c>
      <c r="C25" s="56"/>
      <c r="D25" s="56"/>
      <c r="E25" s="56"/>
      <c r="F25" s="55"/>
    </row>
    <row r="26" spans="1:7" x14ac:dyDescent="0.25">
      <c r="A26" s="262"/>
      <c r="B26" s="21" t="s">
        <v>185</v>
      </c>
      <c r="C26" s="22" t="s">
        <v>186</v>
      </c>
      <c r="D26" t="s">
        <v>187</v>
      </c>
      <c r="E26" t="s">
        <v>180</v>
      </c>
    </row>
    <row r="27" spans="1:7" x14ac:dyDescent="0.25">
      <c r="A27" s="262"/>
      <c r="B27" t="s">
        <v>204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62"/>
      <c r="B28" t="s">
        <v>200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62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62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62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62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196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63" t="s">
        <v>205</v>
      </c>
      <c r="C35" s="264"/>
      <c r="D35" s="265">
        <f>(E33/E11)-1</f>
        <v>-0.27303182579564489</v>
      </c>
      <c r="E35" s="266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43" t="s">
        <v>206</v>
      </c>
      <c r="B1" s="243"/>
      <c r="C1" s="243"/>
    </row>
    <row r="2" spans="1:3" x14ac:dyDescent="0.25">
      <c r="B2" s="225" t="s">
        <v>65</v>
      </c>
      <c r="C2" s="225" t="s">
        <v>207</v>
      </c>
    </row>
    <row r="3" spans="1:3" x14ac:dyDescent="0.25">
      <c r="A3" s="37" t="s">
        <v>66</v>
      </c>
      <c r="B3" s="39">
        <v>6.4999999999999997E-3</v>
      </c>
      <c r="C3" s="39">
        <v>1.6500000000000001E-2</v>
      </c>
    </row>
    <row r="4" spans="1:3" x14ac:dyDescent="0.25">
      <c r="A4" s="225" t="s">
        <v>67</v>
      </c>
      <c r="B4" s="40">
        <v>0.03</v>
      </c>
      <c r="C4" s="40">
        <v>7.5999999999999998E-2</v>
      </c>
    </row>
    <row r="5" spans="1:3" x14ac:dyDescent="0.25">
      <c r="A5" s="37" t="s">
        <v>68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43" t="s">
        <v>208</v>
      </c>
      <c r="B7" s="243"/>
    </row>
    <row r="8" spans="1:3" x14ac:dyDescent="0.25">
      <c r="A8" t="s">
        <v>209</v>
      </c>
      <c r="B8" s="42">
        <v>0.15</v>
      </c>
    </row>
    <row r="9" spans="1:3" x14ac:dyDescent="0.25">
      <c r="A9" s="38" t="s">
        <v>210</v>
      </c>
      <c r="B9" s="43">
        <v>0.09</v>
      </c>
    </row>
    <row r="10" spans="1:3" x14ac:dyDescent="0.25">
      <c r="A10" t="s">
        <v>211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71" t="s">
        <v>212</v>
      </c>
      <c r="B1" s="271"/>
      <c r="C1" s="271"/>
      <c r="D1" s="271"/>
      <c r="E1" s="271"/>
    </row>
    <row r="2" spans="1:9" ht="15" customHeight="1" x14ac:dyDescent="0.25">
      <c r="A2" s="271"/>
      <c r="B2" s="271"/>
      <c r="C2" s="271"/>
      <c r="D2" s="271"/>
      <c r="E2" s="271"/>
    </row>
    <row r="3" spans="1:9" x14ac:dyDescent="0.25">
      <c r="A3" s="62" t="s">
        <v>213</v>
      </c>
      <c r="B3" s="54" t="s">
        <v>214</v>
      </c>
      <c r="C3" s="54" t="s">
        <v>36</v>
      </c>
      <c r="D3" s="54" t="s">
        <v>215</v>
      </c>
      <c r="E3" s="54" t="s">
        <v>216</v>
      </c>
    </row>
    <row r="4" spans="1:9" ht="16.5" thickBot="1" x14ac:dyDescent="0.3">
      <c r="A4" t="s">
        <v>217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218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71" t="s">
        <v>219</v>
      </c>
      <c r="B9" s="271"/>
      <c r="C9" s="271"/>
      <c r="D9" s="271"/>
      <c r="E9" s="271"/>
      <c r="F9" s="271"/>
      <c r="G9" s="271"/>
    </row>
    <row r="10" spans="1:9" ht="15" customHeight="1" x14ac:dyDescent="0.25">
      <c r="A10" s="271"/>
      <c r="B10" s="271"/>
      <c r="C10" s="271"/>
      <c r="D10" s="271"/>
      <c r="E10" s="271"/>
      <c r="F10" s="271"/>
      <c r="G10" s="271"/>
    </row>
    <row r="11" spans="1:9" x14ac:dyDescent="0.25">
      <c r="A11" s="62" t="s">
        <v>220</v>
      </c>
      <c r="B11" s="62" t="s">
        <v>221</v>
      </c>
      <c r="C11" s="62" t="s">
        <v>36</v>
      </c>
      <c r="D11" s="62" t="s">
        <v>222</v>
      </c>
      <c r="E11" s="62" t="s">
        <v>223</v>
      </c>
      <c r="F11" s="62" t="s">
        <v>224</v>
      </c>
      <c r="G11" s="62" t="s">
        <v>225</v>
      </c>
    </row>
    <row r="12" spans="1:9" x14ac:dyDescent="0.25">
      <c r="A12" s="166" t="s">
        <v>226</v>
      </c>
      <c r="B12" t="str">
        <f>Dados!A29</f>
        <v>25.360 vtr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81" t="s">
        <v>227</v>
      </c>
      <c r="B1" s="281"/>
      <c r="C1" s="281"/>
      <c r="D1" s="281"/>
    </row>
    <row r="2" spans="1:4" ht="16.5" thickBot="1" x14ac:dyDescent="0.3">
      <c r="A2" s="281"/>
      <c r="B2" s="281"/>
      <c r="C2" s="281"/>
      <c r="D2" s="281"/>
    </row>
    <row r="3" spans="1:4" ht="16.5" hidden="1" thickBot="1" x14ac:dyDescent="0.3">
      <c r="A3" s="88" t="s">
        <v>72</v>
      </c>
      <c r="B3" s="88">
        <v>4000</v>
      </c>
    </row>
    <row r="4" spans="1:4" ht="15" hidden="1" customHeight="1" x14ac:dyDescent="0.25">
      <c r="C4" s="83" t="s">
        <v>228</v>
      </c>
      <c r="D4" s="279" t="s">
        <v>229</v>
      </c>
    </row>
    <row r="5" spans="1:4" ht="59.1" hidden="1" customHeight="1" x14ac:dyDescent="0.25">
      <c r="A5" s="48" t="s">
        <v>221</v>
      </c>
      <c r="B5" s="50" t="s">
        <v>215</v>
      </c>
      <c r="C5" s="99" t="s">
        <v>230</v>
      </c>
      <c r="D5" s="279"/>
    </row>
    <row r="6" spans="1:4" ht="16.5" hidden="1" thickBot="1" x14ac:dyDescent="0.3">
      <c r="A6" s="49" t="s">
        <v>140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231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68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232</v>
      </c>
    </row>
    <row r="12" spans="1:4" ht="16.5" hidden="1" thickBot="1" x14ac:dyDescent="0.3">
      <c r="A12" t="s">
        <v>233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72</v>
      </c>
      <c r="B15" s="51">
        <v>6000</v>
      </c>
    </row>
    <row r="16" spans="1:4" ht="15" hidden="1" customHeight="1" x14ac:dyDescent="0.25">
      <c r="C16" s="83" t="s">
        <v>228</v>
      </c>
      <c r="D16" s="279" t="s">
        <v>229</v>
      </c>
    </row>
    <row r="17" spans="1:10" ht="56.1" hidden="1" customHeight="1" x14ac:dyDescent="0.25">
      <c r="A17" s="48" t="s">
        <v>221</v>
      </c>
      <c r="B17" s="50" t="s">
        <v>215</v>
      </c>
      <c r="C17" s="99" t="s">
        <v>230</v>
      </c>
      <c r="D17" s="279"/>
    </row>
    <row r="18" spans="1:10" ht="16.5" hidden="1" thickBot="1" x14ac:dyDescent="0.3">
      <c r="A18" s="49" t="s">
        <v>140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231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68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72</v>
      </c>
      <c r="B24" s="89">
        <v>8000</v>
      </c>
    </row>
    <row r="25" spans="1:10" ht="15" hidden="1" customHeight="1" x14ac:dyDescent="0.25">
      <c r="C25" s="83" t="s">
        <v>228</v>
      </c>
      <c r="D25" s="279" t="s">
        <v>229</v>
      </c>
    </row>
    <row r="26" spans="1:10" ht="56.1" hidden="1" customHeight="1" x14ac:dyDescent="0.25">
      <c r="A26" s="48" t="s">
        <v>221</v>
      </c>
      <c r="B26" s="50" t="s">
        <v>215</v>
      </c>
      <c r="C26" s="99" t="s">
        <v>230</v>
      </c>
      <c r="D26" s="279"/>
    </row>
    <row r="27" spans="1:10" ht="16.5" hidden="1" thickBot="1" x14ac:dyDescent="0.3">
      <c r="A27" s="49" t="s">
        <v>140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231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68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82" t="s">
        <v>72</v>
      </c>
      <c r="B32" s="284">
        <f>Dados!C14</f>
        <v>0</v>
      </c>
      <c r="C32" s="248" t="s">
        <v>234</v>
      </c>
      <c r="D32" s="249"/>
      <c r="E32" s="248" t="s">
        <v>235</v>
      </c>
      <c r="F32" s="249"/>
      <c r="G32" s="248" t="s">
        <v>236</v>
      </c>
      <c r="H32" s="274"/>
      <c r="I32" s="248" t="s">
        <v>237</v>
      </c>
      <c r="J32" s="274"/>
    </row>
    <row r="33" spans="1:10" ht="16.5" thickBot="1" x14ac:dyDescent="0.3">
      <c r="A33" s="283"/>
      <c r="B33" s="285"/>
      <c r="C33" s="275"/>
      <c r="D33" s="280"/>
      <c r="E33" s="275"/>
      <c r="F33" s="280"/>
      <c r="G33" s="275"/>
      <c r="H33" s="276"/>
      <c r="I33" s="275"/>
      <c r="J33" s="276"/>
    </row>
    <row r="34" spans="1:10" ht="15" customHeight="1" x14ac:dyDescent="0.25">
      <c r="A34" s="286" t="s">
        <v>221</v>
      </c>
      <c r="B34" s="287"/>
      <c r="C34" s="277" t="s">
        <v>228</v>
      </c>
      <c r="D34" s="279" t="s">
        <v>238</v>
      </c>
      <c r="E34" s="277" t="s">
        <v>228</v>
      </c>
      <c r="F34" s="279" t="s">
        <v>238</v>
      </c>
      <c r="G34" s="277" t="s">
        <v>228</v>
      </c>
      <c r="H34" s="278" t="s">
        <v>238</v>
      </c>
      <c r="I34" s="277" t="s">
        <v>228</v>
      </c>
      <c r="J34" s="278" t="s">
        <v>238</v>
      </c>
    </row>
    <row r="35" spans="1:10" x14ac:dyDescent="0.25">
      <c r="A35" s="288"/>
      <c r="B35" s="289"/>
      <c r="C35" s="277"/>
      <c r="D35" s="279"/>
      <c r="E35" s="277"/>
      <c r="F35" s="279"/>
      <c r="G35" s="277"/>
      <c r="H35" s="278"/>
      <c r="I35" s="277"/>
      <c r="J35" s="278"/>
    </row>
    <row r="36" spans="1:10" ht="16.5" thickBot="1" x14ac:dyDescent="0.3">
      <c r="A36" s="272" t="str">
        <f>Dados!A29</f>
        <v>25.360 vtr</v>
      </c>
      <c r="B36" s="273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8"/>
  <sheetViews>
    <sheetView showGridLines="0" workbookViewId="0">
      <selection activeCell="F7" sqref="F7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8" bestFit="1" customWidth="1"/>
    <col min="11" max="11" width="13.875" bestFit="1" customWidth="1"/>
  </cols>
  <sheetData>
    <row r="1" spans="1:23" ht="41.1" customHeight="1" x14ac:dyDescent="0.25">
      <c r="A1" s="293" t="s">
        <v>239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</row>
    <row r="2" spans="1:23" x14ac:dyDescent="0.25">
      <c r="A2" s="243" t="s">
        <v>240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</row>
    <row r="3" spans="1:23" x14ac:dyDescent="0.25">
      <c r="A3" s="243" t="s">
        <v>241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</row>
    <row r="4" spans="1:23" x14ac:dyDescent="0.25">
      <c r="A4" s="294" t="s">
        <v>242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</row>
    <row r="5" spans="1:23" ht="30" customHeight="1" x14ac:dyDescent="0.25">
      <c r="A5" s="47"/>
      <c r="B5" s="47"/>
      <c r="C5" s="290" t="s">
        <v>243</v>
      </c>
      <c r="D5" s="291"/>
      <c r="E5" s="292"/>
      <c r="F5" s="291" t="s">
        <v>244</v>
      </c>
      <c r="G5" s="291"/>
      <c r="H5" s="292"/>
      <c r="I5" s="290" t="s">
        <v>245</v>
      </c>
      <c r="J5" s="291"/>
      <c r="K5" s="292"/>
      <c r="L5" s="290" t="s">
        <v>244</v>
      </c>
      <c r="M5" s="291"/>
      <c r="N5" s="292"/>
      <c r="O5" s="290" t="s">
        <v>246</v>
      </c>
      <c r="P5" s="291"/>
      <c r="Q5" s="292"/>
      <c r="R5" s="290" t="s">
        <v>247</v>
      </c>
      <c r="S5" s="291"/>
      <c r="T5" s="292"/>
      <c r="U5" s="290" t="s">
        <v>248</v>
      </c>
      <c r="V5" s="291"/>
      <c r="W5" s="292"/>
    </row>
    <row r="6" spans="1:23" x14ac:dyDescent="0.25">
      <c r="A6" s="21" t="s">
        <v>221</v>
      </c>
      <c r="B6" s="21" t="s">
        <v>249</v>
      </c>
      <c r="C6" s="22" t="s">
        <v>82</v>
      </c>
      <c r="D6" s="23" t="s">
        <v>250</v>
      </c>
      <c r="E6" s="23" t="s">
        <v>251</v>
      </c>
      <c r="F6" s="21" t="s">
        <v>82</v>
      </c>
      <c r="G6" s="21" t="s">
        <v>250</v>
      </c>
      <c r="H6" s="21" t="s">
        <v>251</v>
      </c>
      <c r="I6" s="22" t="s">
        <v>82</v>
      </c>
      <c r="J6" s="23" t="s">
        <v>250</v>
      </c>
      <c r="K6" s="23" t="s">
        <v>252</v>
      </c>
      <c r="L6" s="22" t="s">
        <v>82</v>
      </c>
      <c r="M6" s="23" t="s">
        <v>250</v>
      </c>
      <c r="N6" s="23" t="s">
        <v>252</v>
      </c>
      <c r="O6" s="22" t="s">
        <v>82</v>
      </c>
      <c r="P6" s="23" t="s">
        <v>250</v>
      </c>
      <c r="Q6" s="23" t="s">
        <v>252</v>
      </c>
      <c r="R6" s="22" t="s">
        <v>82</v>
      </c>
      <c r="S6" s="23" t="s">
        <v>250</v>
      </c>
      <c r="T6" s="23" t="s">
        <v>252</v>
      </c>
      <c r="U6" s="22" t="s">
        <v>82</v>
      </c>
      <c r="V6" s="23" t="s">
        <v>250</v>
      </c>
      <c r="W6" s="23" t="s">
        <v>252</v>
      </c>
    </row>
    <row r="7" spans="1:23" x14ac:dyDescent="0.25">
      <c r="A7" t="str">
        <f>Dados!A29</f>
        <v>25.360 vtr</v>
      </c>
      <c r="B7" s="90">
        <f>Dados!C32</f>
        <v>297000</v>
      </c>
      <c r="C7" s="18">
        <f>((B7*0.015)*0.97)</f>
        <v>4321.3499999999995</v>
      </c>
      <c r="D7" s="19">
        <v>600</v>
      </c>
      <c r="E7" s="19">
        <f>C7+D7</f>
        <v>4921.3499999999995</v>
      </c>
      <c r="F7" s="2">
        <f>(B7*0.015)*0.97</f>
        <v>4321.3499999999995</v>
      </c>
      <c r="G7" s="1">
        <v>150</v>
      </c>
      <c r="H7" s="1">
        <f>F7+G7</f>
        <v>4471.3499999999995</v>
      </c>
      <c r="I7" s="18">
        <f>((B7*0.85)*0.015)*0.97</f>
        <v>3673.1475</v>
      </c>
      <c r="J7" s="19">
        <v>150</v>
      </c>
      <c r="K7" s="19">
        <f>I7+J7</f>
        <v>3823.1475</v>
      </c>
      <c r="L7" s="18">
        <f>(((B7*0.85)*0.85)*0.015)*0.97</f>
        <v>3122.1753749999998</v>
      </c>
      <c r="M7" s="19">
        <v>150</v>
      </c>
      <c r="N7" s="19">
        <f>L7+M7</f>
        <v>3272.1753749999998</v>
      </c>
      <c r="O7" s="18">
        <f>((((B7*0.85)*0.85)*0.85)*0.015)*0.97</f>
        <v>2653.8490687500002</v>
      </c>
      <c r="P7" s="19">
        <v>150</v>
      </c>
      <c r="Q7" s="19">
        <f>O7+P7</f>
        <v>2803.8490687500002</v>
      </c>
      <c r="R7" s="18">
        <f>(((((B7*0.85)*0.85)*0.85)*0.85)*0.015)*0.97</f>
        <v>2255.7717084374999</v>
      </c>
      <c r="S7" s="19">
        <v>150</v>
      </c>
      <c r="T7" s="19">
        <f>R7+S7</f>
        <v>2405.7717084374999</v>
      </c>
      <c r="U7" s="18">
        <f>((((((B7*0.85)*0.85)*0.85)*0.85)*0.85)*0.015)*0.97</f>
        <v>1917.4059521718743</v>
      </c>
      <c r="V7" s="19">
        <v>150</v>
      </c>
      <c r="W7" s="19">
        <f>U7+V7</f>
        <v>2067.4059521718746</v>
      </c>
    </row>
    <row r="8" spans="1:23" x14ac:dyDescent="0.25">
      <c r="B8" s="84"/>
    </row>
  </sheetData>
  <mergeCells count="11">
    <mergeCell ref="R5:T5"/>
    <mergeCell ref="U5:W5"/>
    <mergeCell ref="O5:Q5"/>
    <mergeCell ref="L5:N5"/>
    <mergeCell ref="A1:K1"/>
    <mergeCell ref="I5:K5"/>
    <mergeCell ref="C5:E5"/>
    <mergeCell ref="A3:K3"/>
    <mergeCell ref="A4:K4"/>
    <mergeCell ref="A2:K2"/>
    <mergeCell ref="F5:H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253</v>
      </c>
      <c r="E9">
        <f>E8*(1-4.3%)</f>
        <v>2.1570780000000001E-2</v>
      </c>
    </row>
    <row r="10" spans="4:9" x14ac:dyDescent="0.25">
      <c r="E10">
        <v>179700</v>
      </c>
      <c r="G10" s="244" t="s">
        <v>254</v>
      </c>
      <c r="H10" s="244"/>
      <c r="I10" s="244"/>
    </row>
    <row r="11" spans="4:9" x14ac:dyDescent="0.25">
      <c r="E11">
        <f>E9*E10</f>
        <v>3876.269166</v>
      </c>
      <c r="I11" t="s">
        <v>255</v>
      </c>
    </row>
    <row r="12" spans="4:9" x14ac:dyDescent="0.25">
      <c r="G12" t="s">
        <v>256</v>
      </c>
      <c r="H12">
        <v>30</v>
      </c>
      <c r="I12" s="182">
        <v>8.0000000000000002E-3</v>
      </c>
    </row>
    <row r="13" spans="4:9" x14ac:dyDescent="0.25">
      <c r="G13" t="s">
        <v>257</v>
      </c>
      <c r="H13">
        <v>1</v>
      </c>
      <c r="I13" s="216">
        <f>I12/30</f>
        <v>2.6666666666666668E-4</v>
      </c>
    </row>
    <row r="15" spans="4:9" x14ac:dyDescent="0.25">
      <c r="G15" t="s">
        <v>258</v>
      </c>
      <c r="H15">
        <v>10</v>
      </c>
      <c r="I15" s="195">
        <v>0</v>
      </c>
    </row>
    <row r="16" spans="4:9" x14ac:dyDescent="0.25">
      <c r="G16" t="s">
        <v>259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260</v>
      </c>
      <c r="H20">
        <f>H16-H15</f>
        <v>80</v>
      </c>
    </row>
    <row r="25" spans="3:11" x14ac:dyDescent="0.25">
      <c r="C25" t="s">
        <v>261</v>
      </c>
      <c r="D25" t="s">
        <v>262</v>
      </c>
      <c r="E25" s="220">
        <v>1</v>
      </c>
      <c r="F25" s="4">
        <v>79700</v>
      </c>
    </row>
    <row r="26" spans="3:11" x14ac:dyDescent="0.25">
      <c r="C26" t="s">
        <v>263</v>
      </c>
      <c r="D26" t="s">
        <v>264</v>
      </c>
      <c r="E26" t="s">
        <v>265</v>
      </c>
      <c r="F26" t="s">
        <v>266</v>
      </c>
      <c r="G26" t="s">
        <v>267</v>
      </c>
      <c r="H26" t="s">
        <v>268</v>
      </c>
      <c r="I26" t="s">
        <v>269</v>
      </c>
      <c r="J26" t="s">
        <v>270</v>
      </c>
      <c r="K26" t="s">
        <v>271</v>
      </c>
    </row>
    <row r="27" spans="3:11" x14ac:dyDescent="0.25">
      <c r="C27">
        <v>0</v>
      </c>
      <c r="D27" t="s">
        <v>272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273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274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275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276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277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278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279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280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281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274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282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283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284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285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276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286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279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287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288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273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275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283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289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290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276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277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279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287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281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273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291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275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292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290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276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277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293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280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281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294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295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275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283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290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296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277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293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297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280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298</v>
      </c>
      <c r="D77" t="s">
        <v>299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272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273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274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275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276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277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278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279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280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281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274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282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283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284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285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276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286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279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287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288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273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275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283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289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290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276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277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279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287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281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273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291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275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292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290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276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277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293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280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281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294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295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275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283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290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296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277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293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297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280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2026-07-17T00:50:08Z</dcterms:modified>
  <cp:category/>
  <cp:contentStatus/>
</cp:coreProperties>
</file>