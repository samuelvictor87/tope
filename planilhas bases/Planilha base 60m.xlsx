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istrador\Downloads\planilhas bases\"/>
    </mc:Choice>
  </mc:AlternateContent>
  <xr:revisionPtr revIDLastSave="0" documentId="13_ncr:1_{3548AD6F-2806-44E7-ADF4-AD2C53B0914A}" xr6:coauthVersionLast="47" xr6:coauthVersionMax="47" xr10:uidLastSave="{00000000-0000-0000-0000-000000000000}"/>
  <bookViews>
    <workbookView xWindow="11568" yWindow="12984" windowWidth="23256" windowHeight="12456" tabRatio="806" xr2:uid="{00000000-000D-0000-FFFF-FFFF00000000}"/>
  </bookViews>
  <sheets>
    <sheet name="Dados" sheetId="2" r:id="rId1"/>
    <sheet name="Cashflow" sheetId="42" r:id="rId2"/>
    <sheet name="Financ " sheetId="14" r:id="rId3"/>
    <sheet name="Receita" sheetId="12" state="hidden" r:id="rId4"/>
    <sheet name="Tributos" sheetId="6" r:id="rId5"/>
    <sheet name="Seguros-Rastreamento" sheetId="7" r:id="rId6"/>
    <sheet name="Manutenção" sheetId="8" r:id="rId7"/>
    <sheet name="Licenciamento" sheetId="10" r:id="rId8"/>
    <sheet name="Sheet1" sheetId="4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" i="42" l="1"/>
  <c r="H3" i="42"/>
  <c r="H4" i="42"/>
  <c r="C8" i="2"/>
  <c r="G8" i="2"/>
  <c r="C10" i="2"/>
  <c r="G10" i="2"/>
  <c r="C15" i="2"/>
  <c r="C12" i="2" s="1"/>
  <c r="C16" i="2"/>
  <c r="C30" i="2"/>
  <c r="B29" i="14" s="1"/>
  <c r="I66" i="42"/>
  <c r="J66" i="42"/>
  <c r="E9" i="43"/>
  <c r="E11" i="43"/>
  <c r="K28" i="42"/>
  <c r="T28" i="42" s="1"/>
  <c r="K15" i="42"/>
  <c r="E4" i="7"/>
  <c r="K16" i="42"/>
  <c r="G12" i="7"/>
  <c r="M17" i="42"/>
  <c r="B32" i="8"/>
  <c r="D36" i="8"/>
  <c r="N18" i="42"/>
  <c r="K18" i="42"/>
  <c r="L15" i="42"/>
  <c r="L16" i="42"/>
  <c r="L18" i="42"/>
  <c r="M15" i="42"/>
  <c r="M16" i="42"/>
  <c r="M18" i="42"/>
  <c r="N15" i="42"/>
  <c r="N16" i="42"/>
  <c r="N17" i="42"/>
  <c r="N13" i="42" s="1"/>
  <c r="H55" i="14"/>
  <c r="O15" i="42"/>
  <c r="O16" i="42"/>
  <c r="O17" i="42"/>
  <c r="I55" i="14"/>
  <c r="P15" i="42"/>
  <c r="P16" i="42"/>
  <c r="P18" i="42"/>
  <c r="P13" i="42"/>
  <c r="J55" i="14"/>
  <c r="Q15" i="42"/>
  <c r="Q16" i="42"/>
  <c r="Q18" i="42"/>
  <c r="Q13" i="42"/>
  <c r="K55" i="14"/>
  <c r="R15" i="42"/>
  <c r="R16" i="42"/>
  <c r="R18" i="42"/>
  <c r="R13" i="42" s="1"/>
  <c r="L55" i="14"/>
  <c r="S15" i="42"/>
  <c r="S16" i="42"/>
  <c r="M55" i="14"/>
  <c r="T15" i="42"/>
  <c r="T16" i="42"/>
  <c r="T18" i="42"/>
  <c r="T13" i="42"/>
  <c r="N55" i="14"/>
  <c r="U15" i="42"/>
  <c r="U16" i="42"/>
  <c r="U18" i="42"/>
  <c r="O55" i="14"/>
  <c r="V15" i="42"/>
  <c r="V16" i="42"/>
  <c r="V18" i="42"/>
  <c r="P55" i="14"/>
  <c r="W15" i="42"/>
  <c r="E5" i="7"/>
  <c r="W16" i="42"/>
  <c r="E13" i="7"/>
  <c r="G13" i="7"/>
  <c r="W17" i="42"/>
  <c r="F36" i="8"/>
  <c r="W18" i="42"/>
  <c r="Q55" i="14"/>
  <c r="X15" i="42"/>
  <c r="X16" i="42"/>
  <c r="R55" i="14"/>
  <c r="Y15" i="42"/>
  <c r="Y18" i="42"/>
  <c r="S55" i="14"/>
  <c r="Z15" i="42"/>
  <c r="Z17" i="42"/>
  <c r="Z18" i="42"/>
  <c r="T55" i="14"/>
  <c r="AA15" i="42"/>
  <c r="AA16" i="42"/>
  <c r="AA18" i="42"/>
  <c r="U55" i="14"/>
  <c r="AB15" i="42"/>
  <c r="AB16" i="42"/>
  <c r="AB18" i="42"/>
  <c r="V55" i="14"/>
  <c r="AC15" i="42"/>
  <c r="AC18" i="42"/>
  <c r="W55" i="14"/>
  <c r="AD15" i="42"/>
  <c r="AD18" i="42"/>
  <c r="X55" i="14"/>
  <c r="AE15" i="42"/>
  <c r="AE16" i="42"/>
  <c r="AE18" i="42"/>
  <c r="AE13" i="42" s="1"/>
  <c r="Y55" i="14"/>
  <c r="AF15" i="42"/>
  <c r="AF16" i="42"/>
  <c r="AF18" i="42"/>
  <c r="Z55" i="14"/>
  <c r="AG15" i="42"/>
  <c r="AG16" i="42"/>
  <c r="AG18" i="42"/>
  <c r="AA55" i="14"/>
  <c r="AH15" i="42"/>
  <c r="E14" i="7"/>
  <c r="G14" i="7"/>
  <c r="AH18" i="42"/>
  <c r="AB55" i="14"/>
  <c r="AI15" i="42"/>
  <c r="AI16" i="42"/>
  <c r="H36" i="8"/>
  <c r="AI18" i="42"/>
  <c r="AC55" i="14"/>
  <c r="AJ15" i="42"/>
  <c r="AJ16" i="42"/>
  <c r="AJ18" i="42"/>
  <c r="AD55" i="14"/>
  <c r="AK15" i="42"/>
  <c r="AK16" i="42"/>
  <c r="AE55" i="14"/>
  <c r="AL15" i="42"/>
  <c r="AL16" i="42"/>
  <c r="AL18" i="42"/>
  <c r="AF55" i="14"/>
  <c r="AM15" i="42"/>
  <c r="AM16" i="42"/>
  <c r="AM18" i="42"/>
  <c r="AM13" i="42" s="1"/>
  <c r="AG55" i="14"/>
  <c r="AN15" i="42"/>
  <c r="AN16" i="42"/>
  <c r="AN18" i="42"/>
  <c r="AN13" i="42"/>
  <c r="AH55" i="14"/>
  <c r="AO15" i="42"/>
  <c r="AO16" i="42"/>
  <c r="AI55" i="14"/>
  <c r="AP15" i="42"/>
  <c r="AP16" i="42"/>
  <c r="AJ55" i="14"/>
  <c r="AQ15" i="42"/>
  <c r="AQ16" i="42"/>
  <c r="AQ18" i="42"/>
  <c r="AQ13" i="42" s="1"/>
  <c r="AK55" i="14"/>
  <c r="AR15" i="42"/>
  <c r="AR16" i="42"/>
  <c r="AR18" i="42"/>
  <c r="AR13" i="42"/>
  <c r="AL55" i="14"/>
  <c r="AS15" i="42"/>
  <c r="AS16" i="42"/>
  <c r="AM55" i="14"/>
  <c r="AT15" i="42"/>
  <c r="AT16" i="42"/>
  <c r="AT18" i="42"/>
  <c r="AN55" i="14"/>
  <c r="AU15" i="42"/>
  <c r="AU16" i="42"/>
  <c r="AU18" i="42"/>
  <c r="AO55" i="14"/>
  <c r="AV15" i="42"/>
  <c r="AV16" i="42"/>
  <c r="AV18" i="42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L88" i="14"/>
  <c r="BR11" i="42"/>
  <c r="L51" i="14"/>
  <c r="AP55" i="14"/>
  <c r="AW15" i="42"/>
  <c r="AW16" i="42"/>
  <c r="AW18" i="42"/>
  <c r="AQ55" i="14"/>
  <c r="AX15" i="42"/>
  <c r="AX16" i="42"/>
  <c r="AX18" i="42"/>
  <c r="AY15" i="42"/>
  <c r="AY16" i="42"/>
  <c r="AY18" i="42"/>
  <c r="AZ15" i="42"/>
  <c r="AZ16" i="42"/>
  <c r="AZ18" i="42"/>
  <c r="AZ13" i="42"/>
  <c r="BA15" i="42"/>
  <c r="BA16" i="42"/>
  <c r="BA18" i="42"/>
  <c r="BB15" i="42"/>
  <c r="BB16" i="42"/>
  <c r="BB18" i="42"/>
  <c r="BB13" i="42"/>
  <c r="BC15" i="42"/>
  <c r="BC16" i="42"/>
  <c r="BC18" i="42"/>
  <c r="BD15" i="42"/>
  <c r="BD16" i="42"/>
  <c r="BD18" i="42"/>
  <c r="BD13" i="42"/>
  <c r="BE15" i="42"/>
  <c r="BE16" i="42"/>
  <c r="BE18" i="42"/>
  <c r="BF15" i="42"/>
  <c r="BF16" i="42"/>
  <c r="BF18" i="42"/>
  <c r="BG15" i="42"/>
  <c r="BG16" i="42"/>
  <c r="BG18" i="42"/>
  <c r="BH15" i="42"/>
  <c r="BH16" i="42"/>
  <c r="BH18" i="42"/>
  <c r="BI15" i="42"/>
  <c r="BI16" i="42"/>
  <c r="BI18" i="42"/>
  <c r="BJ15" i="42"/>
  <c r="BJ16" i="42"/>
  <c r="BJ18" i="42"/>
  <c r="BK15" i="42"/>
  <c r="BK16" i="42"/>
  <c r="BK18" i="42"/>
  <c r="BL15" i="42"/>
  <c r="BL16" i="42"/>
  <c r="BL18" i="42"/>
  <c r="BL13" i="42"/>
  <c r="BM15" i="42"/>
  <c r="BM16" i="42"/>
  <c r="BM18" i="42"/>
  <c r="BN15" i="42"/>
  <c r="BN16" i="42"/>
  <c r="BN18" i="42"/>
  <c r="BN13" i="42"/>
  <c r="BO15" i="42"/>
  <c r="BO16" i="42"/>
  <c r="BO18" i="42"/>
  <c r="BP15" i="42"/>
  <c r="BP16" i="42"/>
  <c r="BP18" i="42"/>
  <c r="BP13" i="42"/>
  <c r="BQ15" i="42"/>
  <c r="BQ16" i="42"/>
  <c r="BQ18" i="42"/>
  <c r="BK88" i="14"/>
  <c r="BQ11" i="42" s="1"/>
  <c r="BR15" i="42"/>
  <c r="BR16" i="42"/>
  <c r="J36" i="8"/>
  <c r="BR18" i="42"/>
  <c r="BR13" i="42"/>
  <c r="C39" i="2"/>
  <c r="BT15" i="42"/>
  <c r="BT13" i="42"/>
  <c r="BT11" i="42"/>
  <c r="BT45" i="42" s="1"/>
  <c r="BT50" i="42"/>
  <c r="BT51" i="42"/>
  <c r="H13" i="42"/>
  <c r="B78" i="14"/>
  <c r="H50" i="42"/>
  <c r="H51" i="42"/>
  <c r="H54" i="42"/>
  <c r="I50" i="42"/>
  <c r="I51" i="42"/>
  <c r="I54" i="42"/>
  <c r="J15" i="42"/>
  <c r="J17" i="42"/>
  <c r="J13" i="42" s="1"/>
  <c r="J50" i="42"/>
  <c r="J51" i="42"/>
  <c r="J54" i="42"/>
  <c r="BS15" i="42"/>
  <c r="BS13" i="42"/>
  <c r="BM55" i="14"/>
  <c r="BM88" i="14"/>
  <c r="BS11" i="42" s="1"/>
  <c r="BS45" i="42" s="1"/>
  <c r="BS50" i="42"/>
  <c r="BS51" i="42"/>
  <c r="BS54" i="42"/>
  <c r="H70" i="42"/>
  <c r="I13" i="43"/>
  <c r="I17" i="43"/>
  <c r="I18" i="43"/>
  <c r="I19" i="43"/>
  <c r="H20" i="43"/>
  <c r="I78" i="42"/>
  <c r="J78" i="42"/>
  <c r="J79" i="42"/>
  <c r="J80" i="42"/>
  <c r="H79" i="42"/>
  <c r="J71" i="42"/>
  <c r="J69" i="42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AH7" i="42"/>
  <c r="AI7" i="42"/>
  <c r="AJ7" i="42"/>
  <c r="AK7" i="42"/>
  <c r="AL7" i="42"/>
  <c r="AM7" i="42"/>
  <c r="AN7" i="42"/>
  <c r="AO7" i="42"/>
  <c r="AP7" i="42"/>
  <c r="AQ7" i="42"/>
  <c r="AR7" i="42"/>
  <c r="AS7" i="42"/>
  <c r="AT7" i="42"/>
  <c r="AU7" i="42"/>
  <c r="AV7" i="42"/>
  <c r="AW7" i="42"/>
  <c r="AX7" i="42"/>
  <c r="AY7" i="42"/>
  <c r="AZ7" i="42"/>
  <c r="BA7" i="42"/>
  <c r="BB7" i="42"/>
  <c r="BC7" i="42"/>
  <c r="BD7" i="42"/>
  <c r="BE7" i="42"/>
  <c r="BF7" i="42"/>
  <c r="BG7" i="42"/>
  <c r="BH7" i="42"/>
  <c r="BI7" i="42"/>
  <c r="BJ7" i="42"/>
  <c r="BK7" i="42"/>
  <c r="BL7" i="42"/>
  <c r="BM7" i="42"/>
  <c r="BN7" i="42"/>
  <c r="BO7" i="42"/>
  <c r="BP7" i="42"/>
  <c r="BQ7" i="42"/>
  <c r="BR7" i="42"/>
  <c r="BS7" i="42"/>
  <c r="BT7" i="42"/>
  <c r="I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AH8" i="42"/>
  <c r="AI8" i="42"/>
  <c r="AJ8" i="42"/>
  <c r="AK8" i="42"/>
  <c r="AL8" i="42"/>
  <c r="AM8" i="42"/>
  <c r="AN8" i="42"/>
  <c r="AO8" i="42"/>
  <c r="AP8" i="42"/>
  <c r="AQ8" i="42"/>
  <c r="AR8" i="42"/>
  <c r="AS8" i="42"/>
  <c r="AT8" i="42"/>
  <c r="AU8" i="42"/>
  <c r="AV8" i="42"/>
  <c r="AW8" i="42"/>
  <c r="AX8" i="42"/>
  <c r="AY8" i="42"/>
  <c r="AZ8" i="42"/>
  <c r="BA8" i="42"/>
  <c r="BB8" i="42"/>
  <c r="BC8" i="42"/>
  <c r="BD8" i="42"/>
  <c r="BE8" i="42"/>
  <c r="BF8" i="42"/>
  <c r="BG8" i="42"/>
  <c r="BH8" i="42"/>
  <c r="BI8" i="42"/>
  <c r="BJ8" i="42"/>
  <c r="BK8" i="42"/>
  <c r="BL8" i="42"/>
  <c r="BM8" i="42"/>
  <c r="BN8" i="42"/>
  <c r="BO8" i="42"/>
  <c r="BP8" i="42"/>
  <c r="BQ8" i="42"/>
  <c r="BR8" i="42"/>
  <c r="BS8" i="42"/>
  <c r="BT8" i="42"/>
  <c r="BQ42" i="42"/>
  <c r="BP42" i="42"/>
  <c r="BO42" i="42"/>
  <c r="BN42" i="42"/>
  <c r="BM42" i="42"/>
  <c r="BL42" i="42"/>
  <c r="BK42" i="42"/>
  <c r="BJ42" i="42"/>
  <c r="BI42" i="42"/>
  <c r="BH42" i="42"/>
  <c r="BG42" i="42"/>
  <c r="BF42" i="42"/>
  <c r="B5" i="6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AH9" i="42"/>
  <c r="AI9" i="42"/>
  <c r="AJ9" i="42"/>
  <c r="AK9" i="42"/>
  <c r="AL9" i="42"/>
  <c r="AM9" i="42"/>
  <c r="AN9" i="42"/>
  <c r="AO9" i="42"/>
  <c r="AP9" i="42"/>
  <c r="AQ9" i="42"/>
  <c r="AR9" i="42"/>
  <c r="AS9" i="42"/>
  <c r="AT9" i="42"/>
  <c r="AU9" i="42"/>
  <c r="AV9" i="42"/>
  <c r="AW9" i="42"/>
  <c r="AX9" i="42"/>
  <c r="AY9" i="42"/>
  <c r="AZ9" i="42"/>
  <c r="BA9" i="42"/>
  <c r="BB9" i="42"/>
  <c r="BC9" i="42"/>
  <c r="BD9" i="42"/>
  <c r="BE9" i="42"/>
  <c r="BF9" i="42"/>
  <c r="BG9" i="42"/>
  <c r="BH9" i="42"/>
  <c r="BI9" i="42"/>
  <c r="BJ9" i="42"/>
  <c r="BK9" i="42"/>
  <c r="BL9" i="42"/>
  <c r="BM9" i="42"/>
  <c r="BN9" i="42"/>
  <c r="BO9" i="42"/>
  <c r="BP9" i="42"/>
  <c r="BQ9" i="42"/>
  <c r="BE42" i="42"/>
  <c r="BD42" i="42"/>
  <c r="BC42" i="42"/>
  <c r="BB42" i="42"/>
  <c r="BA42" i="42"/>
  <c r="AZ42" i="42"/>
  <c r="AY42" i="42"/>
  <c r="AX42" i="42"/>
  <c r="AW42" i="42"/>
  <c r="AV42" i="42"/>
  <c r="AU42" i="42"/>
  <c r="AT42" i="42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L53" i="14"/>
  <c r="BM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L54" i="14"/>
  <c r="BM54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L61" i="14"/>
  <c r="BM61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AZ79" i="14"/>
  <c r="BA79" i="14"/>
  <c r="BB79" i="14"/>
  <c r="BC79" i="14"/>
  <c r="BD79" i="14"/>
  <c r="BE79" i="14"/>
  <c r="BF79" i="14"/>
  <c r="BG79" i="14"/>
  <c r="BH79" i="14"/>
  <c r="BI79" i="14"/>
  <c r="BJ79" i="14"/>
  <c r="BK79" i="14"/>
  <c r="BL79" i="14"/>
  <c r="BM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AY80" i="14"/>
  <c r="AZ80" i="14"/>
  <c r="BA80" i="14"/>
  <c r="BB80" i="14"/>
  <c r="BC80" i="14"/>
  <c r="BD80" i="14"/>
  <c r="BE80" i="14"/>
  <c r="BF80" i="14"/>
  <c r="BG80" i="14"/>
  <c r="BH80" i="14"/>
  <c r="BI80" i="14"/>
  <c r="BJ80" i="14"/>
  <c r="BK80" i="14"/>
  <c r="BL80" i="14"/>
  <c r="BM80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AY86" i="14"/>
  <c r="AZ86" i="14"/>
  <c r="BA86" i="14"/>
  <c r="BB86" i="14"/>
  <c r="BC86" i="14"/>
  <c r="BD86" i="14"/>
  <c r="BE86" i="14"/>
  <c r="BF86" i="14"/>
  <c r="BG86" i="14"/>
  <c r="BH86" i="14"/>
  <c r="BI86" i="14"/>
  <c r="BJ86" i="14"/>
  <c r="BK86" i="14"/>
  <c r="BL86" i="14"/>
  <c r="BM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AX87" i="14"/>
  <c r="AY87" i="14"/>
  <c r="AZ87" i="14"/>
  <c r="BA87" i="14"/>
  <c r="BB87" i="14"/>
  <c r="BC87" i="14"/>
  <c r="BD87" i="14"/>
  <c r="BE87" i="14"/>
  <c r="BF87" i="14"/>
  <c r="BG87" i="14"/>
  <c r="BH87" i="14"/>
  <c r="BI87" i="14"/>
  <c r="BJ87" i="14"/>
  <c r="BK87" i="14"/>
  <c r="BL87" i="14"/>
  <c r="BM87" i="14"/>
  <c r="BS36" i="42"/>
  <c r="BT36" i="42"/>
  <c r="BS40" i="42"/>
  <c r="BT40" i="42"/>
  <c r="BR42" i="42"/>
  <c r="BS42" i="42"/>
  <c r="BS60" i="42"/>
  <c r="AS42" i="42"/>
  <c r="AI42" i="42"/>
  <c r="AJ42" i="42"/>
  <c r="AK42" i="42"/>
  <c r="AL42" i="42"/>
  <c r="AM42" i="42"/>
  <c r="AN42" i="42"/>
  <c r="AH42" i="42"/>
  <c r="AO42" i="42"/>
  <c r="AP42" i="42"/>
  <c r="AQ42" i="42"/>
  <c r="AR42" i="42"/>
  <c r="I42" i="42"/>
  <c r="J42" i="42"/>
  <c r="K42" i="42"/>
  <c r="L42" i="42"/>
  <c r="M42" i="42"/>
  <c r="N42" i="42"/>
  <c r="O42" i="42"/>
  <c r="P42" i="42"/>
  <c r="Q42" i="42"/>
  <c r="R42" i="42"/>
  <c r="S42" i="42"/>
  <c r="T42" i="42"/>
  <c r="U42" i="42"/>
  <c r="V42" i="42"/>
  <c r="W42" i="42"/>
  <c r="X42" i="42"/>
  <c r="Y42" i="42"/>
  <c r="Z42" i="42"/>
  <c r="AA42" i="42"/>
  <c r="AB42" i="42"/>
  <c r="AC42" i="42"/>
  <c r="AD42" i="42"/>
  <c r="AE42" i="42"/>
  <c r="AF42" i="42"/>
  <c r="AG42" i="42"/>
  <c r="I36" i="42"/>
  <c r="I40" i="42"/>
  <c r="J36" i="42"/>
  <c r="J40" i="42"/>
  <c r="A36" i="2"/>
  <c r="D25" i="14"/>
  <c r="E28" i="2"/>
  <c r="C20" i="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E6" i="7"/>
  <c r="B12" i="7"/>
  <c r="H36" i="42"/>
  <c r="H40" i="42"/>
  <c r="C51" i="14"/>
  <c r="A7" i="10"/>
  <c r="A36" i="8"/>
  <c r="H42" i="42"/>
  <c r="I60" i="42"/>
  <c r="J60" i="42"/>
  <c r="H60" i="42"/>
  <c r="A30" i="14"/>
  <c r="D33" i="14"/>
  <c r="C33" i="14"/>
  <c r="D34" i="14"/>
  <c r="D30" i="14"/>
  <c r="D32" i="14"/>
  <c r="G25" i="42"/>
  <c r="G51" i="14"/>
  <c r="I51" i="14"/>
  <c r="B69" i="14"/>
  <c r="E69" i="14"/>
  <c r="H69" i="14"/>
  <c r="I69" i="14"/>
  <c r="B67" i="14"/>
  <c r="B19" i="14"/>
  <c r="B11" i="14"/>
  <c r="Y21" i="14"/>
  <c r="X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X20" i="14"/>
  <c r="Y20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X19" i="14"/>
  <c r="Y19" i="14"/>
  <c r="B17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X11" i="14"/>
  <c r="Y11" i="14"/>
  <c r="D6" i="14"/>
  <c r="AE73" i="14"/>
  <c r="AF73" i="14"/>
  <c r="AG73" i="14"/>
  <c r="AH73" i="14"/>
  <c r="AI73" i="14"/>
  <c r="AJ73" i="14"/>
  <c r="D74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X67" i="14"/>
  <c r="Y67" i="14"/>
  <c r="Z67" i="14"/>
  <c r="AA67" i="14"/>
  <c r="AB67" i="14"/>
  <c r="AC67" i="14"/>
  <c r="AD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X68" i="14"/>
  <c r="Y68" i="14"/>
  <c r="Z68" i="14"/>
  <c r="AA68" i="14"/>
  <c r="AB68" i="14"/>
  <c r="AC68" i="14"/>
  <c r="AD68" i="14"/>
  <c r="D6" i="8"/>
  <c r="D7" i="8"/>
  <c r="C28" i="12"/>
  <c r="C29" i="12"/>
  <c r="C30" i="12"/>
  <c r="C31" i="12"/>
  <c r="C33" i="12"/>
  <c r="C32" i="12"/>
  <c r="C27" i="12"/>
  <c r="C17" i="12"/>
  <c r="F17" i="12"/>
  <c r="C18" i="12"/>
  <c r="F18" i="12"/>
  <c r="C19" i="12"/>
  <c r="C20" i="12"/>
  <c r="C16" i="12"/>
  <c r="C15" i="12"/>
  <c r="F15" i="12"/>
  <c r="E7" i="12"/>
  <c r="E8" i="12"/>
  <c r="E9" i="12"/>
  <c r="E10" i="12"/>
  <c r="D28" i="8"/>
  <c r="D27" i="8"/>
  <c r="D19" i="8"/>
  <c r="D18" i="8"/>
  <c r="B29" i="8"/>
  <c r="B20" i="8"/>
  <c r="E27" i="12"/>
  <c r="E28" i="12"/>
  <c r="E29" i="12"/>
  <c r="E30" i="12"/>
  <c r="E31" i="12"/>
  <c r="E32" i="12"/>
  <c r="E5" i="12"/>
  <c r="E6" i="12"/>
  <c r="D33" i="12"/>
  <c r="E15" i="12"/>
  <c r="E16" i="12"/>
  <c r="F16" i="12"/>
  <c r="E17" i="12"/>
  <c r="E18" i="12"/>
  <c r="E19" i="12"/>
  <c r="F19" i="12"/>
  <c r="E20" i="12"/>
  <c r="F20" i="12"/>
  <c r="E21" i="12"/>
  <c r="C21" i="12"/>
  <c r="D11" i="12"/>
  <c r="C11" i="12"/>
  <c r="B8" i="8"/>
  <c r="C5" i="6"/>
  <c r="E33" i="12"/>
  <c r="F21" i="12"/>
  <c r="D23" i="12"/>
  <c r="E11" i="12"/>
  <c r="AK17" i="42"/>
  <c r="AT17" i="42"/>
  <c r="AU17" i="42"/>
  <c r="AV17" i="42"/>
  <c r="AV13" i="42"/>
  <c r="BH17" i="42"/>
  <c r="AH17" i="42"/>
  <c r="BG17" i="42"/>
  <c r="AJ17" i="42"/>
  <c r="AJ13" i="42"/>
  <c r="AL17" i="42"/>
  <c r="AL13" i="42"/>
  <c r="AW17" i="42"/>
  <c r="AW13" i="42"/>
  <c r="AX17" i="42"/>
  <c r="AX13" i="42"/>
  <c r="BF17" i="42"/>
  <c r="BF13" i="42"/>
  <c r="BJ17" i="42"/>
  <c r="BJ13" i="42"/>
  <c r="AI17" i="42"/>
  <c r="AI13" i="42"/>
  <c r="BI17" i="42"/>
  <c r="BI13" i="42"/>
  <c r="W13" i="42"/>
  <c r="BH13" i="42"/>
  <c r="BG13" i="42"/>
  <c r="AU13" i="42"/>
  <c r="AT13" i="42"/>
  <c r="K17" i="42"/>
  <c r="K13" i="42"/>
  <c r="AS18" i="42"/>
  <c r="AO18" i="42"/>
  <c r="AO13" i="42"/>
  <c r="AH16" i="42"/>
  <c r="AH13" i="42"/>
  <c r="AC16" i="42"/>
  <c r="AC13" i="42"/>
  <c r="Z16" i="42"/>
  <c r="Z13" i="42"/>
  <c r="Y17" i="42"/>
  <c r="X18" i="42"/>
  <c r="AP18" i="42"/>
  <c r="AP13" i="42"/>
  <c r="AK18" i="42"/>
  <c r="AD16" i="42"/>
  <c r="AD13" i="42"/>
  <c r="AB17" i="42"/>
  <c r="AB13" i="42"/>
  <c r="Y16" i="42"/>
  <c r="Y13" i="42"/>
  <c r="X17" i="42"/>
  <c r="L17" i="42"/>
  <c r="L13" i="42"/>
  <c r="AA17" i="42"/>
  <c r="AA13" i="42" s="1"/>
  <c r="S18" i="42"/>
  <c r="S13" i="42"/>
  <c r="O18" i="42"/>
  <c r="O13" i="42" s="1"/>
  <c r="X13" i="42"/>
  <c r="D35" i="12"/>
  <c r="AK13" i="42" l="1"/>
  <c r="BS59" i="42"/>
  <c r="BS63" i="42" s="1"/>
  <c r="BT59" i="42"/>
  <c r="BO13" i="42"/>
  <c r="BM13" i="42"/>
  <c r="BK13" i="42"/>
  <c r="BC13" i="42"/>
  <c r="BA13" i="42"/>
  <c r="AY13" i="42"/>
  <c r="AF13" i="42"/>
  <c r="V13" i="42"/>
  <c r="M13" i="42"/>
  <c r="D30" i="2"/>
  <c r="C32" i="2"/>
  <c r="C33" i="2" s="1"/>
  <c r="E22" i="2" s="1"/>
  <c r="E23" i="2" s="1"/>
  <c r="E24" i="2" s="1"/>
  <c r="E25" i="2" s="1"/>
  <c r="E26" i="2" s="1"/>
  <c r="E27" i="2" s="1"/>
  <c r="H87" i="42" s="1"/>
  <c r="B28" i="14"/>
  <c r="B58" i="14" s="1"/>
  <c r="B81" i="14" s="1"/>
  <c r="B88" i="14" s="1"/>
  <c r="H11" i="42" s="1"/>
  <c r="H45" i="42" s="1"/>
  <c r="H59" i="42" s="1"/>
  <c r="H63" i="42" s="1"/>
  <c r="P28" i="42"/>
  <c r="P54" i="42" s="1"/>
  <c r="P60" i="42" s="1"/>
  <c r="AC28" i="42"/>
  <c r="Y28" i="42"/>
  <c r="Y54" i="42" s="1"/>
  <c r="Y60" i="42" s="1"/>
  <c r="O28" i="42"/>
  <c r="O54" i="42" s="1"/>
  <c r="O60" i="42" s="1"/>
  <c r="V28" i="42"/>
  <c r="V51" i="42" s="1"/>
  <c r="AG28" i="42"/>
  <c r="AG36" i="42" s="1"/>
  <c r="AG40" i="42" s="1"/>
  <c r="S28" i="42"/>
  <c r="Q28" i="42"/>
  <c r="Q54" i="42" s="1"/>
  <c r="Q60" i="42" s="1"/>
  <c r="Z28" i="42"/>
  <c r="AH28" i="42"/>
  <c r="AS28" i="42" s="1"/>
  <c r="U28" i="42"/>
  <c r="X28" i="42"/>
  <c r="AA28" i="42"/>
  <c r="AA54" i="42" s="1"/>
  <c r="AA60" i="42" s="1"/>
  <c r="W28" i="42"/>
  <c r="AF28" i="42"/>
  <c r="L28" i="42"/>
  <c r="R28" i="42"/>
  <c r="M28" i="42"/>
  <c r="K50" i="42"/>
  <c r="K51" i="42"/>
  <c r="K36" i="42"/>
  <c r="K40" i="42" s="1"/>
  <c r="T51" i="42"/>
  <c r="T54" i="42"/>
  <c r="T60" i="42" s="1"/>
  <c r="T50" i="42"/>
  <c r="T36" i="42"/>
  <c r="T40" i="42" s="1"/>
  <c r="K54" i="42"/>
  <c r="K60" i="42" s="1"/>
  <c r="AE28" i="42"/>
  <c r="N28" i="42"/>
  <c r="AB28" i="42"/>
  <c r="AD28" i="42"/>
  <c r="P51" i="42" l="1"/>
  <c r="H29" i="2"/>
  <c r="C40" i="2"/>
  <c r="C41" i="2" s="1"/>
  <c r="Z21" i="42" s="1"/>
  <c r="C62" i="14"/>
  <c r="B37" i="14"/>
  <c r="B7" i="10"/>
  <c r="U7" i="10" s="1"/>
  <c r="W7" i="10" s="1"/>
  <c r="BQ14" i="42" s="1"/>
  <c r="BQ13" i="42" s="1"/>
  <c r="D39" i="2"/>
  <c r="B44" i="14"/>
  <c r="D36" i="2"/>
  <c r="E36" i="2" s="1"/>
  <c r="B51" i="14"/>
  <c r="B84" i="14"/>
  <c r="H83" i="42"/>
  <c r="AC50" i="42"/>
  <c r="AG51" i="42"/>
  <c r="P36" i="42"/>
  <c r="P40" i="42" s="1"/>
  <c r="AC54" i="42"/>
  <c r="AC60" i="42" s="1"/>
  <c r="P50" i="42"/>
  <c r="Y51" i="42"/>
  <c r="AG54" i="42"/>
  <c r="AG60" i="42" s="1"/>
  <c r="Y50" i="42"/>
  <c r="AG50" i="42"/>
  <c r="Y36" i="42"/>
  <c r="Y40" i="42" s="1"/>
  <c r="AC36" i="42"/>
  <c r="AC40" i="42" s="1"/>
  <c r="AC51" i="42"/>
  <c r="O36" i="42"/>
  <c r="O40" i="42" s="1"/>
  <c r="O51" i="42"/>
  <c r="Q51" i="42"/>
  <c r="O50" i="42"/>
  <c r="V36" i="42"/>
  <c r="V40" i="42" s="1"/>
  <c r="V50" i="42"/>
  <c r="AQ28" i="42"/>
  <c r="AQ50" i="42" s="1"/>
  <c r="Q50" i="42"/>
  <c r="Q36" i="42"/>
  <c r="Q40" i="42" s="1"/>
  <c r="S54" i="42"/>
  <c r="S60" i="42" s="1"/>
  <c r="S36" i="42"/>
  <c r="S40" i="42" s="1"/>
  <c r="S51" i="42"/>
  <c r="S50" i="42"/>
  <c r="V54" i="42"/>
  <c r="V60" i="42" s="1"/>
  <c r="AO28" i="42"/>
  <c r="AO54" i="42" s="1"/>
  <c r="AO60" i="42" s="1"/>
  <c r="AL28" i="42"/>
  <c r="AN28" i="42"/>
  <c r="AN51" i="42" s="1"/>
  <c r="L51" i="42"/>
  <c r="L50" i="42"/>
  <c r="L36" i="42"/>
  <c r="L40" i="42" s="1"/>
  <c r="L54" i="42"/>
  <c r="L60" i="42" s="1"/>
  <c r="AF51" i="42"/>
  <c r="AF54" i="42"/>
  <c r="AF60" i="42" s="1"/>
  <c r="AF50" i="42"/>
  <c r="AF36" i="42"/>
  <c r="AF40" i="42" s="1"/>
  <c r="R36" i="42"/>
  <c r="R40" i="42" s="1"/>
  <c r="R51" i="42"/>
  <c r="R54" i="42"/>
  <c r="R60" i="42" s="1"/>
  <c r="R50" i="42"/>
  <c r="X54" i="42"/>
  <c r="X60" i="42" s="1"/>
  <c r="X50" i="42"/>
  <c r="X36" i="42"/>
  <c r="X40" i="42" s="1"/>
  <c r="X51" i="42"/>
  <c r="AH54" i="42"/>
  <c r="AH60" i="42" s="1"/>
  <c r="AT28" i="42"/>
  <c r="AK28" i="42"/>
  <c r="AI28" i="42"/>
  <c r="AM28" i="42"/>
  <c r="AR28" i="42"/>
  <c r="AH50" i="42"/>
  <c r="AH36" i="42"/>
  <c r="AH40" i="42" s="1"/>
  <c r="AH51" i="42"/>
  <c r="AP28" i="42"/>
  <c r="AJ28" i="42"/>
  <c r="W51" i="42"/>
  <c r="W54" i="42"/>
  <c r="W60" i="42" s="1"/>
  <c r="W36" i="42"/>
  <c r="W40" i="42" s="1"/>
  <c r="W50" i="42"/>
  <c r="U54" i="42"/>
  <c r="U60" i="42" s="1"/>
  <c r="U36" i="42"/>
  <c r="U40" i="42" s="1"/>
  <c r="U51" i="42"/>
  <c r="U50" i="42"/>
  <c r="Z50" i="42"/>
  <c r="Z54" i="42"/>
  <c r="Z60" i="42" s="1"/>
  <c r="Z51" i="42"/>
  <c r="Z36" i="42"/>
  <c r="Z40" i="42" s="1"/>
  <c r="M36" i="42"/>
  <c r="M40" i="42" s="1"/>
  <c r="M51" i="42"/>
  <c r="M50" i="42"/>
  <c r="M54" i="42"/>
  <c r="M60" i="42" s="1"/>
  <c r="AA51" i="42"/>
  <c r="AA36" i="42"/>
  <c r="AA40" i="42" s="1"/>
  <c r="AA50" i="42"/>
  <c r="AD51" i="42"/>
  <c r="AD36" i="42"/>
  <c r="AD40" i="42" s="1"/>
  <c r="AD50" i="42"/>
  <c r="AD54" i="42"/>
  <c r="AD60" i="42" s="1"/>
  <c r="N54" i="42"/>
  <c r="N60" i="42" s="1"/>
  <c r="N36" i="42"/>
  <c r="N40" i="42" s="1"/>
  <c r="N51" i="42"/>
  <c r="N50" i="42"/>
  <c r="BD28" i="42"/>
  <c r="AS36" i="42"/>
  <c r="AS40" i="42" s="1"/>
  <c r="AS51" i="42"/>
  <c r="AZ28" i="42"/>
  <c r="BF28" i="42"/>
  <c r="AU28" i="42"/>
  <c r="AY28" i="42"/>
  <c r="BE28" i="42"/>
  <c r="AS54" i="42"/>
  <c r="AS60" i="42" s="1"/>
  <c r="AV28" i="42"/>
  <c r="AX28" i="42"/>
  <c r="AS50" i="42"/>
  <c r="BB28" i="42"/>
  <c r="AW28" i="42"/>
  <c r="BA28" i="42"/>
  <c r="BC28" i="42"/>
  <c r="AB51" i="42"/>
  <c r="AB36" i="42"/>
  <c r="AB40" i="42" s="1"/>
  <c r="AB50" i="42"/>
  <c r="AB54" i="42"/>
  <c r="AB60" i="42" s="1"/>
  <c r="AE36" i="42"/>
  <c r="AE40" i="42" s="1"/>
  <c r="AE54" i="42"/>
  <c r="AE60" i="42" s="1"/>
  <c r="AE51" i="42"/>
  <c r="AE50" i="42"/>
  <c r="D36" i="14" l="1"/>
  <c r="D41" i="14"/>
  <c r="E41" i="14"/>
  <c r="E88" i="14" s="1"/>
  <c r="K11" i="42" s="1"/>
  <c r="K45" i="42" s="1"/>
  <c r="K59" i="42" s="1"/>
  <c r="K63" i="42" s="1"/>
  <c r="F41" i="14"/>
  <c r="F88" i="14" s="1"/>
  <c r="L11" i="42" s="1"/>
  <c r="L45" i="42" s="1"/>
  <c r="G41" i="14"/>
  <c r="G88" i="14" s="1"/>
  <c r="M11" i="42" s="1"/>
  <c r="M45" i="42" s="1"/>
  <c r="H41" i="14"/>
  <c r="H88" i="14" s="1"/>
  <c r="N11" i="42" s="1"/>
  <c r="N45" i="42" s="1"/>
  <c r="I41" i="14"/>
  <c r="J41" i="14"/>
  <c r="K41" i="14"/>
  <c r="L41" i="14"/>
  <c r="M41" i="14"/>
  <c r="N41" i="14"/>
  <c r="O41" i="14"/>
  <c r="P41" i="14"/>
  <c r="Q41" i="14"/>
  <c r="Q88" i="14" s="1"/>
  <c r="W11" i="42" s="1"/>
  <c r="W45" i="42" s="1"/>
  <c r="R41" i="14"/>
  <c r="R88" i="14" s="1"/>
  <c r="X11" i="42" s="1"/>
  <c r="X45" i="42" s="1"/>
  <c r="S41" i="14"/>
  <c r="S88" i="14" s="1"/>
  <c r="Y11" i="42" s="1"/>
  <c r="Y45" i="42" s="1"/>
  <c r="T41" i="14"/>
  <c r="T88" i="14" s="1"/>
  <c r="Z11" i="42" s="1"/>
  <c r="Z45" i="42" s="1"/>
  <c r="U41" i="14"/>
  <c r="U88" i="14" s="1"/>
  <c r="AA11" i="42" s="1"/>
  <c r="AA45" i="42" s="1"/>
  <c r="V41" i="14"/>
  <c r="V88" i="14" s="1"/>
  <c r="AB11" i="42" s="1"/>
  <c r="AB45" i="42" s="1"/>
  <c r="W41" i="14"/>
  <c r="X41" i="14"/>
  <c r="Y41" i="14"/>
  <c r="Z41" i="14"/>
  <c r="AA41" i="14"/>
  <c r="AB41" i="14"/>
  <c r="AC41" i="14"/>
  <c r="AD41" i="14"/>
  <c r="AD88" i="14" s="1"/>
  <c r="AJ11" i="42" s="1"/>
  <c r="AE41" i="14"/>
  <c r="AE88" i="14" s="1"/>
  <c r="AK11" i="42" s="1"/>
  <c r="AF41" i="14"/>
  <c r="AF88" i="14" s="1"/>
  <c r="AL11" i="42" s="1"/>
  <c r="AL45" i="42" s="1"/>
  <c r="AG41" i="14"/>
  <c r="AG88" i="14" s="1"/>
  <c r="AM11" i="42" s="1"/>
  <c r="AH41" i="14"/>
  <c r="AH88" i="14" s="1"/>
  <c r="AN11" i="42" s="1"/>
  <c r="AI41" i="14"/>
  <c r="AI88" i="14" s="1"/>
  <c r="AO11" i="42" s="1"/>
  <c r="AJ41" i="14"/>
  <c r="AJ88" i="14" s="1"/>
  <c r="AP11" i="42" s="1"/>
  <c r="AK41" i="14"/>
  <c r="AK88" i="14" s="1"/>
  <c r="AQ11" i="42" s="1"/>
  <c r="AL41" i="14"/>
  <c r="AL88" i="14" s="1"/>
  <c r="AR11" i="42" s="1"/>
  <c r="AM41" i="14"/>
  <c r="AM88" i="14" s="1"/>
  <c r="AS11" i="42" s="1"/>
  <c r="AN41" i="14"/>
  <c r="AN88" i="14" s="1"/>
  <c r="AT11" i="42" s="1"/>
  <c r="AO41" i="14"/>
  <c r="AO88" i="14" s="1"/>
  <c r="AU11" i="42" s="1"/>
  <c r="AP41" i="14"/>
  <c r="AP88" i="14" s="1"/>
  <c r="AV11" i="42" s="1"/>
  <c r="AQ41" i="14"/>
  <c r="AQ88" i="14" s="1"/>
  <c r="AW11" i="42" s="1"/>
  <c r="AR41" i="14"/>
  <c r="AR88" i="14" s="1"/>
  <c r="AX11" i="42" s="1"/>
  <c r="AS41" i="14"/>
  <c r="AS88" i="14" s="1"/>
  <c r="AY11" i="42" s="1"/>
  <c r="AT41" i="14"/>
  <c r="AT88" i="14" s="1"/>
  <c r="AZ11" i="42" s="1"/>
  <c r="AU41" i="14"/>
  <c r="AU88" i="14" s="1"/>
  <c r="BA11" i="42" s="1"/>
  <c r="AV41" i="14"/>
  <c r="AV88" i="14" s="1"/>
  <c r="BB11" i="42" s="1"/>
  <c r="AW41" i="14"/>
  <c r="AW88" i="14" s="1"/>
  <c r="BC11" i="42" s="1"/>
  <c r="AX41" i="14"/>
  <c r="AX88" i="14" s="1"/>
  <c r="BD11" i="42" s="1"/>
  <c r="AY41" i="14"/>
  <c r="AY88" i="14" s="1"/>
  <c r="BE11" i="42" s="1"/>
  <c r="AZ41" i="14"/>
  <c r="AZ88" i="14" s="1"/>
  <c r="BF11" i="42" s="1"/>
  <c r="BA41" i="14"/>
  <c r="BA88" i="14" s="1"/>
  <c r="BG11" i="42" s="1"/>
  <c r="BB41" i="14"/>
  <c r="BB88" i="14" s="1"/>
  <c r="BH11" i="42" s="1"/>
  <c r="BC41" i="14"/>
  <c r="BC88" i="14" s="1"/>
  <c r="BI11" i="42" s="1"/>
  <c r="BD41" i="14"/>
  <c r="BD88" i="14" s="1"/>
  <c r="BJ11" i="42" s="1"/>
  <c r="BE41" i="14"/>
  <c r="BE88" i="14" s="1"/>
  <c r="BK11" i="42" s="1"/>
  <c r="BF41" i="14"/>
  <c r="BF88" i="14" s="1"/>
  <c r="BL11" i="42" s="1"/>
  <c r="BG41" i="14"/>
  <c r="BG88" i="14" s="1"/>
  <c r="BM11" i="42" s="1"/>
  <c r="BH41" i="14"/>
  <c r="BH88" i="14" s="1"/>
  <c r="BN11" i="42" s="1"/>
  <c r="BI41" i="14"/>
  <c r="BI88" i="14" s="1"/>
  <c r="BO11" i="42" s="1"/>
  <c r="BJ41" i="14"/>
  <c r="BJ88" i="14" s="1"/>
  <c r="BP11" i="42" s="1"/>
  <c r="C41" i="14"/>
  <c r="L21" i="42"/>
  <c r="V21" i="42"/>
  <c r="K21" i="42"/>
  <c r="S21" i="42"/>
  <c r="BB21" i="42"/>
  <c r="AF21" i="42"/>
  <c r="AR21" i="42"/>
  <c r="T21" i="42"/>
  <c r="AB21" i="42"/>
  <c r="O21" i="42"/>
  <c r="P21" i="42"/>
  <c r="BA21" i="42"/>
  <c r="AI21" i="42"/>
  <c r="AT21" i="42"/>
  <c r="AW21" i="42"/>
  <c r="AN21" i="42"/>
  <c r="Y21" i="42"/>
  <c r="J21" i="42"/>
  <c r="M21" i="42"/>
  <c r="BC21" i="42"/>
  <c r="AU21" i="42"/>
  <c r="AC21" i="42"/>
  <c r="X21" i="42"/>
  <c r="AX21" i="42"/>
  <c r="AE21" i="42"/>
  <c r="BE21" i="42"/>
  <c r="U21" i="42"/>
  <c r="Q21" i="42"/>
  <c r="AL21" i="42"/>
  <c r="AH21" i="42"/>
  <c r="AA21" i="42"/>
  <c r="AZ21" i="42"/>
  <c r="R21" i="42"/>
  <c r="AD21" i="42"/>
  <c r="AJ21" i="42"/>
  <c r="BD21" i="42"/>
  <c r="AM21" i="42"/>
  <c r="B65" i="14"/>
  <c r="W21" i="42"/>
  <c r="AG21" i="42"/>
  <c r="AY21" i="42"/>
  <c r="AK21" i="42"/>
  <c r="N21" i="42"/>
  <c r="AS21" i="42"/>
  <c r="AQ21" i="42"/>
  <c r="AO21" i="42"/>
  <c r="AV21" i="42"/>
  <c r="AP21" i="42"/>
  <c r="I7" i="10"/>
  <c r="K7" i="10" s="1"/>
  <c r="AG14" i="42" s="1"/>
  <c r="AG13" i="42" s="1"/>
  <c r="C7" i="10"/>
  <c r="E7" i="10" s="1"/>
  <c r="I14" i="42" s="1"/>
  <c r="I13" i="42" s="1"/>
  <c r="R7" i="10"/>
  <c r="T7" i="10" s="1"/>
  <c r="BE14" i="42" s="1"/>
  <c r="BE13" i="42" s="1"/>
  <c r="BE45" i="42" s="1"/>
  <c r="O7" i="10"/>
  <c r="Q7" i="10" s="1"/>
  <c r="L7" i="10"/>
  <c r="N7" i="10" s="1"/>
  <c r="AS14" i="42" s="1"/>
  <c r="AS13" i="42" s="1"/>
  <c r="AS45" i="42" s="1"/>
  <c r="AS59" i="42" s="1"/>
  <c r="AS63" i="42" s="1"/>
  <c r="F7" i="10"/>
  <c r="H7" i="10" s="1"/>
  <c r="U14" i="42" s="1"/>
  <c r="U13" i="42" s="1"/>
  <c r="Y59" i="42"/>
  <c r="Y63" i="42" s="1"/>
  <c r="AQ54" i="42"/>
  <c r="AQ60" i="42" s="1"/>
  <c r="AQ45" i="42"/>
  <c r="AQ51" i="42"/>
  <c r="AO50" i="42"/>
  <c r="AQ36" i="42"/>
  <c r="AQ40" i="42" s="1"/>
  <c r="AO51" i="42"/>
  <c r="AO36" i="42"/>
  <c r="AO40" i="42" s="1"/>
  <c r="AO45" i="42"/>
  <c r="AL50" i="42"/>
  <c r="AL54" i="42"/>
  <c r="AL60" i="42" s="1"/>
  <c r="AN50" i="42"/>
  <c r="AL36" i="42"/>
  <c r="AL40" i="42" s="1"/>
  <c r="AN54" i="42"/>
  <c r="AN60" i="42" s="1"/>
  <c r="AL51" i="42"/>
  <c r="AN36" i="42"/>
  <c r="AN40" i="42" s="1"/>
  <c r="M59" i="42"/>
  <c r="M63" i="42" s="1"/>
  <c r="Z59" i="42"/>
  <c r="Z63" i="42" s="1"/>
  <c r="AN45" i="42"/>
  <c r="AT50" i="42"/>
  <c r="AT36" i="42"/>
  <c r="AT40" i="42" s="1"/>
  <c r="AT51" i="42"/>
  <c r="AT45" i="42"/>
  <c r="AT54" i="42"/>
  <c r="AT60" i="42" s="1"/>
  <c r="AR50" i="42"/>
  <c r="AR36" i="42"/>
  <c r="AR40" i="42" s="1"/>
  <c r="AR51" i="42"/>
  <c r="AR54" i="42"/>
  <c r="AR60" i="42" s="1"/>
  <c r="AR45" i="42"/>
  <c r="AM36" i="42"/>
  <c r="AM40" i="42" s="1"/>
  <c r="AM50" i="42"/>
  <c r="AM54" i="42"/>
  <c r="AM60" i="42" s="1"/>
  <c r="AM51" i="42"/>
  <c r="AM45" i="42"/>
  <c r="L59" i="42"/>
  <c r="L63" i="42" s="1"/>
  <c r="X59" i="42"/>
  <c r="X63" i="42" s="1"/>
  <c r="AJ36" i="42"/>
  <c r="AJ40" i="42" s="1"/>
  <c r="AJ51" i="42"/>
  <c r="AJ50" i="42"/>
  <c r="AJ45" i="42"/>
  <c r="AJ54" i="42"/>
  <c r="AJ60" i="42" s="1"/>
  <c r="AI50" i="42"/>
  <c r="AI51" i="42"/>
  <c r="AI54" i="42"/>
  <c r="AI60" i="42" s="1"/>
  <c r="AI36" i="42"/>
  <c r="AI40" i="42" s="1"/>
  <c r="W59" i="42"/>
  <c r="W63" i="42" s="1"/>
  <c r="AA59" i="42"/>
  <c r="AA63" i="42" s="1"/>
  <c r="AP45" i="42"/>
  <c r="AP54" i="42"/>
  <c r="AP60" i="42" s="1"/>
  <c r="AP50" i="42"/>
  <c r="AP36" i="42"/>
  <c r="AP40" i="42" s="1"/>
  <c r="AP51" i="42"/>
  <c r="AK45" i="42"/>
  <c r="AK50" i="42"/>
  <c r="AK54" i="42"/>
  <c r="AK60" i="42" s="1"/>
  <c r="AK51" i="42"/>
  <c r="AK36" i="42"/>
  <c r="AK40" i="42" s="1"/>
  <c r="AV45" i="42"/>
  <c r="AV51" i="42"/>
  <c r="AV54" i="42"/>
  <c r="AV60" i="42" s="1"/>
  <c r="AV50" i="42"/>
  <c r="AV36" i="42"/>
  <c r="AV40" i="42" s="1"/>
  <c r="BC51" i="42"/>
  <c r="BC54" i="42"/>
  <c r="BC60" i="42" s="1"/>
  <c r="BC45" i="42"/>
  <c r="BC36" i="42"/>
  <c r="BC40" i="42" s="1"/>
  <c r="BC50" i="42"/>
  <c r="AZ54" i="42"/>
  <c r="AZ60" i="42" s="1"/>
  <c r="AZ50" i="42"/>
  <c r="AZ51" i="42"/>
  <c r="AZ45" i="42"/>
  <c r="AZ36" i="42"/>
  <c r="AZ40" i="42" s="1"/>
  <c r="AX51" i="42"/>
  <c r="AX54" i="42"/>
  <c r="AX60" i="42" s="1"/>
  <c r="AX36" i="42"/>
  <c r="AX40" i="42" s="1"/>
  <c r="AX45" i="42"/>
  <c r="AX50" i="42"/>
  <c r="BD45" i="42"/>
  <c r="BD36" i="42"/>
  <c r="BD40" i="42" s="1"/>
  <c r="BD51" i="42"/>
  <c r="BD50" i="42"/>
  <c r="BD54" i="42"/>
  <c r="BD60" i="42" s="1"/>
  <c r="BE50" i="42"/>
  <c r="BE54" i="42"/>
  <c r="BE60" i="42" s="1"/>
  <c r="BE36" i="42"/>
  <c r="BE40" i="42" s="1"/>
  <c r="BE51" i="42"/>
  <c r="N59" i="42"/>
  <c r="N63" i="42" s="1"/>
  <c r="AB59" i="42"/>
  <c r="AB63" i="42" s="1"/>
  <c r="BA45" i="42"/>
  <c r="BA54" i="42"/>
  <c r="BA60" i="42" s="1"/>
  <c r="BA50" i="42"/>
  <c r="BA36" i="42"/>
  <c r="BA40" i="42" s="1"/>
  <c r="BA51" i="42"/>
  <c r="AY50" i="42"/>
  <c r="AY36" i="42"/>
  <c r="AY40" i="42" s="1"/>
  <c r="AY54" i="42"/>
  <c r="AY60" i="42" s="1"/>
  <c r="AY51" i="42"/>
  <c r="AY45" i="42"/>
  <c r="AW36" i="42"/>
  <c r="AW40" i="42" s="1"/>
  <c r="AW54" i="42"/>
  <c r="AW60" i="42" s="1"/>
  <c r="AW51" i="42"/>
  <c r="AW50" i="42"/>
  <c r="AW45" i="42"/>
  <c r="AU54" i="42"/>
  <c r="AU60" i="42" s="1"/>
  <c r="AU45" i="42"/>
  <c r="AU36" i="42"/>
  <c r="AU40" i="42" s="1"/>
  <c r="AU50" i="42"/>
  <c r="AU51" i="42"/>
  <c r="BB54" i="42"/>
  <c r="BB60" i="42" s="1"/>
  <c r="BB51" i="42"/>
  <c r="BB45" i="42"/>
  <c r="BB50" i="42"/>
  <c r="BB36" i="42"/>
  <c r="BB40" i="42" s="1"/>
  <c r="BJ28" i="42"/>
  <c r="BI28" i="42"/>
  <c r="BP28" i="42"/>
  <c r="BF54" i="42"/>
  <c r="BF60" i="42" s="1"/>
  <c r="BM28" i="42"/>
  <c r="BO28" i="42"/>
  <c r="BN28" i="42"/>
  <c r="BQ28" i="42"/>
  <c r="BF45" i="42"/>
  <c r="BK28" i="42"/>
  <c r="BL28" i="42"/>
  <c r="BR28" i="42"/>
  <c r="BF50" i="42"/>
  <c r="BG28" i="42"/>
  <c r="BF36" i="42"/>
  <c r="BF40" i="42" s="1"/>
  <c r="BH28" i="42"/>
  <c r="BF51" i="42"/>
  <c r="C88" i="14" l="1"/>
  <c r="I11" i="42" s="1"/>
  <c r="I45" i="42" s="1"/>
  <c r="I59" i="42" s="1"/>
  <c r="I63" i="42" s="1"/>
  <c r="C69" i="14"/>
  <c r="AC88" i="14"/>
  <c r="AI11" i="42" s="1"/>
  <c r="AI45" i="42" s="1"/>
  <c r="AD69" i="14"/>
  <c r="AB88" i="14"/>
  <c r="AH11" i="42" s="1"/>
  <c r="AH45" i="42" s="1"/>
  <c r="AH59" i="42" s="1"/>
  <c r="AH63" i="42" s="1"/>
  <c r="AC69" i="14"/>
  <c r="AB69" i="14"/>
  <c r="AA88" i="14"/>
  <c r="AG11" i="42" s="1"/>
  <c r="AG45" i="42" s="1"/>
  <c r="AG59" i="42" s="1"/>
  <c r="AG63" i="42" s="1"/>
  <c r="Z88" i="14"/>
  <c r="AF11" i="42" s="1"/>
  <c r="AF45" i="42" s="1"/>
  <c r="AF59" i="42" s="1"/>
  <c r="AF63" i="42" s="1"/>
  <c r="AA69" i="14"/>
  <c r="Y88" i="14"/>
  <c r="AE11" i="42" s="1"/>
  <c r="AE45" i="42" s="1"/>
  <c r="AE59" i="42" s="1"/>
  <c r="AE63" i="42" s="1"/>
  <c r="Z69" i="14"/>
  <c r="X88" i="14"/>
  <c r="AD11" i="42" s="1"/>
  <c r="AD45" i="42" s="1"/>
  <c r="AD59" i="42" s="1"/>
  <c r="AD63" i="42" s="1"/>
  <c r="Y69" i="14"/>
  <c r="W88" i="14"/>
  <c r="AC11" i="42" s="1"/>
  <c r="AC45" i="42" s="1"/>
  <c r="AC59" i="42" s="1"/>
  <c r="AC63" i="42" s="1"/>
  <c r="X69" i="14"/>
  <c r="P88" i="14"/>
  <c r="V11" i="42" s="1"/>
  <c r="V45" i="42" s="1"/>
  <c r="V59" i="42" s="1"/>
  <c r="V63" i="42" s="1"/>
  <c r="O69" i="14"/>
  <c r="O88" i="14"/>
  <c r="U11" i="42" s="1"/>
  <c r="U45" i="42" s="1"/>
  <c r="U59" i="42" s="1"/>
  <c r="U63" i="42" s="1"/>
  <c r="N69" i="14"/>
  <c r="N88" i="14"/>
  <c r="T11" i="42" s="1"/>
  <c r="T45" i="42" s="1"/>
  <c r="T59" i="42" s="1"/>
  <c r="T63" i="42" s="1"/>
  <c r="M69" i="14"/>
  <c r="M88" i="14"/>
  <c r="S11" i="42" s="1"/>
  <c r="S45" i="42" s="1"/>
  <c r="S59" i="42" s="1"/>
  <c r="S63" i="42" s="1"/>
  <c r="L69" i="14"/>
  <c r="L88" i="14"/>
  <c r="R11" i="42" s="1"/>
  <c r="R45" i="42" s="1"/>
  <c r="R59" i="42" s="1"/>
  <c r="R63" i="42" s="1"/>
  <c r="K69" i="14"/>
  <c r="K88" i="14"/>
  <c r="Q11" i="42" s="1"/>
  <c r="Q45" i="42" s="1"/>
  <c r="Q59" i="42" s="1"/>
  <c r="Q63" i="42" s="1"/>
  <c r="J69" i="14"/>
  <c r="G69" i="14"/>
  <c r="J88" i="14"/>
  <c r="P11" i="42" s="1"/>
  <c r="P45" i="42" s="1"/>
  <c r="P59" i="42" s="1"/>
  <c r="P63" i="42" s="1"/>
  <c r="I88" i="14"/>
  <c r="O11" i="42" s="1"/>
  <c r="O45" i="42" s="1"/>
  <c r="O59" i="42" s="1"/>
  <c r="O63" i="42" s="1"/>
  <c r="F69" i="14"/>
  <c r="D88" i="14"/>
  <c r="J11" i="42" s="1"/>
  <c r="J45" i="42" s="1"/>
  <c r="J59" i="42" s="1"/>
  <c r="J63" i="42" s="1"/>
  <c r="D69" i="14"/>
  <c r="C42" i="2"/>
  <c r="H81" i="42"/>
  <c r="H84" i="42"/>
  <c r="H85" i="42" s="1"/>
  <c r="H89" i="42" s="1"/>
  <c r="H90" i="42" s="1"/>
  <c r="H94" i="42" s="1"/>
  <c r="AQ59" i="42"/>
  <c r="AQ63" i="42" s="1"/>
  <c r="AO59" i="42"/>
  <c r="AO63" i="42" s="1"/>
  <c r="AM59" i="42"/>
  <c r="AM63" i="42" s="1"/>
  <c r="AL59" i="42"/>
  <c r="AL63" i="42" s="1"/>
  <c r="AN59" i="42"/>
  <c r="AN63" i="42" s="1"/>
  <c r="AI59" i="42"/>
  <c r="AI63" i="42" s="1"/>
  <c r="AJ59" i="42"/>
  <c r="AJ63" i="42" s="1"/>
  <c r="AW59" i="42"/>
  <c r="AW63" i="42" s="1"/>
  <c r="AR59" i="42"/>
  <c r="AR63" i="42" s="1"/>
  <c r="BD59" i="42"/>
  <c r="BD63" i="42" s="1"/>
  <c r="AP59" i="42"/>
  <c r="AP63" i="42" s="1"/>
  <c r="AK59" i="42"/>
  <c r="AK63" i="42" s="1"/>
  <c r="BE59" i="42"/>
  <c r="BE63" i="42" s="1"/>
  <c r="AT59" i="42"/>
  <c r="AT63" i="42" s="1"/>
  <c r="BC59" i="42"/>
  <c r="BC63" i="42" s="1"/>
  <c r="BL36" i="42"/>
  <c r="BL40" i="42" s="1"/>
  <c r="BL51" i="42"/>
  <c r="BL50" i="42"/>
  <c r="BL45" i="42"/>
  <c r="BL54" i="42"/>
  <c r="BL60" i="42" s="1"/>
  <c r="BP50" i="42"/>
  <c r="BP54" i="42"/>
  <c r="BP60" i="42" s="1"/>
  <c r="BP45" i="42"/>
  <c r="BP51" i="42"/>
  <c r="BP36" i="42"/>
  <c r="BP40" i="42" s="1"/>
  <c r="AZ59" i="42"/>
  <c r="AZ63" i="42" s="1"/>
  <c r="BR45" i="42"/>
  <c r="BR54" i="42"/>
  <c r="BR60" i="42" s="1"/>
  <c r="BR36" i="42"/>
  <c r="BR40" i="42" s="1"/>
  <c r="BR51" i="42"/>
  <c r="BR50" i="42"/>
  <c r="AX59" i="42"/>
  <c r="AX63" i="42" s="1"/>
  <c r="BN50" i="42"/>
  <c r="BN36" i="42"/>
  <c r="BN40" i="42" s="1"/>
  <c r="BN45" i="42"/>
  <c r="BN54" i="42"/>
  <c r="BN60" i="42" s="1"/>
  <c r="BN51" i="42"/>
  <c r="AY59" i="42"/>
  <c r="AY63" i="42" s="1"/>
  <c r="BK51" i="42"/>
  <c r="BK45" i="42"/>
  <c r="BK54" i="42"/>
  <c r="BK60" i="42" s="1"/>
  <c r="BK50" i="42"/>
  <c r="BK36" i="42"/>
  <c r="BK40" i="42" s="1"/>
  <c r="BJ36" i="42"/>
  <c r="BJ40" i="42" s="1"/>
  <c r="BJ51" i="42"/>
  <c r="BJ54" i="42"/>
  <c r="BJ60" i="42" s="1"/>
  <c r="BJ45" i="42"/>
  <c r="BJ50" i="42"/>
  <c r="BH45" i="42"/>
  <c r="BH51" i="42"/>
  <c r="BH54" i="42"/>
  <c r="BH60" i="42" s="1"/>
  <c r="BH50" i="42"/>
  <c r="BH36" i="42"/>
  <c r="BH40" i="42" s="1"/>
  <c r="BO45" i="42"/>
  <c r="BO51" i="42"/>
  <c r="BO36" i="42"/>
  <c r="BO40" i="42" s="1"/>
  <c r="BO50" i="42"/>
  <c r="BO54" i="42"/>
  <c r="BO60" i="42" s="1"/>
  <c r="AU59" i="42"/>
  <c r="AU63" i="42" s="1"/>
  <c r="BA59" i="42"/>
  <c r="BA63" i="42" s="1"/>
  <c r="BI36" i="42"/>
  <c r="BI40" i="42" s="1"/>
  <c r="BI50" i="42"/>
  <c r="BI54" i="42"/>
  <c r="BI60" i="42" s="1"/>
  <c r="BI51" i="42"/>
  <c r="BI45" i="42"/>
  <c r="BF59" i="42"/>
  <c r="BF63" i="42" s="1"/>
  <c r="BQ36" i="42"/>
  <c r="BQ40" i="42" s="1"/>
  <c r="BQ51" i="42"/>
  <c r="BQ50" i="42"/>
  <c r="BQ54" i="42"/>
  <c r="BQ60" i="42" s="1"/>
  <c r="BQ45" i="42"/>
  <c r="BG36" i="42"/>
  <c r="BG40" i="42" s="1"/>
  <c r="BG50" i="42"/>
  <c r="BG45" i="42"/>
  <c r="BG51" i="42"/>
  <c r="BG54" i="42"/>
  <c r="BG60" i="42" s="1"/>
  <c r="BB59" i="42"/>
  <c r="BB63" i="42" s="1"/>
  <c r="BM51" i="42"/>
  <c r="BM36" i="42"/>
  <c r="BM40" i="42" s="1"/>
  <c r="BM50" i="42"/>
  <c r="BM54" i="42"/>
  <c r="BM60" i="42" s="1"/>
  <c r="BM45" i="42"/>
  <c r="AV59" i="42"/>
  <c r="AV63" i="42" s="1"/>
  <c r="H92" i="42" l="1"/>
  <c r="H93" i="42"/>
  <c r="BO59" i="42"/>
  <c r="BO63" i="42" s="1"/>
  <c r="BR59" i="42"/>
  <c r="BR63" i="42" s="1"/>
  <c r="BG59" i="42"/>
  <c r="BG63" i="42" s="1"/>
  <c r="BN59" i="42"/>
  <c r="BN63" i="42" s="1"/>
  <c r="BM59" i="42"/>
  <c r="BM63" i="42" s="1"/>
  <c r="BI59" i="42"/>
  <c r="BI63" i="42" s="1"/>
  <c r="BL59" i="42"/>
  <c r="BL63" i="42" s="1"/>
  <c r="BH59" i="42"/>
  <c r="BH63" i="42" s="1"/>
  <c r="BK59" i="42"/>
  <c r="BK63" i="42" s="1"/>
  <c r="BQ59" i="42"/>
  <c r="BQ63" i="42" s="1"/>
  <c r="BJ59" i="42"/>
  <c r="BJ63" i="42" s="1"/>
  <c r="BP59" i="42"/>
  <c r="BP63" i="42" s="1"/>
  <c r="H95" i="42" l="1"/>
  <c r="H96" i="42" s="1"/>
  <c r="BT32" i="42" s="1"/>
  <c r="BT63" i="42" l="1"/>
  <c r="BT42" i="42"/>
  <c r="BT60" i="42" s="1"/>
  <c r="H72" i="42" l="1"/>
  <c r="H74" i="42"/>
  <c r="BV63" i="42"/>
</calcChain>
</file>

<file path=xl/sharedStrings.xml><?xml version="1.0" encoding="utf-8"?>
<sst xmlns="http://schemas.openxmlformats.org/spreadsheetml/2006/main" count="490" uniqueCount="303">
  <si>
    <t>INFORMAÇÕES</t>
  </si>
  <si>
    <t>PREÇO CLIENTE DIBRACAM ESTOQUE 2 UNIDADES EM 26/12</t>
  </si>
  <si>
    <t xml:space="preserve">DEPOIS 16/17 </t>
  </si>
  <si>
    <t>reduzir comissão dibracam para 2%</t>
  </si>
  <si>
    <t>DATAS (Premissas)</t>
  </si>
  <si>
    <t>Entrada Aquisição Equipamentos (Caminhões+Implementos)</t>
  </si>
  <si>
    <t>prazo</t>
  </si>
  <si>
    <t>Financiamento - Meses de Carência</t>
  </si>
  <si>
    <t>Caminhão</t>
  </si>
  <si>
    <t>VW 8.160 Delivery 16/17 (4300mm entreeixos)</t>
  </si>
  <si>
    <t>Início das parcelas</t>
  </si>
  <si>
    <t>Baú</t>
  </si>
  <si>
    <t>Alumínio/Teto Isolado/Carbus</t>
  </si>
  <si>
    <t>a combinar (Carbus) / 30 dias da confirmação / 10 unidades semana (Facchini)</t>
  </si>
  <si>
    <t>Meses para entrar em operação</t>
  </si>
  <si>
    <t>Plataforma</t>
  </si>
  <si>
    <t>HBZ</t>
  </si>
  <si>
    <t>1 a 2 dias úteis após entrega do baú</t>
  </si>
  <si>
    <t>Início das operações/contrato</t>
  </si>
  <si>
    <t>Meses para vender os caminhões após o fim do contrato</t>
  </si>
  <si>
    <t>Venda dos caminhões</t>
  </si>
  <si>
    <t xml:space="preserve">Manutenção Plataforma / Semestral </t>
  </si>
  <si>
    <t>Cenário I</t>
  </si>
  <si>
    <t>Duração do Contrato (em meses) - Cenário I</t>
  </si>
  <si>
    <t>Sensor de Ré / Sensor Cinto</t>
  </si>
  <si>
    <t>Franquia mensal de KM</t>
  </si>
  <si>
    <t>Adesivagem (SEM ORÇAMENTO)</t>
  </si>
  <si>
    <t>Fim das operações/contrato</t>
  </si>
  <si>
    <t>Despesas Administrativas Gerais/mês/unidade</t>
  </si>
  <si>
    <t>Reajuste - Correção Monetária</t>
  </si>
  <si>
    <t>Periodicidade (em meses)</t>
  </si>
  <si>
    <t xml:space="preserve">Escalonamento de Preços </t>
  </si>
  <si>
    <t>Mês em que incidirá o reajuste</t>
  </si>
  <si>
    <t xml:space="preserve">Índice a ser adotado </t>
  </si>
  <si>
    <t>IGP-M</t>
  </si>
  <si>
    <t>Valor</t>
  </si>
  <si>
    <t>Ano</t>
  </si>
  <si>
    <t>Valor índice de reajustes previsto</t>
  </si>
  <si>
    <t>atencção</t>
  </si>
  <si>
    <t>Desvalorização Mercado - Depreciação Real</t>
  </si>
  <si>
    <t>Veículo</t>
  </si>
  <si>
    <t>% de depreciação (ao ano)</t>
  </si>
  <si>
    <t>preço de venda</t>
  </si>
  <si>
    <t>Implemento</t>
  </si>
  <si>
    <t>Depreciação em 12 meses - Veículo</t>
  </si>
  <si>
    <r>
      <t xml:space="preserve">Valores de </t>
    </r>
    <r>
      <rPr>
        <b/>
        <sz val="12"/>
        <color theme="5" tint="-0.249977111117893"/>
        <rFont val="Calibri"/>
        <family val="2"/>
        <scheme val="minor"/>
      </rPr>
      <t>Compra</t>
    </r>
  </si>
  <si>
    <t>express</t>
  </si>
  <si>
    <t>Valor/un.</t>
  </si>
  <si>
    <t>Comissão Dibracam Venda usado</t>
  </si>
  <si>
    <t>baú</t>
  </si>
  <si>
    <t>Adesivos e Acessórios</t>
  </si>
  <si>
    <t>Valor/un. (fornecedor Braspeso)</t>
  </si>
  <si>
    <t>Não Finamizável</t>
  </si>
  <si>
    <t>Equipamento (veículo + Implemento)</t>
  </si>
  <si>
    <t>Valor Total Equipamento + Peso</t>
  </si>
  <si>
    <r>
      <t xml:space="preserve">Valores de </t>
    </r>
    <r>
      <rPr>
        <b/>
        <sz val="12"/>
        <color rgb="FFFFFF00"/>
        <rFont val="Calibri"/>
        <family val="2"/>
        <scheme val="minor"/>
      </rPr>
      <t>Venda</t>
    </r>
    <r>
      <rPr>
        <b/>
        <sz val="12"/>
        <color theme="1"/>
        <rFont val="Calibri"/>
        <family val="2"/>
        <scheme val="minor"/>
      </rPr>
      <t xml:space="preserve"> - Após encerramento do contrato</t>
    </r>
  </si>
  <si>
    <t>Anos de uso no contrato</t>
  </si>
  <si>
    <t>% do Valor de Compra</t>
  </si>
  <si>
    <t>% desvalorização ao término do contrato</t>
  </si>
  <si>
    <t>Depreciação Contábil Ativo Imobilizado (Equipamento - Veículo + Implemento)</t>
  </si>
  <si>
    <t>Taxa de Depreciação a.a</t>
  </si>
  <si>
    <t>Taxa de Depreciação a.m</t>
  </si>
  <si>
    <t>Valor de Aquisição a ser depreciado</t>
  </si>
  <si>
    <t>Valor depreciação mês</t>
  </si>
  <si>
    <t>Valor do Ativo Após Depreciação Contábil</t>
  </si>
  <si>
    <t xml:space="preserve">Tributação sobre Receita - TOPE - Regime Lucro Presumido </t>
  </si>
  <si>
    <t>TOPE</t>
  </si>
  <si>
    <t>PIS</t>
  </si>
  <si>
    <t>COFINS</t>
  </si>
  <si>
    <t>Total</t>
  </si>
  <si>
    <t>Premissas</t>
  </si>
  <si>
    <t>Contrato (em meses)</t>
  </si>
  <si>
    <t xml:space="preserve">Modelo </t>
  </si>
  <si>
    <t>Franquia KM/mês</t>
  </si>
  <si>
    <t>ANO 1</t>
  </si>
  <si>
    <t>Ano 2</t>
  </si>
  <si>
    <t>Ano 3</t>
  </si>
  <si>
    <t>Ano 4</t>
  </si>
  <si>
    <t>Ano 5</t>
  </si>
  <si>
    <t>OPERAÇÃO ENCERRADA</t>
  </si>
  <si>
    <t>mês corrido (a partir do deal)</t>
  </si>
  <si>
    <t>preço de custo</t>
  </si>
  <si>
    <t>mês operação</t>
  </si>
  <si>
    <t>Investimento</t>
  </si>
  <si>
    <t>Despesas Operacionais (Representam Saída de Caixa)</t>
  </si>
  <si>
    <t>IPVA</t>
  </si>
  <si>
    <t>Desp. Gerais administrativas</t>
  </si>
  <si>
    <t>Rastreamento</t>
  </si>
  <si>
    <t>Seguro Contra 3os</t>
  </si>
  <si>
    <t>Manutenção</t>
  </si>
  <si>
    <r>
      <t xml:space="preserve">Despesas Operacionais que </t>
    </r>
    <r>
      <rPr>
        <b/>
        <sz val="12"/>
        <color rgb="FFFF0000"/>
        <rFont val="Calibri"/>
        <family val="2"/>
        <scheme val="minor"/>
      </rPr>
      <t>NÃO</t>
    </r>
    <r>
      <rPr>
        <b/>
        <sz val="12"/>
        <color theme="0"/>
        <rFont val="Calibri"/>
        <family val="2"/>
        <scheme val="minor"/>
      </rPr>
      <t xml:space="preserve"> Representam Saída de Caixa</t>
    </r>
  </si>
  <si>
    <t>Depreciação Contábil Veículos</t>
  </si>
  <si>
    <t>Índice Reajuste Anual</t>
  </si>
  <si>
    <t>Receita Operacional Bruta</t>
  </si>
  <si>
    <t>Entrada/Fecham. DEAL</t>
  </si>
  <si>
    <t>30 dias</t>
  </si>
  <si>
    <t>Início da operação</t>
  </si>
  <si>
    <t>Recebimento 1a Fatura (D+30)</t>
  </si>
  <si>
    <t>Venda dos Equipamentos + Receb. Última Fatura</t>
  </si>
  <si>
    <t>Locação Equipamentos</t>
  </si>
  <si>
    <t>Receita Não Operacional</t>
  </si>
  <si>
    <t>Venda Equipamentos</t>
  </si>
  <si>
    <t>Receita Não Operacional 1 - Venda Implementos</t>
  </si>
  <si>
    <t>Receita Não Operacional 2 - Venda Veículos</t>
  </si>
  <si>
    <t xml:space="preserve">Impostos sobre Receita </t>
  </si>
  <si>
    <t>Sobre Receita Operacional</t>
  </si>
  <si>
    <t>PIS/COFINS</t>
  </si>
  <si>
    <t>Receita Líquida</t>
  </si>
  <si>
    <t>Receita Operacional Líquida</t>
  </si>
  <si>
    <t>Receita Não Operacional Líquida</t>
  </si>
  <si>
    <t>Lucro/Prejuízo Operacional Bruto</t>
  </si>
  <si>
    <t>Demais Impostos - VSI Lucro Real</t>
  </si>
  <si>
    <t>Demais Impostos sobre Lucro Operacional</t>
  </si>
  <si>
    <t>IR (15% s/ 32% Receita)</t>
  </si>
  <si>
    <t>CSLL (9% sobre 32% da receita)</t>
  </si>
  <si>
    <t xml:space="preserve">Demais Impostos sobre Lucro Não Operacional </t>
  </si>
  <si>
    <t>IR (15% s/ LUCRO)</t>
  </si>
  <si>
    <t>Adicional ao IR (10% s/ LUCRO)</t>
  </si>
  <si>
    <t>CSLL (9% s/ LUCRO)</t>
  </si>
  <si>
    <t xml:space="preserve">Lucro Líquido </t>
  </si>
  <si>
    <t>Operacional</t>
  </si>
  <si>
    <t>Não Operacional</t>
  </si>
  <si>
    <r>
      <t>Fluxo de Caixa</t>
    </r>
    <r>
      <rPr>
        <b/>
        <sz val="12"/>
        <color rgb="FFFFFF00"/>
        <rFont val="Calibri"/>
        <family val="2"/>
        <scheme val="minor"/>
      </rPr>
      <t xml:space="preserve"> (Atenção caso haja venda de ativos com lucro)</t>
    </r>
  </si>
  <si>
    <t>Preço Mensal Locação/unidade</t>
  </si>
  <si>
    <t>TMA ANUAL (Taxa mín. Atratividade)</t>
  </si>
  <si>
    <t>TMA MENSAL (Taxa mín. Atratividade)</t>
  </si>
  <si>
    <t>VPL</t>
  </si>
  <si>
    <t>TIR MENSAL</t>
  </si>
  <si>
    <t>Premissa Básica</t>
  </si>
  <si>
    <t>Se TIR &gt; TMA = FAZER NEGÓCIO!</t>
  </si>
  <si>
    <t>Apuração Lucro Venda de Ativos Imobilizados (Veículos+Implementos)</t>
  </si>
  <si>
    <t>Depreciação Contábil Acumulada - Equipamento</t>
  </si>
  <si>
    <t>Veículo + Implemento</t>
  </si>
  <si>
    <t xml:space="preserve">Valor de Compra </t>
  </si>
  <si>
    <t xml:space="preserve">Depreciação Contábil Acumulada </t>
  </si>
  <si>
    <t>Valor Residual Contábil (Valor de Compra - Deprec. Contábil Acum.)</t>
  </si>
  <si>
    <t>Valor Venda Veículo (fim do contrato)</t>
  </si>
  <si>
    <t>Lucro Venda de Ativo Imobilizado (Veículo)</t>
  </si>
  <si>
    <t>Base de Cálculo para cálculo de imposto sobre receita não operacional (apenas se &gt; 0)</t>
  </si>
  <si>
    <t>Tributação Sobre Lucro de Venda</t>
  </si>
  <si>
    <t>Total Tributos</t>
  </si>
  <si>
    <t>VALOR LÍQUIDO DE VENDA</t>
  </si>
  <si>
    <t>Financiamento e Investimentos</t>
  </si>
  <si>
    <t>19-420</t>
  </si>
  <si>
    <t>Meses de Contrato de Serviço</t>
  </si>
  <si>
    <t>Meses de Financiamento</t>
  </si>
  <si>
    <t>UNITÁRIO</t>
  </si>
  <si>
    <t>Valor Financiamento</t>
  </si>
  <si>
    <t>Entrada/Parcelas/Quitação</t>
  </si>
  <si>
    <t>LOTE</t>
  </si>
  <si>
    <t>Qtdade (unidades)</t>
  </si>
  <si>
    <t>Valor Total Financiado</t>
  </si>
  <si>
    <t>FINAME</t>
  </si>
  <si>
    <t>Proporção</t>
  </si>
  <si>
    <t>Taxa a.m</t>
  </si>
  <si>
    <t>Taxa a.a</t>
  </si>
  <si>
    <t>Prazo (em meses)</t>
  </si>
  <si>
    <t>Carência (em dias)</t>
  </si>
  <si>
    <t>TJLP</t>
  </si>
  <si>
    <t>SELIC</t>
  </si>
  <si>
    <t>total</t>
  </si>
  <si>
    <t>CDC PJ</t>
  </si>
  <si>
    <t>Entrada</t>
  </si>
  <si>
    <t>-</t>
  </si>
  <si>
    <t>Preço Veículo</t>
  </si>
  <si>
    <t>Preço Implemento</t>
  </si>
  <si>
    <t>CDC</t>
  </si>
  <si>
    <t>taxa de juros</t>
  </si>
  <si>
    <t>Data de início</t>
  </si>
  <si>
    <t>Prazo (meses)</t>
  </si>
  <si>
    <t>Qtde pgtos</t>
  </si>
  <si>
    <t>Parc. A serem pagas</t>
  </si>
  <si>
    <t>Parc. Restantes (trazer a Valor Present.)</t>
  </si>
  <si>
    <t>Valor Parcela</t>
  </si>
  <si>
    <t>Valor total restante - Valor de face</t>
  </si>
  <si>
    <t>Taxa de Juros a.m</t>
  </si>
  <si>
    <t>Taxa de Juros a.a</t>
  </si>
  <si>
    <t>Valor total restante - trazidos à Valor Presente</t>
  </si>
  <si>
    <t>Entrada + Implemento</t>
  </si>
  <si>
    <t>Valor Entrada</t>
  </si>
  <si>
    <t xml:space="preserve">FINAME+CDC PJ </t>
  </si>
  <si>
    <t>Valor Implemento</t>
  </si>
  <si>
    <t>Total Investimento</t>
  </si>
  <si>
    <t>Valor Total</t>
  </si>
  <si>
    <t>Receita</t>
  </si>
  <si>
    <t>PREENCHER PRIMEIRO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</si>
  <si>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ALVO FINAL</t>
    </r>
  </si>
  <si>
    <t>INSTRUÇÕES</t>
  </si>
  <si>
    <t>Modelo + Implemento</t>
  </si>
  <si>
    <t>Un.</t>
  </si>
  <si>
    <t>Valor/Un.</t>
  </si>
  <si>
    <t>1 - Estabelecer Preço ALVO FINAL</t>
  </si>
  <si>
    <t>19-420 18 meses 4k km</t>
  </si>
  <si>
    <t>2 - Determinar Fator X</t>
  </si>
  <si>
    <t>19-420 18 meses 6k km</t>
  </si>
  <si>
    <t>3 - Enviar ao cliente Preço Inicial PRÉ-NEGOCIAÇÃO</t>
  </si>
  <si>
    <t>19-420 18 meses 8k km</t>
  </si>
  <si>
    <t>4 - Negociar com o cliente e inserir os preços FECHAMENTO DEAL</t>
  </si>
  <si>
    <t>25-420 24 meses</t>
  </si>
  <si>
    <t>Total caminhão</t>
  </si>
  <si>
    <r>
      <t xml:space="preserve">Preço Inicial </t>
    </r>
    <r>
      <rPr>
        <b/>
        <sz val="11"/>
        <color theme="6" tint="0.59999389629810485"/>
        <rFont val="Calibri"/>
        <family val="2"/>
        <scheme val="minor"/>
      </rPr>
      <t>PRÉ-NEGOCIAÇÃO</t>
    </r>
  </si>
  <si>
    <t>ENVIAR AO CLIENTE</t>
  </si>
  <si>
    <t>Fator X</t>
  </si>
  <si>
    <t>17-190 + Roll-On + Garra</t>
  </si>
  <si>
    <r>
      <t>Preço Inicial</t>
    </r>
    <r>
      <rPr>
        <b/>
        <sz val="14"/>
        <color theme="6" tint="0.39997558519241921"/>
        <rFont val="Calibri"/>
        <family val="2"/>
        <scheme val="minor"/>
      </rPr>
      <t xml:space="preserve"> PRÉ-NEGOCIAÇÃO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</si>
  <si>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PREÇO FECHADO (DEAL)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</si>
  <si>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FECHAMENTO DEAL</t>
    </r>
  </si>
  <si>
    <t>10-160 + Compactador</t>
  </si>
  <si>
    <r>
      <t xml:space="preserve">Preço </t>
    </r>
    <r>
      <rPr>
        <b/>
        <sz val="14"/>
        <color theme="9" tint="-0.249977111117893"/>
        <rFont val="Calibri"/>
        <family val="2"/>
        <scheme val="minor"/>
      </rPr>
      <t>FECHAMENTO DEAL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</si>
  <si>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Tributos sobre Receita</t>
  </si>
  <si>
    <t>Dibracam</t>
  </si>
  <si>
    <t xml:space="preserve">Outros Impostos - TOPE - Regime Lucro Presumido </t>
  </si>
  <si>
    <t>IR (incide sobre 32% da receita)</t>
  </si>
  <si>
    <t>CSLL (incide sobre 32% da receita)</t>
  </si>
  <si>
    <t>Adicional IR (diretamente sobre a receita)</t>
  </si>
  <si>
    <t>RASTREAMENTO</t>
  </si>
  <si>
    <t>Rastreadora</t>
  </si>
  <si>
    <t>Valor/Un./Mês</t>
  </si>
  <si>
    <t>Unidades</t>
  </si>
  <si>
    <t>Valor Total/Mês</t>
  </si>
  <si>
    <t>SASCAR</t>
  </si>
  <si>
    <t>Reajuste Anutal Estimado</t>
  </si>
  <si>
    <t>SEGUROS CONTRA 3os - RCF</t>
  </si>
  <si>
    <t>Seguradora</t>
  </si>
  <si>
    <t>Modelo</t>
  </si>
  <si>
    <t>Quantidade</t>
  </si>
  <si>
    <t>Preço Un/ano</t>
  </si>
  <si>
    <t>Parcelas</t>
  </si>
  <si>
    <t>Valor parcela</t>
  </si>
  <si>
    <t>TOKIO MARINE</t>
  </si>
  <si>
    <t>Manutenção - Contrato de Manutenção VW/MAN</t>
  </si>
  <si>
    <t>Valor KM</t>
  </si>
  <si>
    <t>Valor mensal/unidade</t>
  </si>
  <si>
    <t>VALOR LINEAR 3 ANOS OU 360.000</t>
  </si>
  <si>
    <t>25-420</t>
  </si>
  <si>
    <t xml:space="preserve">Premissas: </t>
  </si>
  <si>
    <t>Pneus NÃO INCLUSOS NO CONTRATO DE MANUTENÇÃO, DEVENDO FICAR A CARGO DO LOCATÁRIO</t>
  </si>
  <si>
    <t>1o Ano Veículo</t>
  </si>
  <si>
    <t>2o Ano Veículo</t>
  </si>
  <si>
    <t>3o Ano Veículo</t>
  </si>
  <si>
    <t>4o Ano Veículo</t>
  </si>
  <si>
    <t>Valor mensal/un.</t>
  </si>
  <si>
    <t>LICENCIAMENTO</t>
  </si>
  <si>
    <t>Considerando 3% Desc. Pgto à Vista (janeiro)</t>
  </si>
  <si>
    <t>Valor Documentação = R$ 800</t>
  </si>
  <si>
    <t>Cenário - Preço Venda</t>
  </si>
  <si>
    <t>Desp. 2018 (Prop. ago-Dez)</t>
  </si>
  <si>
    <t>Desp. 2019 (incide em Janeiro)</t>
  </si>
  <si>
    <t>Desp. 2020 (incide em Janeiro)</t>
  </si>
  <si>
    <t>Desp. 2021 (incide em Janeiro)</t>
  </si>
  <si>
    <t>Desp. 2022 (incide em Janeiro)</t>
  </si>
  <si>
    <t>Desp. 2023 (incide em Janeiro)</t>
  </si>
  <si>
    <t>Preço/Un</t>
  </si>
  <si>
    <t>Doc.</t>
  </si>
  <si>
    <t>Total/un</t>
  </si>
  <si>
    <t>Total/un.</t>
  </si>
  <si>
    <t>COEFICIENTE</t>
  </si>
  <si>
    <t>Parâmetros</t>
  </si>
  <si>
    <t>Custo Financeiro</t>
  </si>
  <si>
    <t>Mês</t>
  </si>
  <si>
    <t>Dia</t>
  </si>
  <si>
    <t xml:space="preserve">Padrão </t>
  </si>
  <si>
    <t>Prazo Cliente</t>
  </si>
  <si>
    <t>Dias de Custo Financeiro</t>
  </si>
  <si>
    <t>Valo</t>
  </si>
  <si>
    <t>res em</t>
  </si>
  <si>
    <t>Par</t>
  </si>
  <si>
    <t>cData V</t>
  </si>
  <si>
    <t>eSdo. Inic</t>
  </si>
  <si>
    <t>iaAmortização</t>
  </si>
  <si>
    <t>Juros</t>
  </si>
  <si>
    <t>PrestCorreção</t>
  </si>
  <si>
    <t>Prev.</t>
  </si>
  <si>
    <t>Sdo. FinT</t>
  </si>
  <si>
    <t>otal a pagar</t>
  </si>
  <si>
    <t>20/03/</t>
  </si>
  <si>
    <t>15/04/</t>
  </si>
  <si>
    <t>15/05/</t>
  </si>
  <si>
    <t>15/06/</t>
  </si>
  <si>
    <t>15/10/</t>
  </si>
  <si>
    <t>16/11/</t>
  </si>
  <si>
    <t>17/12/</t>
  </si>
  <si>
    <t>15/01/</t>
  </si>
  <si>
    <t>15/02/</t>
  </si>
  <si>
    <t>15/03/</t>
  </si>
  <si>
    <t>17/06/</t>
  </si>
  <si>
    <t>15/07/</t>
  </si>
  <si>
    <t>15/08/</t>
  </si>
  <si>
    <t>16/09/</t>
  </si>
  <si>
    <t>16/12/</t>
  </si>
  <si>
    <t>17/02/</t>
  </si>
  <si>
    <t>16/03/</t>
  </si>
  <si>
    <t>17/08/</t>
  </si>
  <si>
    <t>15/09/</t>
  </si>
  <si>
    <t>17/05/</t>
  </si>
  <si>
    <t>16/08/</t>
  </si>
  <si>
    <t>15/12/</t>
  </si>
  <si>
    <t>18/04/</t>
  </si>
  <si>
    <t>16/05/</t>
  </si>
  <si>
    <t>17/10/</t>
  </si>
  <si>
    <t>16/01/</t>
  </si>
  <si>
    <t>TOT</t>
  </si>
  <si>
    <t>AIS==&gt;/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</si>
</sst>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&quot;R$&quot;#,##0;[Red]\-&quot;R$&quot;#,##0"/>
    <numFmt numFmtId="167" formatCode="_-&quot;R$&quot;* #,##0.00_-;\-&quot;R$&quot;* #,##0.00_-;_-&quot;R$&quot;* &quot;-&quot;??_-;_-@_-"/>
    <numFmt numFmtId="168" formatCode="0.000%"/>
    <numFmt numFmtId="169" formatCode="_-[$R$-416]\ * #,##0_-;\-[$R$-416]\ * #,##0_-;_-[$R$-416]\ * &quot;-&quot;??_-;_-@_-"/>
    <numFmt numFmtId="170" formatCode="_-[$R$-416]\ * #,##0_-;\-[$R$-416]\ * #,##0_-;_-[$R$-416]\ * &quot;-&quot;???_-;_-@_-"/>
    <numFmt numFmtId="171" formatCode="0.0%"/>
    <numFmt numFmtId="172" formatCode="#,##0.0"/>
    <numFmt numFmtId="173" formatCode="_(&quot;R$&quot;* #,##0_);_(&quot;R$&quot;* \(#,##0\);_(&quot;R$&quot;* &quot;-&quot;??_);_(@_)"/>
    <numFmt numFmtId="174" formatCode="&quot;R$&quot;#,##0.0;[Red]\-&quot;R$&quot;#,##0.0"/>
    <numFmt numFmtId="175" formatCode="0.000"/>
    <numFmt numFmtId="176" formatCode="0.0000"/>
    <numFmt numFmtId="177" formatCode="0.0"/>
    <numFmt numFmtId="178" formatCode="0.0000%"/>
  </numFmts>
  <fonts count="3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6" tint="0.59999389629810485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4"/>
      <color theme="5" tint="0.39997558519241921"/>
      <name val="Calibri"/>
      <family val="2"/>
      <scheme val="minor"/>
    </font>
    <font>
      <b/>
      <sz val="14"/>
      <color theme="6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8"/>
      <color theme="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7">
    <xf numFmtId="0" fontId="0" fillId="0" borderId="0" xfId="0"/>
    <xf numFmtId="169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0" fontId="7" fillId="0" borderId="3" xfId="0" applyFont="1" applyBorder="1"/>
    <xf numFmtId="4" fontId="7" fillId="0" borderId="4" xfId="0" applyNumberFormat="1" applyFont="1" applyBorder="1"/>
    <xf numFmtId="0" fontId="0" fillId="0" borderId="3" xfId="0" applyBorder="1"/>
    <xf numFmtId="4" fontId="0" fillId="0" borderId="4" xfId="0" applyNumberFormat="1" applyBorder="1"/>
    <xf numFmtId="0" fontId="0" fillId="0" borderId="6" xfId="0" applyBorder="1"/>
    <xf numFmtId="0" fontId="7" fillId="4" borderId="0" xfId="0" applyFont="1" applyFill="1"/>
    <xf numFmtId="4" fontId="0" fillId="4" borderId="6" xfId="0" applyNumberFormat="1" applyFill="1" applyBorder="1"/>
    <xf numFmtId="17" fontId="6" fillId="5" borderId="6" xfId="0" applyNumberFormat="1" applyFont="1" applyFill="1" applyBorder="1"/>
    <xf numFmtId="0" fontId="6" fillId="5" borderId="6" xfId="0" applyFont="1" applyFill="1" applyBorder="1"/>
    <xf numFmtId="0" fontId="6" fillId="5" borderId="0" xfId="0" applyFont="1" applyFill="1"/>
    <xf numFmtId="0" fontId="8" fillId="0" borderId="0" xfId="0" applyFont="1"/>
    <xf numFmtId="170" fontId="0" fillId="0" borderId="5" xfId="0" applyNumberFormat="1" applyBorder="1"/>
    <xf numFmtId="169" fontId="0" fillId="0" borderId="7" xfId="0" applyNumberFormat="1" applyBorder="1"/>
    <xf numFmtId="4" fontId="0" fillId="4" borderId="7" xfId="0" applyNumberFormat="1" applyFill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3" fontId="0" fillId="0" borderId="6" xfId="0" applyNumberFormat="1" applyBorder="1"/>
    <xf numFmtId="3" fontId="0" fillId="4" borderId="6" xfId="0" applyNumberFormat="1" applyFill="1" applyBorder="1"/>
    <xf numFmtId="10" fontId="0" fillId="0" borderId="0" xfId="2" applyNumberFormat="1" applyFont="1"/>
    <xf numFmtId="3" fontId="0" fillId="4" borderId="7" xfId="0" applyNumberFormat="1" applyFill="1" applyBorder="1"/>
    <xf numFmtId="3" fontId="0" fillId="0" borderId="0" xfId="0" applyNumberFormat="1"/>
    <xf numFmtId="4" fontId="0" fillId="0" borderId="6" xfId="0" applyNumberFormat="1" applyBorder="1"/>
    <xf numFmtId="168" fontId="0" fillId="4" borderId="6" xfId="2" applyNumberFormat="1" applyFont="1" applyFill="1" applyBorder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164" fontId="0" fillId="3" borderId="0" xfId="0" applyNumberFormat="1" applyFill="1"/>
    <xf numFmtId="10" fontId="7" fillId="0" borderId="0" xfId="0" applyNumberFormat="1" applyFont="1"/>
    <xf numFmtId="171" fontId="7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0" fontId="0" fillId="3" borderId="0" xfId="2" applyNumberFormat="1" applyFont="1" applyFill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/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0" borderId="0" xfId="0" applyFont="1" applyFill="1"/>
    <xf numFmtId="4" fontId="0" fillId="0" borderId="0" xfId="0" applyNumberFormat="1" applyAlignment="1">
      <alignment horizontal="right"/>
    </xf>
    <xf numFmtId="164" fontId="0" fillId="0" borderId="0" xfId="0" applyNumberFormat="1"/>
    <xf numFmtId="0" fontId="17" fillId="11" borderId="0" xfId="0" applyFont="1" applyFill="1"/>
    <xf numFmtId="0" fontId="0" fillId="12" borderId="0" xfId="0" applyFill="1"/>
    <xf numFmtId="0" fontId="5" fillId="1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0" fontId="0" fillId="15" borderId="0" xfId="0" applyNumberFormat="1" applyFill="1"/>
    <xf numFmtId="0" fontId="0" fillId="17" borderId="0" xfId="0" applyFill="1"/>
    <xf numFmtId="0" fontId="17" fillId="5" borderId="0" xfId="0" applyFont="1" applyFill="1"/>
    <xf numFmtId="0" fontId="13" fillId="5" borderId="0" xfId="0" applyFont="1" applyFill="1" applyAlignment="1">
      <alignment horizontal="center" wrapText="1"/>
    </xf>
    <xf numFmtId="10" fontId="2" fillId="5" borderId="0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18" borderId="0" xfId="0" applyFill="1"/>
    <xf numFmtId="0" fontId="0" fillId="19" borderId="0" xfId="0" applyFill="1"/>
    <xf numFmtId="0" fontId="0" fillId="19" borderId="5" xfId="0" applyFill="1" applyBorder="1"/>
    <xf numFmtId="4" fontId="0" fillId="19" borderId="0" xfId="0" applyNumberFormat="1" applyFill="1"/>
    <xf numFmtId="0" fontId="2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" fontId="6" fillId="5" borderId="5" xfId="0" applyNumberFormat="1" applyFont="1" applyFill="1" applyBorder="1"/>
    <xf numFmtId="0" fontId="6" fillId="5" borderId="5" xfId="0" applyFont="1" applyFill="1" applyBorder="1"/>
    <xf numFmtId="4" fontId="0" fillId="4" borderId="5" xfId="0" applyNumberFormat="1" applyFill="1" applyBorder="1"/>
    <xf numFmtId="3" fontId="0" fillId="4" borderId="5" xfId="0" applyNumberFormat="1" applyFill="1" applyBorder="1"/>
    <xf numFmtId="168" fontId="0" fillId="4" borderId="5" xfId="2" applyNumberFormat="1" applyFont="1" applyFill="1" applyBorder="1"/>
    <xf numFmtId="17" fontId="6" fillId="0" borderId="0" xfId="0" applyNumberFormat="1" applyFont="1"/>
    <xf numFmtId="0" fontId="6" fillId="0" borderId="0" xfId="0" applyFont="1"/>
    <xf numFmtId="17" fontId="0" fillId="15" borderId="0" xfId="0" applyNumberFormat="1" applyFill="1"/>
    <xf numFmtId="17" fontId="2" fillId="21" borderId="6" xfId="0" applyNumberFormat="1" applyFont="1" applyFill="1" applyBorder="1"/>
    <xf numFmtId="0" fontId="2" fillId="21" borderId="6" xfId="0" applyFont="1" applyFill="1" applyBorder="1"/>
    <xf numFmtId="0" fontId="0" fillId="12" borderId="13" xfId="0" applyFill="1" applyBorder="1"/>
    <xf numFmtId="0" fontId="0" fillId="0" borderId="5" xfId="0" applyBorder="1" applyAlignment="1">
      <alignment horizontal="center"/>
    </xf>
    <xf numFmtId="165" fontId="0" fillId="0" borderId="0" xfId="1" applyFont="1"/>
    <xf numFmtId="17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72" fontId="0" fillId="0" borderId="6" xfId="0" applyNumberFormat="1" applyBorder="1"/>
    <xf numFmtId="0" fontId="16" fillId="21" borderId="0" xfId="0" applyFont="1" applyFill="1"/>
    <xf numFmtId="0" fontId="16" fillId="5" borderId="0" xfId="0" applyFont="1" applyFill="1"/>
    <xf numFmtId="165" fontId="0" fillId="0" borderId="0" xfId="1" applyFont="1" applyBorder="1"/>
    <xf numFmtId="0" fontId="0" fillId="0" borderId="8" xfId="0" applyBorder="1"/>
    <xf numFmtId="0" fontId="0" fillId="0" borderId="9" xfId="0" applyBorder="1"/>
    <xf numFmtId="165" fontId="0" fillId="0" borderId="10" xfId="1" applyFont="1" applyBorder="1"/>
    <xf numFmtId="9" fontId="0" fillId="12" borderId="0" xfId="2" applyFont="1" applyFill="1"/>
    <xf numFmtId="0" fontId="0" fillId="20" borderId="0" xfId="0" applyFill="1"/>
    <xf numFmtId="4" fontId="0" fillId="20" borderId="7" xfId="0" applyNumberFormat="1" applyFill="1" applyBorder="1"/>
    <xf numFmtId="3" fontId="0" fillId="20" borderId="7" xfId="0" applyNumberFormat="1" applyFill="1" applyBorder="1"/>
    <xf numFmtId="3" fontId="0" fillId="20" borderId="6" xfId="0" applyNumberFormat="1" applyFill="1" applyBorder="1"/>
    <xf numFmtId="0" fontId="27" fillId="0" borderId="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25" fillId="0" borderId="0" xfId="0" applyFont="1"/>
    <xf numFmtId="0" fontId="11" fillId="0" borderId="0" xfId="0" applyFont="1"/>
    <xf numFmtId="0" fontId="17" fillId="25" borderId="15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6" borderId="0" xfId="0" applyFont="1" applyFill="1"/>
    <xf numFmtId="0" fontId="18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23" borderId="0" xfId="0" applyFill="1"/>
    <xf numFmtId="4" fontId="0" fillId="23" borderId="0" xfId="0" applyNumberFormat="1" applyFill="1"/>
    <xf numFmtId="172" fontId="0" fillId="23" borderId="6" xfId="0" applyNumberFormat="1" applyFill="1" applyBorder="1"/>
    <xf numFmtId="3" fontId="0" fillId="23" borderId="5" xfId="0" applyNumberFormat="1" applyFill="1" applyBorder="1"/>
    <xf numFmtId="0" fontId="6" fillId="25" borderId="0" xfId="0" applyFont="1" applyFill="1"/>
    <xf numFmtId="0" fontId="17" fillId="25" borderId="0" xfId="0" applyFont="1" applyFill="1"/>
    <xf numFmtId="4" fontId="17" fillId="25" borderId="6" xfId="0" applyNumberFormat="1" applyFont="1" applyFill="1" applyBorder="1"/>
    <xf numFmtId="4" fontId="17" fillId="25" borderId="0" xfId="0" applyNumberFormat="1" applyFont="1" applyFill="1"/>
    <xf numFmtId="0" fontId="17" fillId="25" borderId="6" xfId="0" applyFont="1" applyFill="1" applyBorder="1"/>
    <xf numFmtId="3" fontId="17" fillId="25" borderId="6" xfId="0" applyNumberFormat="1" applyFont="1" applyFill="1" applyBorder="1"/>
    <xf numFmtId="172" fontId="17" fillId="25" borderId="6" xfId="0" applyNumberFormat="1" applyFont="1" applyFill="1" applyBorder="1"/>
    <xf numFmtId="3" fontId="17" fillId="25" borderId="7" xfId="0" applyNumberFormat="1" applyFont="1" applyFill="1" applyBorder="1"/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173" fontId="0" fillId="0" borderId="0" xfId="1" applyNumberFormat="1" applyFont="1"/>
    <xf numFmtId="0" fontId="7" fillId="13" borderId="0" xfId="0" applyFont="1" applyFill="1"/>
    <xf numFmtId="9" fontId="0" fillId="13" borderId="0" xfId="2" applyFont="1" applyFill="1" applyBorder="1"/>
    <xf numFmtId="10" fontId="0" fillId="13" borderId="0" xfId="2" applyNumberFormat="1" applyFont="1" applyFill="1" applyBorder="1"/>
    <xf numFmtId="3" fontId="0" fillId="13" borderId="0" xfId="0" applyNumberFormat="1" applyFill="1"/>
    <xf numFmtId="4" fontId="6" fillId="22" borderId="0" xfId="0" applyNumberFormat="1" applyFont="1" applyFill="1"/>
    <xf numFmtId="4" fontId="6" fillId="22" borderId="0" xfId="0" applyNumberFormat="1" applyFont="1" applyFill="1" applyAlignment="1">
      <alignment wrapText="1"/>
    </xf>
    <xf numFmtId="4" fontId="10" fillId="0" borderId="0" xfId="0" applyNumberFormat="1" applyFont="1"/>
    <xf numFmtId="0" fontId="10" fillId="0" borderId="0" xfId="0" applyFont="1"/>
    <xf numFmtId="9" fontId="0" fillId="22" borderId="0" xfId="2" applyFont="1" applyFill="1" applyBorder="1"/>
    <xf numFmtId="10" fontId="0" fillId="22" borderId="0" xfId="2" applyNumberFormat="1" applyFont="1" applyFill="1" applyBorder="1"/>
    <xf numFmtId="3" fontId="0" fillId="22" borderId="0" xfId="0" applyNumberFormat="1" applyFill="1"/>
    <xf numFmtId="165" fontId="0" fillId="12" borderId="0" xfId="1" applyFont="1" applyFill="1" applyAlignment="1"/>
    <xf numFmtId="0" fontId="7" fillId="19" borderId="0" xfId="0" applyFont="1" applyFill="1"/>
    <xf numFmtId="9" fontId="0" fillId="19" borderId="0" xfId="2" applyFont="1" applyFill="1" applyBorder="1"/>
    <xf numFmtId="10" fontId="0" fillId="19" borderId="0" xfId="2" applyNumberFormat="1" applyFont="1" applyFill="1" applyBorder="1" applyAlignment="1">
      <alignment horizontal="center"/>
    </xf>
    <xf numFmtId="3" fontId="0" fillId="19" borderId="0" xfId="0" applyNumberFormat="1" applyFill="1" applyAlignment="1">
      <alignment horizontal="center"/>
    </xf>
    <xf numFmtId="9" fontId="0" fillId="20" borderId="0" xfId="2" applyFont="1" applyFill="1"/>
    <xf numFmtId="0" fontId="0" fillId="12" borderId="1" xfId="0" applyFill="1" applyBorder="1"/>
    <xf numFmtId="0" fontId="7" fillId="12" borderId="13" xfId="0" applyFont="1" applyFill="1" applyBorder="1"/>
    <xf numFmtId="0" fontId="0" fillId="12" borderId="13" xfId="0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9" fillId="12" borderId="2" xfId="0" applyFont="1" applyFill="1" applyBorder="1" applyAlignment="1">
      <alignment wrapText="1"/>
    </xf>
    <xf numFmtId="17" fontId="0" fillId="0" borderId="3" xfId="0" applyNumberFormat="1" applyBorder="1"/>
    <xf numFmtId="0" fontId="7" fillId="0" borderId="14" xfId="0" applyFont="1" applyBorder="1"/>
    <xf numFmtId="173" fontId="7" fillId="0" borderId="14" xfId="1" applyNumberFormat="1" applyFont="1" applyBorder="1"/>
    <xf numFmtId="10" fontId="7" fillId="0" borderId="14" xfId="0" applyNumberFormat="1" applyFont="1" applyBorder="1"/>
    <xf numFmtId="174" fontId="9" fillId="0" borderId="4" xfId="0" applyNumberFormat="1" applyFont="1" applyBorder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0" fontId="6" fillId="14" borderId="0" xfId="0" applyFont="1" applyFill="1"/>
    <xf numFmtId="4" fontId="17" fillId="0" borderId="0" xfId="0" applyNumberFormat="1" applyFont="1"/>
    <xf numFmtId="3" fontId="17" fillId="0" borderId="0" xfId="0" applyNumberFormat="1" applyFont="1"/>
    <xf numFmtId="10" fontId="0" fillId="0" borderId="0" xfId="2" applyNumberFormat="1" applyFont="1" applyFill="1" applyBorder="1" applyAlignment="1">
      <alignment horizontal="center"/>
    </xf>
    <xf numFmtId="0" fontId="6" fillId="27" borderId="0" xfId="0" applyFont="1" applyFill="1"/>
    <xf numFmtId="0" fontId="0" fillId="4" borderId="0" xfId="0" applyFill="1"/>
    <xf numFmtId="173" fontId="0" fillId="4" borderId="0" xfId="1" applyNumberFormat="1" applyFont="1" applyFill="1"/>
    <xf numFmtId="0" fontId="2" fillId="4" borderId="0" xfId="0" applyFont="1" applyFill="1" applyAlignment="1">
      <alignment horizontal="center" vertical="center" wrapText="1"/>
    </xf>
    <xf numFmtId="173" fontId="2" fillId="4" borderId="0" xfId="1" applyNumberFormat="1" applyFont="1" applyFill="1" applyAlignment="1">
      <alignment horizontal="center" vertical="center"/>
    </xf>
    <xf numFmtId="0" fontId="6" fillId="18" borderId="0" xfId="0" applyFont="1" applyFill="1"/>
    <xf numFmtId="0" fontId="0" fillId="0" borderId="0" xfId="0" applyAlignment="1">
      <alignment horizontal="center" vertical="center" wrapText="1"/>
    </xf>
    <xf numFmtId="17" fontId="0" fillId="12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6" fillId="5" borderId="0" xfId="0" applyFont="1" applyFill="1" applyAlignment="1">
      <alignment wrapText="1"/>
    </xf>
    <xf numFmtId="17" fontId="6" fillId="9" borderId="6" xfId="0" applyNumberFormat="1" applyFont="1" applyFill="1" applyBorder="1"/>
    <xf numFmtId="0" fontId="6" fillId="9" borderId="6" xfId="0" applyFont="1" applyFill="1" applyBorder="1"/>
    <xf numFmtId="165" fontId="7" fillId="0" borderId="14" xfId="1" applyFont="1" applyBorder="1"/>
    <xf numFmtId="165" fontId="0" fillId="0" borderId="0" xfId="0" applyNumberFormat="1"/>
    <xf numFmtId="167" fontId="0" fillId="12" borderId="0" xfId="0" applyNumberFormat="1" applyFill="1"/>
    <xf numFmtId="0" fontId="7" fillId="22" borderId="0" xfId="0" applyFont="1" applyFill="1" applyAlignment="1">
      <alignment horizontal="center" vertical="center"/>
    </xf>
    <xf numFmtId="9" fontId="0" fillId="0" borderId="20" xfId="2" applyFont="1" applyFill="1" applyBorder="1"/>
    <xf numFmtId="0" fontId="7" fillId="0" borderId="8" xfId="0" applyFont="1" applyBorder="1"/>
    <xf numFmtId="165" fontId="0" fillId="12" borderId="0" xfId="1" applyFont="1" applyFill="1" applyBorder="1"/>
    <xf numFmtId="10" fontId="0" fillId="0" borderId="0" xfId="0" applyNumberFormat="1"/>
    <xf numFmtId="0" fontId="2" fillId="20" borderId="21" xfId="0" applyFont="1" applyFill="1" applyBorder="1" applyAlignment="1">
      <alignment horizontal="center"/>
    </xf>
    <xf numFmtId="10" fontId="2" fillId="20" borderId="2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65" fontId="0" fillId="0" borderId="0" xfId="2" applyNumberFormat="1" applyFont="1" applyFill="1" applyBorder="1" applyAlignment="1">
      <alignment horizontal="center"/>
    </xf>
    <xf numFmtId="165" fontId="0" fillId="0" borderId="10" xfId="2" applyNumberFormat="1" applyFont="1" applyFill="1" applyBorder="1" applyAlignment="1">
      <alignment horizontal="center"/>
    </xf>
    <xf numFmtId="4" fontId="0" fillId="19" borderId="6" xfId="0" applyNumberFormat="1" applyFill="1" applyBorder="1"/>
    <xf numFmtId="165" fontId="2" fillId="3" borderId="0" xfId="1" applyFont="1" applyFill="1" applyAlignment="1">
      <alignment horizontal="center" vertical="center"/>
    </xf>
    <xf numFmtId="175" fontId="0" fillId="0" borderId="18" xfId="1" applyNumberFormat="1" applyFont="1" applyBorder="1"/>
    <xf numFmtId="175" fontId="0" fillId="0" borderId="19" xfId="1" applyNumberFormat="1" applyFont="1" applyBorder="1"/>
    <xf numFmtId="176" fontId="0" fillId="0" borderId="3" xfId="0" applyNumberFormat="1" applyBorder="1"/>
    <xf numFmtId="3" fontId="0" fillId="12" borderId="7" xfId="0" applyNumberFormat="1" applyFill="1" applyBorder="1"/>
    <xf numFmtId="9" fontId="0" fillId="0" borderId="0" xfId="0" applyNumberFormat="1"/>
    <xf numFmtId="3" fontId="0" fillId="23" borderId="7" xfId="0" applyNumberFormat="1" applyFill="1" applyBorder="1"/>
    <xf numFmtId="177" fontId="0" fillId="0" borderId="6" xfId="0" applyNumberFormat="1" applyBorder="1"/>
    <xf numFmtId="0" fontId="33" fillId="5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right" vertical="center"/>
    </xf>
    <xf numFmtId="171" fontId="0" fillId="22" borderId="0" xfId="2" applyNumberFormat="1" applyFont="1" applyFill="1" applyBorder="1"/>
    <xf numFmtId="165" fontId="0" fillId="0" borderId="13" xfId="2" applyNumberFormat="1" applyFont="1" applyFill="1" applyBorder="1" applyAlignment="1">
      <alignment horizontal="center"/>
    </xf>
    <xf numFmtId="173" fontId="0" fillId="0" borderId="0" xfId="0" applyNumberFormat="1"/>
    <xf numFmtId="3" fontId="2" fillId="4" borderId="7" xfId="0" applyNumberFormat="1" applyFont="1" applyFill="1" applyBorder="1"/>
    <xf numFmtId="10" fontId="0" fillId="3" borderId="0" xfId="0" applyNumberFormat="1" applyFill="1"/>
    <xf numFmtId="177" fontId="17" fillId="25" borderId="6" xfId="0" applyNumberFormat="1" applyFont="1" applyFill="1" applyBorder="1"/>
    <xf numFmtId="3" fontId="17" fillId="30" borderId="6" xfId="0" applyNumberFormat="1" applyFont="1" applyFill="1" applyBorder="1"/>
    <xf numFmtId="3" fontId="16" fillId="5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0" fillId="12" borderId="0" xfId="0" applyFill="1" applyAlignment="1">
      <alignment horizontal="center"/>
    </xf>
    <xf numFmtId="173" fontId="0" fillId="12" borderId="0" xfId="1" applyNumberFormat="1" applyFont="1" applyFill="1"/>
    <xf numFmtId="173" fontId="0" fillId="12" borderId="0" xfId="0" applyNumberFormat="1" applyFill="1"/>
    <xf numFmtId="17" fontId="11" fillId="20" borderId="6" xfId="0" applyNumberFormat="1" applyFont="1" applyFill="1" applyBorder="1"/>
    <xf numFmtId="0" fontId="11" fillId="20" borderId="6" xfId="0" applyFont="1" applyFill="1" applyBorder="1"/>
    <xf numFmtId="165" fontId="0" fillId="0" borderId="0" xfId="1" applyFont="1" applyAlignment="1">
      <alignment horizontal="left"/>
    </xf>
    <xf numFmtId="9" fontId="0" fillId="0" borderId="0" xfId="0" applyNumberFormat="1" applyAlignment="1">
      <alignment horizontal="right"/>
    </xf>
    <xf numFmtId="178" fontId="0" fillId="0" borderId="0" xfId="2" applyNumberFormat="1" applyFont="1"/>
    <xf numFmtId="167" fontId="2" fillId="20" borderId="0" xfId="0" applyNumberFormat="1" applyFont="1" applyFill="1" applyAlignment="1">
      <alignment horizontal="center"/>
    </xf>
    <xf numFmtId="0" fontId="34" fillId="0" borderId="0" xfId="0" applyFont="1"/>
    <xf numFmtId="10" fontId="2" fillId="20" borderId="0" xfId="0" applyNumberFormat="1" applyFont="1" applyFill="1" applyAlignment="1">
      <alignment horizontal="center"/>
    </xf>
    <xf numFmtId="166" fontId="0" fillId="0" borderId="0" xfId="0" applyNumberFormat="1"/>
    <xf numFmtId="3" fontId="0" fillId="0" borderId="8" xfId="0" applyNumberFormat="1" applyBorder="1" applyAlignment="1">
      <alignment horizontal="left"/>
    </xf>
    <xf numFmtId="165" fontId="35" fillId="23" borderId="0" xfId="0" applyNumberFormat="1" applyFont="1" applyFill="1"/>
    <xf numFmtId="0" fontId="17" fillId="23" borderId="0" xfId="0" applyFont="1" applyFill="1" applyAlignment="1">
      <alignment horizontal="right"/>
    </xf>
    <xf numFmtId="44" fontId="0" fillId="0" borderId="0" xfId="0" applyNumberFormat="1"/>
    <xf numFmtId="8" fontId="34" fillId="0" borderId="0" xfId="0" applyNumberFormat="1" applyFont="1"/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31" borderId="0" xfId="0" applyFont="1" applyFill="1" applyAlignment="1">
      <alignment horizontal="center"/>
    </xf>
    <xf numFmtId="0" fontId="11" fillId="20" borderId="0" xfId="0" applyFont="1" applyFill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28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17" fontId="6" fillId="5" borderId="5" xfId="0" applyNumberFormat="1" applyFont="1" applyFill="1" applyBorder="1" applyAlignment="1">
      <alignment horizontal="center"/>
    </xf>
    <xf numFmtId="17" fontId="6" fillId="5" borderId="7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25" fillId="20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2" fillId="2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10" fontId="2" fillId="10" borderId="9" xfId="2" applyNumberFormat="1" applyFont="1" applyFill="1" applyBorder="1" applyAlignment="1">
      <alignment horizontal="center" vertical="center"/>
    </xf>
    <xf numFmtId="10" fontId="2" fillId="10" borderId="10" xfId="2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769">
    <cellStyle name="Hiperlink" xfId="189" builtinId="8" hidden="1"/>
    <cellStyle name="Hiperlink" xfId="197" builtinId="8" hidden="1"/>
    <cellStyle name="Hiperlink" xfId="205" builtinId="8" hidden="1"/>
    <cellStyle name="Hiperlink" xfId="213" builtinId="8" hidden="1"/>
    <cellStyle name="Hiperlink" xfId="221" builtinId="8" hidden="1"/>
    <cellStyle name="Hiperlink" xfId="229" builtinId="8" hidden="1"/>
    <cellStyle name="Hiperlink" xfId="237" builtinId="8" hidden="1"/>
    <cellStyle name="Hiperlink" xfId="245" builtinId="8" hidden="1"/>
    <cellStyle name="Hiperlink" xfId="253" builtinId="8" hidden="1"/>
    <cellStyle name="Hiperlink" xfId="261" builtinId="8" hidden="1"/>
    <cellStyle name="Hiperlink" xfId="269" builtinId="8" hidden="1"/>
    <cellStyle name="Hiperlink" xfId="277" builtinId="8" hidden="1"/>
    <cellStyle name="Hiperlink" xfId="285" builtinId="8" hidden="1"/>
    <cellStyle name="Hiperlink" xfId="293" builtinId="8" hidden="1"/>
    <cellStyle name="Hiperlink" xfId="301" builtinId="8" hidden="1"/>
    <cellStyle name="Hiperlink" xfId="309" builtinId="8" hidden="1"/>
    <cellStyle name="Hiperlink" xfId="317" builtinId="8" hidden="1"/>
    <cellStyle name="Hiperlink" xfId="325" builtinId="8" hidden="1"/>
    <cellStyle name="Hiperlink" xfId="333" builtinId="8" hidden="1"/>
    <cellStyle name="Hiperlink" xfId="341" builtinId="8" hidden="1"/>
    <cellStyle name="Hiperlink" xfId="349" builtinId="8" hidden="1"/>
    <cellStyle name="Hiperlink" xfId="357" builtinId="8" hidden="1"/>
    <cellStyle name="Hiperlink" xfId="365" builtinId="8" hidden="1"/>
    <cellStyle name="Hiperlink" xfId="373" builtinId="8" hidden="1"/>
    <cellStyle name="Hiperlink" xfId="381" builtinId="8" hidden="1"/>
    <cellStyle name="Hiperlink" xfId="389" builtinId="8" hidden="1"/>
    <cellStyle name="Hiperlink" xfId="397" builtinId="8" hidden="1"/>
    <cellStyle name="Hiperlink" xfId="405" builtinId="8" hidden="1"/>
    <cellStyle name="Hiperlink" xfId="413" builtinId="8" hidden="1"/>
    <cellStyle name="Hiperlink" xfId="421" builtinId="8" hidden="1"/>
    <cellStyle name="Hiperlink" xfId="429" builtinId="8" hidden="1"/>
    <cellStyle name="Hiperlink" xfId="437" builtinId="8" hidden="1"/>
    <cellStyle name="Hiperlink" xfId="445" builtinId="8" hidden="1"/>
    <cellStyle name="Hiperlink" xfId="453" builtinId="8" hidden="1"/>
    <cellStyle name="Hiperlink" xfId="461" builtinId="8" hidden="1"/>
    <cellStyle name="Hiperlink" xfId="469" builtinId="8" hidden="1"/>
    <cellStyle name="Hiperlink" xfId="477" builtinId="8" hidden="1"/>
    <cellStyle name="Hiperlink" xfId="485" builtinId="8" hidden="1"/>
    <cellStyle name="Hiperlink" xfId="493" builtinId="8" hidden="1"/>
    <cellStyle name="Hiperlink" xfId="501" builtinId="8" hidden="1"/>
    <cellStyle name="Hiperlink" xfId="509" builtinId="8" hidden="1"/>
    <cellStyle name="Hiperlink" xfId="517" builtinId="8" hidden="1"/>
    <cellStyle name="Hiperlink" xfId="525" builtinId="8" hidden="1"/>
    <cellStyle name="Hiperlink" xfId="533" builtinId="8" hidden="1"/>
    <cellStyle name="Hiperlink" xfId="541" builtinId="8" hidden="1"/>
    <cellStyle name="Hiperlink" xfId="549" builtinId="8" hidden="1"/>
    <cellStyle name="Hiperlink" xfId="557" builtinId="8" hidden="1"/>
    <cellStyle name="Hiperlink" xfId="565" builtinId="8" hidden="1"/>
    <cellStyle name="Hiperlink" xfId="573" builtinId="8" hidden="1"/>
    <cellStyle name="Hiperlink" xfId="581" builtinId="8" hidden="1"/>
    <cellStyle name="Hiperlink" xfId="589" builtinId="8" hidden="1"/>
    <cellStyle name="Hiperlink" xfId="597" builtinId="8" hidden="1"/>
    <cellStyle name="Hiperlink" xfId="605" builtinId="8" hidden="1"/>
    <cellStyle name="Hiperlink" xfId="613" builtinId="8" hidden="1"/>
    <cellStyle name="Hiperlink" xfId="621" builtinId="8" hidden="1"/>
    <cellStyle name="Hiperlink" xfId="629" builtinId="8" hidden="1"/>
    <cellStyle name="Hiperlink" xfId="637" builtinId="8" hidden="1"/>
    <cellStyle name="Hiperlink" xfId="645" builtinId="8" hidden="1"/>
    <cellStyle name="Hiperlink" xfId="653" builtinId="8" hidden="1"/>
    <cellStyle name="Hiperlink" xfId="661" builtinId="8" hidden="1"/>
    <cellStyle name="Hiperlink" xfId="669" builtinId="8" hidden="1"/>
    <cellStyle name="Hiperlink" xfId="677" builtinId="8" hidden="1"/>
    <cellStyle name="Hiperlink" xfId="685" builtinId="8" hidden="1"/>
    <cellStyle name="Hiperlink" xfId="693" builtinId="8" hidden="1"/>
    <cellStyle name="Hiperlink" xfId="701" builtinId="8" hidden="1"/>
    <cellStyle name="Hiperlink" xfId="709" builtinId="8" hidden="1"/>
    <cellStyle name="Hiperlink" xfId="717" builtinId="8" hidden="1"/>
    <cellStyle name="Hiperlink" xfId="725" builtinId="8" hidden="1"/>
    <cellStyle name="Hiperlink" xfId="733" builtinId="8" hidden="1"/>
    <cellStyle name="Hiperlink" xfId="741" builtinId="8" hidden="1"/>
    <cellStyle name="Hiperlink" xfId="749" builtinId="8" hidden="1"/>
    <cellStyle name="Hiperlink" xfId="757" builtinId="8" hidden="1"/>
    <cellStyle name="Hiperlink" xfId="765" builtinId="8" hidden="1"/>
    <cellStyle name="Hiperlink" xfId="763" builtinId="8" hidden="1"/>
    <cellStyle name="Hiperlink" xfId="755" builtinId="8" hidden="1"/>
    <cellStyle name="Hiperlink" xfId="747" builtinId="8" hidden="1"/>
    <cellStyle name="Hiperlink" xfId="739" builtinId="8" hidden="1"/>
    <cellStyle name="Hiperlink" xfId="731" builtinId="8" hidden="1"/>
    <cellStyle name="Hiperlink" xfId="723" builtinId="8" hidden="1"/>
    <cellStyle name="Hiperlink" xfId="715" builtinId="8" hidden="1"/>
    <cellStyle name="Hiperlink" xfId="707" builtinId="8" hidden="1"/>
    <cellStyle name="Hiperlink" xfId="699" builtinId="8" hidden="1"/>
    <cellStyle name="Hiperlink" xfId="691" builtinId="8" hidden="1"/>
    <cellStyle name="Hiperlink" xfId="683" builtinId="8" hidden="1"/>
    <cellStyle name="Hiperlink" xfId="675" builtinId="8" hidden="1"/>
    <cellStyle name="Hiperlink" xfId="667" builtinId="8" hidden="1"/>
    <cellStyle name="Hiperlink" xfId="659" builtinId="8" hidden="1"/>
    <cellStyle name="Hiperlink" xfId="651" builtinId="8" hidden="1"/>
    <cellStyle name="Hiperlink" xfId="643" builtinId="8" hidden="1"/>
    <cellStyle name="Hiperlink" xfId="635" builtinId="8" hidden="1"/>
    <cellStyle name="Hiperlink" xfId="627" builtinId="8" hidden="1"/>
    <cellStyle name="Hiperlink" xfId="619" builtinId="8" hidden="1"/>
    <cellStyle name="Hiperlink" xfId="611" builtinId="8" hidden="1"/>
    <cellStyle name="Hiperlink" xfId="603" builtinId="8" hidden="1"/>
    <cellStyle name="Hiperlink" xfId="595" builtinId="8" hidden="1"/>
    <cellStyle name="Hiperlink" xfId="587" builtinId="8" hidden="1"/>
    <cellStyle name="Hiperlink" xfId="579" builtinId="8" hidden="1"/>
    <cellStyle name="Hiperlink" xfId="571" builtinId="8" hidden="1"/>
    <cellStyle name="Hiperlink" xfId="563" builtinId="8" hidden="1"/>
    <cellStyle name="Hiperlink" xfId="555" builtinId="8" hidden="1"/>
    <cellStyle name="Hiperlink" xfId="547" builtinId="8" hidden="1"/>
    <cellStyle name="Hiperlink" xfId="539" builtinId="8" hidden="1"/>
    <cellStyle name="Hiperlink" xfId="531" builtinId="8" hidden="1"/>
    <cellStyle name="Hiperlink" xfId="523" builtinId="8" hidden="1"/>
    <cellStyle name="Hiperlink" xfId="515" builtinId="8" hidden="1"/>
    <cellStyle name="Hiperlink" xfId="507" builtinId="8" hidden="1"/>
    <cellStyle name="Hiperlink" xfId="499" builtinId="8" hidden="1"/>
    <cellStyle name="Hiperlink" xfId="491" builtinId="8" hidden="1"/>
    <cellStyle name="Hiperlink" xfId="483" builtinId="8" hidden="1"/>
    <cellStyle name="Hiperlink" xfId="475" builtinId="8" hidden="1"/>
    <cellStyle name="Hiperlink" xfId="467" builtinId="8" hidden="1"/>
    <cellStyle name="Hiperlink" xfId="459" builtinId="8" hidden="1"/>
    <cellStyle name="Hiperlink" xfId="451" builtinId="8" hidden="1"/>
    <cellStyle name="Hiperlink" xfId="443" builtinId="8" hidden="1"/>
    <cellStyle name="Hiperlink" xfId="435" builtinId="8" hidden="1"/>
    <cellStyle name="Hiperlink" xfId="427" builtinId="8" hidden="1"/>
    <cellStyle name="Hiperlink" xfId="419" builtinId="8" hidden="1"/>
    <cellStyle name="Hiperlink" xfId="411" builtinId="8" hidden="1"/>
    <cellStyle name="Hiperlink" xfId="403" builtinId="8" hidden="1"/>
    <cellStyle name="Hiperlink" xfId="395" builtinId="8" hidden="1"/>
    <cellStyle name="Hiperlink" xfId="387" builtinId="8" hidden="1"/>
    <cellStyle name="Hiperlink" xfId="379" builtinId="8" hidden="1"/>
    <cellStyle name="Hiperlink" xfId="371" builtinId="8" hidden="1"/>
    <cellStyle name="Hiperlink" xfId="363" builtinId="8" hidden="1"/>
    <cellStyle name="Hiperlink" xfId="355" builtinId="8" hidden="1"/>
    <cellStyle name="Hiperlink" xfId="347" builtinId="8" hidden="1"/>
    <cellStyle name="Hiperlink" xfId="339" builtinId="8" hidden="1"/>
    <cellStyle name="Hiperlink" xfId="331" builtinId="8" hidden="1"/>
    <cellStyle name="Hiperlink" xfId="323" builtinId="8" hidden="1"/>
    <cellStyle name="Hiperlink" xfId="315" builtinId="8" hidden="1"/>
    <cellStyle name="Hiperlink" xfId="307" builtinId="8" hidden="1"/>
    <cellStyle name="Hiperlink" xfId="299" builtinId="8" hidden="1"/>
    <cellStyle name="Hiperlink" xfId="291" builtinId="8" hidden="1"/>
    <cellStyle name="Hiperlink" xfId="283" builtinId="8" hidden="1"/>
    <cellStyle name="Hiperlink" xfId="275" builtinId="8" hidden="1"/>
    <cellStyle name="Hiperlink" xfId="267" builtinId="8" hidden="1"/>
    <cellStyle name="Hiperlink" xfId="259" builtinId="8" hidden="1"/>
    <cellStyle name="Hiperlink" xfId="251" builtinId="8" hidden="1"/>
    <cellStyle name="Hiperlink" xfId="243" builtinId="8" hidden="1"/>
    <cellStyle name="Hiperlink" xfId="235" builtinId="8" hidden="1"/>
    <cellStyle name="Hiperlink" xfId="227" builtinId="8" hidden="1"/>
    <cellStyle name="Hiperlink" xfId="219" builtinId="8" hidden="1"/>
    <cellStyle name="Hiperlink" xfId="211" builtinId="8" hidden="1"/>
    <cellStyle name="Hiperlink" xfId="203" builtinId="8" hidden="1"/>
    <cellStyle name="Hiperlink" xfId="195" builtinId="8" hidden="1"/>
    <cellStyle name="Hiperlink" xfId="187" builtinId="8" hidden="1"/>
    <cellStyle name="Hiperlink" xfId="179" builtinId="8" hidden="1"/>
    <cellStyle name="Hiperlink" xfId="171" builtinId="8" hidden="1"/>
    <cellStyle name="Hiperlink" xfId="163" builtinId="8" hidden="1"/>
    <cellStyle name="Hiperlink" xfId="155" builtinId="8" hidden="1"/>
    <cellStyle name="Hiperlink" xfId="147" builtinId="8" hidden="1"/>
    <cellStyle name="Hiperlink" xfId="139" builtinId="8" hidden="1"/>
    <cellStyle name="Hiperlink" xfId="131" builtinId="8" hidden="1"/>
    <cellStyle name="Hiperlink" xfId="123" builtinId="8" hidden="1"/>
    <cellStyle name="Hiperlink" xfId="115" builtinId="8" hidden="1"/>
    <cellStyle name="Hiperlink" xfId="107" builtinId="8" hidden="1"/>
    <cellStyle name="Hiperlink" xfId="99" builtinId="8" hidden="1"/>
    <cellStyle name="Hiperlink" xfId="91" builtinId="8" hidden="1"/>
    <cellStyle name="Hiperlink" xfId="83" builtinId="8" hidden="1"/>
    <cellStyle name="Hiperlink" xfId="75" builtinId="8" hidden="1"/>
    <cellStyle name="Hiperlink" xfId="67" builtinId="8" hidden="1"/>
    <cellStyle name="Hiperlink" xfId="23" builtinId="8" hidden="1"/>
    <cellStyle name="Hiperlink" xfId="29" builtinId="8" hidden="1"/>
    <cellStyle name="Hiperlink" xfId="33" builtinId="8" hidden="1"/>
    <cellStyle name="Hiperlink" xfId="39" builtinId="8" hidden="1"/>
    <cellStyle name="Hiperlink" xfId="45" builtinId="8" hidden="1"/>
    <cellStyle name="Hiperlink" xfId="49" builtinId="8" hidden="1"/>
    <cellStyle name="Hiperlink" xfId="55" builtinId="8" hidden="1"/>
    <cellStyle name="Hiperlink" xfId="61" builtinId="8" hidden="1"/>
    <cellStyle name="Hiperlink" xfId="51" builtinId="8" hidden="1"/>
    <cellStyle name="Hiperlink" xfId="35" builtinId="8" hidden="1"/>
    <cellStyle name="Hiperlink" xfId="11" builtinId="8" hidden="1"/>
    <cellStyle name="Hiperlink" xfId="15" builtinId="8" hidden="1"/>
    <cellStyle name="Hiperlink" xfId="21" builtinId="8" hidden="1"/>
    <cellStyle name="Hiperlink" xfId="7" builtinId="8" hidden="1"/>
    <cellStyle name="Hiperlink" xfId="5" builtinId="8" hidden="1"/>
    <cellStyle name="Hiperlink" xfId="3" builtinId="8" hidden="1"/>
    <cellStyle name="Hiperlink" xfId="9" builtinId="8" hidden="1"/>
    <cellStyle name="Hiperlink" xfId="19" builtinId="8" hidden="1"/>
    <cellStyle name="Hiperlink" xfId="17" builtinId="8" hidden="1"/>
    <cellStyle name="Hiperlink" xfId="13" builtinId="8" hidden="1"/>
    <cellStyle name="Hiperlink" xfId="27" builtinId="8" hidden="1"/>
    <cellStyle name="Hiperlink" xfId="43" builtinId="8" hidden="1"/>
    <cellStyle name="Hiperlink" xfId="59" builtinId="8" hidden="1"/>
    <cellStyle name="Hiperlink" xfId="57" builtinId="8" hidden="1"/>
    <cellStyle name="Hiperlink" xfId="53" builtinId="8" hidden="1"/>
    <cellStyle name="Hiperlink" xfId="47" builtinId="8" hidden="1"/>
    <cellStyle name="Hiperlink" xfId="41" builtinId="8" hidden="1"/>
    <cellStyle name="Hiperlink" xfId="37" builtinId="8" hidden="1"/>
    <cellStyle name="Hiperlink" xfId="31" builtinId="8" hidden="1"/>
    <cellStyle name="Hiperlink" xfId="25" builtinId="8" hidden="1"/>
    <cellStyle name="Hiperlink" xfId="63" builtinId="8" hidden="1"/>
    <cellStyle name="Hiperlink" xfId="71" builtinId="8" hidden="1"/>
    <cellStyle name="Hiperlink" xfId="79" builtinId="8" hidden="1"/>
    <cellStyle name="Hiperlink" xfId="87" builtinId="8" hidden="1"/>
    <cellStyle name="Hiperlink" xfId="95" builtinId="8" hidden="1"/>
    <cellStyle name="Hiperlink" xfId="103" builtinId="8" hidden="1"/>
    <cellStyle name="Hiperlink" xfId="111" builtinId="8" hidden="1"/>
    <cellStyle name="Hiperlink" xfId="119" builtinId="8" hidden="1"/>
    <cellStyle name="Hiperlink" xfId="127" builtinId="8" hidden="1"/>
    <cellStyle name="Hiperlink" xfId="135" builtinId="8" hidden="1"/>
    <cellStyle name="Hiperlink" xfId="143" builtinId="8" hidden="1"/>
    <cellStyle name="Hiperlink" xfId="151" builtinId="8" hidden="1"/>
    <cellStyle name="Hiperlink" xfId="159" builtinId="8" hidden="1"/>
    <cellStyle name="Hiperlink" xfId="167" builtinId="8" hidden="1"/>
    <cellStyle name="Hiperlink" xfId="175" builtinId="8" hidden="1"/>
    <cellStyle name="Hiperlink" xfId="183" builtinId="8" hidden="1"/>
    <cellStyle name="Hiperlink" xfId="191" builtinId="8" hidden="1"/>
    <cellStyle name="Hiperlink" xfId="199" builtinId="8" hidden="1"/>
    <cellStyle name="Hiperlink" xfId="207" builtinId="8" hidden="1"/>
    <cellStyle name="Hiperlink" xfId="215" builtinId="8" hidden="1"/>
    <cellStyle name="Hiperlink" xfId="223" builtinId="8" hidden="1"/>
    <cellStyle name="Hiperlink" xfId="231" builtinId="8" hidden="1"/>
    <cellStyle name="Hiperlink" xfId="239" builtinId="8" hidden="1"/>
    <cellStyle name="Hiperlink" xfId="247" builtinId="8" hidden="1"/>
    <cellStyle name="Hiperlink" xfId="255" builtinId="8" hidden="1"/>
    <cellStyle name="Hiperlink" xfId="263" builtinId="8" hidden="1"/>
    <cellStyle name="Hiperlink" xfId="271" builtinId="8" hidden="1"/>
    <cellStyle name="Hiperlink" xfId="279" builtinId="8" hidden="1"/>
    <cellStyle name="Hiperlink" xfId="287" builtinId="8" hidden="1"/>
    <cellStyle name="Hiperlink" xfId="295" builtinId="8" hidden="1"/>
    <cellStyle name="Hiperlink" xfId="303" builtinId="8" hidden="1"/>
    <cellStyle name="Hiperlink" xfId="311" builtinId="8" hidden="1"/>
    <cellStyle name="Hiperlink" xfId="319" builtinId="8" hidden="1"/>
    <cellStyle name="Hiperlink" xfId="327" builtinId="8" hidden="1"/>
    <cellStyle name="Hiperlink" xfId="335" builtinId="8" hidden="1"/>
    <cellStyle name="Hiperlink" xfId="343" builtinId="8" hidden="1"/>
    <cellStyle name="Hiperlink" xfId="351" builtinId="8" hidden="1"/>
    <cellStyle name="Hiperlink" xfId="359" builtinId="8" hidden="1"/>
    <cellStyle name="Hiperlink" xfId="367" builtinId="8" hidden="1"/>
    <cellStyle name="Hiperlink" xfId="375" builtinId="8" hidden="1"/>
    <cellStyle name="Hiperlink" xfId="383" builtinId="8" hidden="1"/>
    <cellStyle name="Hiperlink" xfId="391" builtinId="8" hidden="1"/>
    <cellStyle name="Hiperlink" xfId="399" builtinId="8" hidden="1"/>
    <cellStyle name="Hiperlink" xfId="407" builtinId="8" hidden="1"/>
    <cellStyle name="Hiperlink" xfId="415" builtinId="8" hidden="1"/>
    <cellStyle name="Hiperlink" xfId="423" builtinId="8" hidden="1"/>
    <cellStyle name="Hiperlink" xfId="431" builtinId="8" hidden="1"/>
    <cellStyle name="Hiperlink" xfId="439" builtinId="8" hidden="1"/>
    <cellStyle name="Hiperlink" xfId="447" builtinId="8" hidden="1"/>
    <cellStyle name="Hiperlink" xfId="455" builtinId="8" hidden="1"/>
    <cellStyle name="Hiperlink" xfId="463" builtinId="8" hidden="1"/>
    <cellStyle name="Hiperlink" xfId="471" builtinId="8" hidden="1"/>
    <cellStyle name="Hiperlink" xfId="479" builtinId="8" hidden="1"/>
    <cellStyle name="Hiperlink" xfId="487" builtinId="8" hidden="1"/>
    <cellStyle name="Hiperlink" xfId="495" builtinId="8" hidden="1"/>
    <cellStyle name="Hiperlink" xfId="503" builtinId="8" hidden="1"/>
    <cellStyle name="Hiperlink" xfId="511" builtinId="8" hidden="1"/>
    <cellStyle name="Hiperlink" xfId="519" builtinId="8" hidden="1"/>
    <cellStyle name="Hiperlink" xfId="527" builtinId="8" hidden="1"/>
    <cellStyle name="Hiperlink" xfId="535" builtinId="8" hidden="1"/>
    <cellStyle name="Hiperlink" xfId="543" builtinId="8" hidden="1"/>
    <cellStyle name="Hiperlink" xfId="551" builtinId="8" hidden="1"/>
    <cellStyle name="Hiperlink" xfId="559" builtinId="8" hidden="1"/>
    <cellStyle name="Hiperlink" xfId="567" builtinId="8" hidden="1"/>
    <cellStyle name="Hiperlink" xfId="575" builtinId="8" hidden="1"/>
    <cellStyle name="Hiperlink" xfId="583" builtinId="8" hidden="1"/>
    <cellStyle name="Hiperlink" xfId="591" builtinId="8" hidden="1"/>
    <cellStyle name="Hiperlink" xfId="599" builtinId="8" hidden="1"/>
    <cellStyle name="Hiperlink" xfId="607" builtinId="8" hidden="1"/>
    <cellStyle name="Hiperlink" xfId="615" builtinId="8" hidden="1"/>
    <cellStyle name="Hiperlink" xfId="623" builtinId="8" hidden="1"/>
    <cellStyle name="Hiperlink" xfId="631" builtinId="8" hidden="1"/>
    <cellStyle name="Hiperlink" xfId="639" builtinId="8" hidden="1"/>
    <cellStyle name="Hiperlink" xfId="647" builtinId="8" hidden="1"/>
    <cellStyle name="Hiperlink" xfId="655" builtinId="8" hidden="1"/>
    <cellStyle name="Hiperlink" xfId="663" builtinId="8" hidden="1"/>
    <cellStyle name="Hiperlink" xfId="671" builtinId="8" hidden="1"/>
    <cellStyle name="Hiperlink" xfId="679" builtinId="8" hidden="1"/>
    <cellStyle name="Hiperlink" xfId="687" builtinId="8" hidden="1"/>
    <cellStyle name="Hiperlink" xfId="695" builtinId="8" hidden="1"/>
    <cellStyle name="Hiperlink" xfId="703" builtinId="8" hidden="1"/>
    <cellStyle name="Hiperlink" xfId="711" builtinId="8" hidden="1"/>
    <cellStyle name="Hiperlink" xfId="719" builtinId="8" hidden="1"/>
    <cellStyle name="Hiperlink" xfId="727" builtinId="8" hidden="1"/>
    <cellStyle name="Hiperlink" xfId="735" builtinId="8" hidden="1"/>
    <cellStyle name="Hiperlink" xfId="743" builtinId="8" hidden="1"/>
    <cellStyle name="Hiperlink" xfId="751" builtinId="8" hidden="1"/>
    <cellStyle name="Hiperlink" xfId="759" builtinId="8" hidden="1"/>
    <cellStyle name="Hiperlink" xfId="767" builtinId="8" hidden="1"/>
    <cellStyle name="Hiperlink" xfId="761" builtinId="8" hidden="1"/>
    <cellStyle name="Hiperlink" xfId="753" builtinId="8" hidden="1"/>
    <cellStyle name="Hiperlink" xfId="745" builtinId="8" hidden="1"/>
    <cellStyle name="Hiperlink" xfId="737" builtinId="8" hidden="1"/>
    <cellStyle name="Hiperlink" xfId="729" builtinId="8" hidden="1"/>
    <cellStyle name="Hiperlink" xfId="721" builtinId="8" hidden="1"/>
    <cellStyle name="Hiperlink" xfId="713" builtinId="8" hidden="1"/>
    <cellStyle name="Hiperlink" xfId="705" builtinId="8" hidden="1"/>
    <cellStyle name="Hiperlink" xfId="697" builtinId="8" hidden="1"/>
    <cellStyle name="Hiperlink" xfId="689" builtinId="8" hidden="1"/>
    <cellStyle name="Hiperlink" xfId="681" builtinId="8" hidden="1"/>
    <cellStyle name="Hiperlink" xfId="673" builtinId="8" hidden="1"/>
    <cellStyle name="Hiperlink" xfId="665" builtinId="8" hidden="1"/>
    <cellStyle name="Hiperlink" xfId="657" builtinId="8" hidden="1"/>
    <cellStyle name="Hiperlink" xfId="649" builtinId="8" hidden="1"/>
    <cellStyle name="Hiperlink" xfId="641" builtinId="8" hidden="1"/>
    <cellStyle name="Hiperlink" xfId="633" builtinId="8" hidden="1"/>
    <cellStyle name="Hiperlink" xfId="625" builtinId="8" hidden="1"/>
    <cellStyle name="Hiperlink" xfId="617" builtinId="8" hidden="1"/>
    <cellStyle name="Hiperlink" xfId="609" builtinId="8" hidden="1"/>
    <cellStyle name="Hiperlink" xfId="601" builtinId="8" hidden="1"/>
    <cellStyle name="Hiperlink" xfId="593" builtinId="8" hidden="1"/>
    <cellStyle name="Hiperlink" xfId="585" builtinId="8" hidden="1"/>
    <cellStyle name="Hiperlink" xfId="577" builtinId="8" hidden="1"/>
    <cellStyle name="Hiperlink" xfId="569" builtinId="8" hidden="1"/>
    <cellStyle name="Hiperlink" xfId="561" builtinId="8" hidden="1"/>
    <cellStyle name="Hiperlink" xfId="553" builtinId="8" hidden="1"/>
    <cellStyle name="Hiperlink" xfId="545" builtinId="8" hidden="1"/>
    <cellStyle name="Hiperlink" xfId="537" builtinId="8" hidden="1"/>
    <cellStyle name="Hiperlink" xfId="529" builtinId="8" hidden="1"/>
    <cellStyle name="Hiperlink" xfId="521" builtinId="8" hidden="1"/>
    <cellStyle name="Hiperlink" xfId="513" builtinId="8" hidden="1"/>
    <cellStyle name="Hiperlink" xfId="505" builtinId="8" hidden="1"/>
    <cellStyle name="Hiperlink" xfId="497" builtinId="8" hidden="1"/>
    <cellStyle name="Hiperlink" xfId="489" builtinId="8" hidden="1"/>
    <cellStyle name="Hiperlink" xfId="481" builtinId="8" hidden="1"/>
    <cellStyle name="Hiperlink" xfId="473" builtinId="8" hidden="1"/>
    <cellStyle name="Hiperlink" xfId="465" builtinId="8" hidden="1"/>
    <cellStyle name="Hiperlink" xfId="457" builtinId="8" hidden="1"/>
    <cellStyle name="Hiperlink" xfId="449" builtinId="8" hidden="1"/>
    <cellStyle name="Hiperlink" xfId="441" builtinId="8" hidden="1"/>
    <cellStyle name="Hiperlink" xfId="433" builtinId="8" hidden="1"/>
    <cellStyle name="Hiperlink" xfId="425" builtinId="8" hidden="1"/>
    <cellStyle name="Hiperlink" xfId="417" builtinId="8" hidden="1"/>
    <cellStyle name="Hiperlink" xfId="409" builtinId="8" hidden="1"/>
    <cellStyle name="Hiperlink" xfId="401" builtinId="8" hidden="1"/>
    <cellStyle name="Hiperlink" xfId="393" builtinId="8" hidden="1"/>
    <cellStyle name="Hiperlink" xfId="385" builtinId="8" hidden="1"/>
    <cellStyle name="Hiperlink" xfId="377" builtinId="8" hidden="1"/>
    <cellStyle name="Hiperlink" xfId="369" builtinId="8" hidden="1"/>
    <cellStyle name="Hiperlink" xfId="361" builtinId="8" hidden="1"/>
    <cellStyle name="Hiperlink" xfId="353" builtinId="8" hidden="1"/>
    <cellStyle name="Hiperlink" xfId="345" builtinId="8" hidden="1"/>
    <cellStyle name="Hiperlink" xfId="337" builtinId="8" hidden="1"/>
    <cellStyle name="Hiperlink" xfId="329" builtinId="8" hidden="1"/>
    <cellStyle name="Hiperlink" xfId="321" builtinId="8" hidden="1"/>
    <cellStyle name="Hiperlink" xfId="313" builtinId="8" hidden="1"/>
    <cellStyle name="Hiperlink" xfId="305" builtinId="8" hidden="1"/>
    <cellStyle name="Hiperlink" xfId="297" builtinId="8" hidden="1"/>
    <cellStyle name="Hiperlink" xfId="289" builtinId="8" hidden="1"/>
    <cellStyle name="Hiperlink" xfId="281" builtinId="8" hidden="1"/>
    <cellStyle name="Hiperlink" xfId="273" builtinId="8" hidden="1"/>
    <cellStyle name="Hiperlink" xfId="265" builtinId="8" hidden="1"/>
    <cellStyle name="Hiperlink" xfId="257" builtinId="8" hidden="1"/>
    <cellStyle name="Hiperlink" xfId="249" builtinId="8" hidden="1"/>
    <cellStyle name="Hiperlink" xfId="241" builtinId="8" hidden="1"/>
    <cellStyle name="Hiperlink" xfId="233" builtinId="8" hidden="1"/>
    <cellStyle name="Hiperlink" xfId="225" builtinId="8" hidden="1"/>
    <cellStyle name="Hiperlink" xfId="217" builtinId="8" hidden="1"/>
    <cellStyle name="Hiperlink" xfId="209" builtinId="8" hidden="1"/>
    <cellStyle name="Hiperlink" xfId="201" builtinId="8" hidden="1"/>
    <cellStyle name="Hiperlink" xfId="193" builtinId="8" hidden="1"/>
    <cellStyle name="Hiperlink" xfId="185" builtinId="8" hidden="1"/>
    <cellStyle name="Hiperlink" xfId="105" builtinId="8" hidden="1"/>
    <cellStyle name="Hiperlink" xfId="109" builtinId="8" hidden="1"/>
    <cellStyle name="Hiperlink" xfId="117" builtinId="8" hidden="1"/>
    <cellStyle name="Hiperlink" xfId="121" builtinId="8" hidden="1"/>
    <cellStyle name="Hiperlink" xfId="125" builtinId="8" hidden="1"/>
    <cellStyle name="Hiperlink" xfId="133" builtinId="8" hidden="1"/>
    <cellStyle name="Hiperlink" xfId="137" builtinId="8" hidden="1"/>
    <cellStyle name="Hiperlink" xfId="141" builtinId="8" hidden="1"/>
    <cellStyle name="Hiperlink" xfId="149" builtinId="8" hidden="1"/>
    <cellStyle name="Hiperlink" xfId="153" builtinId="8" hidden="1"/>
    <cellStyle name="Hiperlink" xfId="157" builtinId="8" hidden="1"/>
    <cellStyle name="Hiperlink" xfId="165" builtinId="8" hidden="1"/>
    <cellStyle name="Hiperlink" xfId="169" builtinId="8" hidden="1"/>
    <cellStyle name="Hiperlink" xfId="173" builtinId="8" hidden="1"/>
    <cellStyle name="Hiperlink" xfId="181" builtinId="8" hidden="1"/>
    <cellStyle name="Hiperlink" xfId="177" builtinId="8" hidden="1"/>
    <cellStyle name="Hiperlink" xfId="161" builtinId="8" hidden="1"/>
    <cellStyle name="Hiperlink" xfId="145" builtinId="8" hidden="1"/>
    <cellStyle name="Hiperlink" xfId="129" builtinId="8" hidden="1"/>
    <cellStyle name="Hiperlink" xfId="113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101" builtinId="8" hidden="1"/>
    <cellStyle name="Hiperlink" xfId="97" builtinId="8" hidden="1"/>
    <cellStyle name="Hiperlink" xfId="73" builtinId="8" hidden="1"/>
    <cellStyle name="Hiperlink" xfId="77" builtinId="8" hidden="1"/>
    <cellStyle name="Hiperlink" xfId="69" builtinId="8" hidden="1"/>
    <cellStyle name="Hiperlink" xfId="65" builtinId="8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8" builtinId="9" hidden="1"/>
    <cellStyle name="Hiperlink Visitado" xfId="660" builtinId="9" hidden="1"/>
    <cellStyle name="Hiperlink Visitado" xfId="664" builtinId="9" hidden="1"/>
    <cellStyle name="Hiperlink Visitado" xfId="668" builtinId="9" hidden="1"/>
    <cellStyle name="Hiperlink Visitado" xfId="672" builtinId="9" hidden="1"/>
    <cellStyle name="Hiperlink Visitado" xfId="674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90" builtinId="9" hidden="1"/>
    <cellStyle name="Hiperlink Visitado" xfId="692" builtinId="9" hidden="1"/>
    <cellStyle name="Hiperlink Visitado" xfId="696" builtinId="9" hidden="1"/>
    <cellStyle name="Hiperlink Visitado" xfId="700" builtinId="9" hidden="1"/>
    <cellStyle name="Hiperlink Visitado" xfId="704" builtinId="9" hidden="1"/>
    <cellStyle name="Hiperlink Visitado" xfId="706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22" builtinId="9" hidden="1"/>
    <cellStyle name="Hiperlink Visitado" xfId="724" builtinId="9" hidden="1"/>
    <cellStyle name="Hiperlink Visitado" xfId="728" builtinId="9" hidden="1"/>
    <cellStyle name="Hiperlink Visitado" xfId="732" builtinId="9" hidden="1"/>
    <cellStyle name="Hiperlink Visitado" xfId="736" builtinId="9" hidden="1"/>
    <cellStyle name="Hiperlink Visitado" xfId="738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4" builtinId="9" hidden="1"/>
    <cellStyle name="Hiperlink Visitado" xfId="756" builtinId="9" hidden="1"/>
    <cellStyle name="Hiperlink Visitado" xfId="760" builtinId="9" hidden="1"/>
    <cellStyle name="Hiperlink Visitado" xfId="764" builtinId="9" hidden="1"/>
    <cellStyle name="Hiperlink Visitado" xfId="768" builtinId="9" hidden="1"/>
    <cellStyle name="Hiperlink Visitado" xfId="766" builtinId="9" hidden="1"/>
    <cellStyle name="Hiperlink Visitado" xfId="750" builtinId="9" hidden="1"/>
    <cellStyle name="Hiperlink Visitado" xfId="742" builtinId="9" hidden="1"/>
    <cellStyle name="Hiperlink Visitado" xfId="734" builtinId="9" hidden="1"/>
    <cellStyle name="Hiperlink Visitado" xfId="718" builtinId="9" hidden="1"/>
    <cellStyle name="Hiperlink Visitado" xfId="710" builtinId="9" hidden="1"/>
    <cellStyle name="Hiperlink Visitado" xfId="702" builtinId="9" hidden="1"/>
    <cellStyle name="Hiperlink Visitado" xfId="686" builtinId="9" hidden="1"/>
    <cellStyle name="Hiperlink Visitado" xfId="678" builtinId="9" hidden="1"/>
    <cellStyle name="Hiperlink Visitado" xfId="670" builtinId="9" hidden="1"/>
    <cellStyle name="Hiperlink Visitado" xfId="654" builtinId="9" hidden="1"/>
    <cellStyle name="Hiperlink Visitado" xfId="646" builtinId="9" hidden="1"/>
    <cellStyle name="Hiperlink Visitado" xfId="638" builtinId="9" hidden="1"/>
    <cellStyle name="Hiperlink Visitado" xfId="622" builtinId="9" hidden="1"/>
    <cellStyle name="Hiperlink Visitado" xfId="614" builtinId="9" hidden="1"/>
    <cellStyle name="Hiperlink Visitado" xfId="606" builtinId="9" hidden="1"/>
    <cellStyle name="Hiperlink Visitado" xfId="590" builtinId="9" hidden="1"/>
    <cellStyle name="Hiperlink Visitado" xfId="582" builtinId="9" hidden="1"/>
    <cellStyle name="Hiperlink Visitado" xfId="574" builtinId="9" hidden="1"/>
    <cellStyle name="Hiperlink Visitado" xfId="558" builtinId="9" hidden="1"/>
    <cellStyle name="Hiperlink Visitado" xfId="550" builtinId="9" hidden="1"/>
    <cellStyle name="Hiperlink Visitado" xfId="542" builtinId="9" hidden="1"/>
    <cellStyle name="Hiperlink Visitado" xfId="526" builtinId="9" hidden="1"/>
    <cellStyle name="Hiperlink Visitado" xfId="518" builtinId="9" hidden="1"/>
    <cellStyle name="Hiperlink Visitado" xfId="510" builtinId="9" hidden="1"/>
    <cellStyle name="Hiperlink Visitado" xfId="494" builtinId="9" hidden="1"/>
    <cellStyle name="Hiperlink Visitado" xfId="486" builtinId="9" hidden="1"/>
    <cellStyle name="Hiperlink Visitado" xfId="478" builtinId="9" hidden="1"/>
    <cellStyle name="Hiperlink Visitado" xfId="462" builtinId="9" hidden="1"/>
    <cellStyle name="Hiperlink Visitado" xfId="454" builtinId="9" hidden="1"/>
    <cellStyle name="Hiperlink Visitado" xfId="446" builtinId="9" hidden="1"/>
    <cellStyle name="Hiperlink Visitado" xfId="430" builtinId="9" hidden="1"/>
    <cellStyle name="Hiperlink Visitado" xfId="422" builtinId="9" hidden="1"/>
    <cellStyle name="Hiperlink Visitado" xfId="414" builtinId="9" hidden="1"/>
    <cellStyle name="Hiperlink Visitado" xfId="398" builtinId="9" hidden="1"/>
    <cellStyle name="Hiperlink Visitado" xfId="390" builtinId="9" hidden="1"/>
    <cellStyle name="Hiperlink Visitado" xfId="382" builtinId="9" hidden="1"/>
    <cellStyle name="Hiperlink Visitado" xfId="366" builtinId="9" hidden="1"/>
    <cellStyle name="Hiperlink Visitado" xfId="358" builtinId="9" hidden="1"/>
    <cellStyle name="Hiperlink Visitado" xfId="350" builtinId="9" hidden="1"/>
    <cellStyle name="Hiperlink Visitado" xfId="334" builtinId="9" hidden="1"/>
    <cellStyle name="Hiperlink Visitado" xfId="326" builtinId="9" hidden="1"/>
    <cellStyle name="Hiperlink Visitado" xfId="318" builtinId="9" hidden="1"/>
    <cellStyle name="Hiperlink Visitado" xfId="302" builtinId="9" hidden="1"/>
    <cellStyle name="Hiperlink Visitado" xfId="294" builtinId="9" hidden="1"/>
    <cellStyle name="Hiperlink Visitado" xfId="286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8" builtinId="9" hidden="1"/>
    <cellStyle name="Hiperlink Visitado" xfId="260" builtinId="9" hidden="1"/>
    <cellStyle name="Hiperlink Visitado" xfId="264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6" builtinId="9" hidden="1"/>
    <cellStyle name="Hiperlink Visitado" xfId="262" builtinId="9" hidden="1"/>
    <cellStyle name="Hiperlink Visitado" xfId="246" builtinId="9" hidden="1"/>
    <cellStyle name="Hiperlink Visitado" xfId="214" builtinId="9" hidden="1"/>
    <cellStyle name="Hiperlink Visitado" xfId="198" builtinId="9" hidden="1"/>
    <cellStyle name="Hiperlink Visitado" xfId="182" builtinId="9" hidden="1"/>
    <cellStyle name="Hiperlink Visitado" xfId="150" builtinId="9" hidden="1"/>
    <cellStyle name="Hiperlink Visitado" xfId="134" builtinId="9" hidden="1"/>
    <cellStyle name="Hiperlink Visitado" xfId="58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02" builtinId="9" hidden="1"/>
    <cellStyle name="Hiperlink Visitado" xfId="70" builtinId="9" hidden="1"/>
    <cellStyle name="Hiperlink Visitado" xfId="30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12" builtinId="9" hidden="1"/>
    <cellStyle name="Hiperlink Visitado" xfId="14" builtinId="9" hidden="1"/>
    <cellStyle name="Hiperlink Visitado" xfId="6" builtinId="9" hidden="1"/>
    <cellStyle name="Hiperlink Visitado" xfId="4" builtinId="9" hidden="1"/>
    <cellStyle name="Hiperlink Visitado" xfId="8" builtinId="9" hidden="1"/>
    <cellStyle name="Hiperlink Visitado" xfId="10" builtinId="9" hidden="1"/>
    <cellStyle name="Hiperlink Visitado" xfId="22" builtinId="9" hidden="1"/>
    <cellStyle name="Hiperlink Visitado" xfId="56" builtinId="9" hidden="1"/>
    <cellStyle name="Hiperlink Visitado" xfId="48" builtinId="9" hidden="1"/>
    <cellStyle name="Hiperlink Visitado" xfId="40" builtinId="9" hidden="1"/>
    <cellStyle name="Hiperlink Visitado" xfId="32" builtinId="9" hidden="1"/>
    <cellStyle name="Hiperlink Visitado" xfId="120" builtinId="9" hidden="1"/>
    <cellStyle name="Hiperlink Visitado" xfId="112" builtinId="9" hidden="1"/>
    <cellStyle name="Hiperlink Visitado" xfId="104" builtinId="9" hidden="1"/>
    <cellStyle name="Hiperlink Visitado" xfId="94" builtinId="9" hidden="1"/>
    <cellStyle name="Hiperlink Visitado" xfId="86" builtinId="9" hidden="1"/>
    <cellStyle name="Hiperlink Visitado" xfId="78" builtinId="9" hidden="1"/>
    <cellStyle name="Hiperlink Visitado" xfId="68" builtinId="9" hidden="1"/>
    <cellStyle name="Hiperlink Visitado" xfId="60" builtinId="9" hidden="1"/>
    <cellStyle name="Hiperlink Visitado" xfId="166" builtinId="9" hidden="1"/>
    <cellStyle name="Hiperlink Visitado" xfId="230" builtinId="9" hidden="1"/>
    <cellStyle name="Hiperlink Visitado" xfId="274" builtinId="9" hidden="1"/>
    <cellStyle name="Hiperlink Visitado" xfId="266" builtinId="9" hidden="1"/>
    <cellStyle name="Hiperlink Visitado" xfId="256" builtinId="9" hidden="1"/>
    <cellStyle name="Hiperlink Visitado" xfId="248" builtinId="9" hidden="1"/>
    <cellStyle name="Hiperlink Visitado" xfId="238" builtinId="9" hidden="1"/>
    <cellStyle name="Hiperlink Visitado" xfId="228" builtinId="9" hidden="1"/>
    <cellStyle name="Hiperlink Visitado" xfId="220" builtinId="9" hidden="1"/>
    <cellStyle name="Hiperlink Visitado" xfId="210" builtinId="9" hidden="1"/>
    <cellStyle name="Hiperlink Visitado" xfId="202" builtinId="9" hidden="1"/>
    <cellStyle name="Hiperlink Visitado" xfId="192" builtinId="9" hidden="1"/>
    <cellStyle name="Hiperlink Visitado" xfId="184" builtinId="9" hidden="1"/>
    <cellStyle name="Hiperlink Visitado" xfId="174" builtinId="9" hidden="1"/>
    <cellStyle name="Hiperlink Visitado" xfId="164" builtinId="9" hidden="1"/>
    <cellStyle name="Hiperlink Visitado" xfId="156" builtinId="9" hidden="1"/>
    <cellStyle name="Hiperlink Visitado" xfId="146" builtinId="9" hidden="1"/>
    <cellStyle name="Hiperlink Visitado" xfId="138" builtinId="9" hidden="1"/>
    <cellStyle name="Hiperlink Visitado" xfId="128" builtinId="9" hidden="1"/>
    <cellStyle name="Hiperlink Visitado" xfId="278" builtinId="9" hidden="1"/>
    <cellStyle name="Hiperlink Visitado" xfId="310" builtinId="9" hidden="1"/>
    <cellStyle name="Hiperlink Visitado" xfId="342" builtinId="9" hidden="1"/>
    <cellStyle name="Hiperlink Visitado" xfId="374" builtinId="9" hidden="1"/>
    <cellStyle name="Hiperlink Visitado" xfId="406" builtinId="9" hidden="1"/>
    <cellStyle name="Hiperlink Visitado" xfId="438" builtinId="9" hidden="1"/>
    <cellStyle name="Hiperlink Visitado" xfId="470" builtinId="9" hidden="1"/>
    <cellStyle name="Hiperlink Visitado" xfId="502" builtinId="9" hidden="1"/>
    <cellStyle name="Hiperlink Visitado" xfId="534" builtinId="9" hidden="1"/>
    <cellStyle name="Hiperlink Visitado" xfId="566" builtinId="9" hidden="1"/>
    <cellStyle name="Hiperlink Visitado" xfId="598" builtinId="9" hidden="1"/>
    <cellStyle name="Hiperlink Visitado" xfId="630" builtinId="9" hidden="1"/>
    <cellStyle name="Hiperlink Visitado" xfId="662" builtinId="9" hidden="1"/>
    <cellStyle name="Hiperlink Visitado" xfId="694" builtinId="9" hidden="1"/>
    <cellStyle name="Hiperlink Visitado" xfId="726" builtinId="9" hidden="1"/>
    <cellStyle name="Hiperlink Visitado" xfId="758" builtinId="9" hidden="1"/>
    <cellStyle name="Hiperlink Visitado" xfId="762" builtinId="9" hidden="1"/>
    <cellStyle name="Hiperlink Visitado" xfId="752" builtinId="9" hidden="1"/>
    <cellStyle name="Hiperlink Visitado" xfId="740" builtinId="9" hidden="1"/>
    <cellStyle name="Hiperlink Visitado" xfId="730" builtinId="9" hidden="1"/>
    <cellStyle name="Hiperlink Visitado" xfId="720" builtinId="9" hidden="1"/>
    <cellStyle name="Hiperlink Visitado" xfId="708" builtinId="9" hidden="1"/>
    <cellStyle name="Hiperlink Visitado" xfId="698" builtinId="9" hidden="1"/>
    <cellStyle name="Hiperlink Visitado" xfId="688" builtinId="9" hidden="1"/>
    <cellStyle name="Hiperlink Visitado" xfId="676" builtinId="9" hidden="1"/>
    <cellStyle name="Hiperlink Visitado" xfId="666" builtinId="9" hidden="1"/>
    <cellStyle name="Hiperlink Visitado" xfId="656" builtinId="9" hidden="1"/>
    <cellStyle name="Hiperlink Visitado" xfId="644" builtinId="9" hidden="1"/>
    <cellStyle name="Hiperlink Visitado" xfId="436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8" builtinId="9" hidden="1"/>
    <cellStyle name="Hiperlink Visitado" xfId="450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2" builtinId="9" hidden="1"/>
    <cellStyle name="Hiperlink Visitado" xfId="476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8" builtinId="9" hidden="1"/>
    <cellStyle name="Hiperlink Visitado" xfId="500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2" builtinId="9" hidden="1"/>
    <cellStyle name="Hiperlink Visitado" xfId="514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6" builtinId="9" hidden="1"/>
    <cellStyle name="Hiperlink Visitado" xfId="540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62" builtinId="9" hidden="1"/>
    <cellStyle name="Hiperlink Visitado" xfId="564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6" builtinId="9" hidden="1"/>
    <cellStyle name="Hiperlink Visitado" xfId="578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600" builtinId="9" hidden="1"/>
    <cellStyle name="Hiperlink Visitado" xfId="604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6" builtinId="9" hidden="1"/>
    <cellStyle name="Hiperlink Visitado" xfId="628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40" builtinId="9" hidden="1"/>
    <cellStyle name="Hiperlink Visitado" xfId="642" builtinId="9" hidden="1"/>
    <cellStyle name="Hiperlink Visitado" xfId="624" builtinId="9" hidden="1"/>
    <cellStyle name="Hiperlink Visitado" xfId="602" builtinId="9" hidden="1"/>
    <cellStyle name="Hiperlink Visitado" xfId="580" builtinId="9" hidden="1"/>
    <cellStyle name="Hiperlink Visitado" xfId="560" builtinId="9" hidden="1"/>
    <cellStyle name="Hiperlink Visitado" xfId="538" builtinId="9" hidden="1"/>
    <cellStyle name="Hiperlink Visitado" xfId="516" builtinId="9" hidden="1"/>
    <cellStyle name="Hiperlink Visitado" xfId="496" builtinId="9" hidden="1"/>
    <cellStyle name="Hiperlink Visitado" xfId="474" builtinId="9" hidden="1"/>
    <cellStyle name="Hiperlink Visitado" xfId="452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70" builtinId="9" hidden="1"/>
    <cellStyle name="Hiperlink Visitado" xfId="372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8" builtinId="9" hidden="1"/>
    <cellStyle name="Hiperlink Visitado" xfId="412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2" builtinId="9" hidden="1"/>
    <cellStyle name="Hiperlink Visitado" xfId="434" builtinId="9" hidden="1"/>
    <cellStyle name="Hiperlink Visitado" xfId="410" builtinId="9" hidden="1"/>
    <cellStyle name="Hiperlink Visitado" xfId="368" builtinId="9" hidden="1"/>
    <cellStyle name="Hiperlink Visitado" xfId="314" builtinId="9" hidden="1"/>
    <cellStyle name="Hiperlink Visitado" xfId="316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2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82" builtinId="9" hidden="1"/>
    <cellStyle name="Hiperlink Visitado" xfId="284" builtinId="9" hidden="1"/>
    <cellStyle name="Hiperlink Visitado" xfId="280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736600</xdr:colOff>
      <xdr:row>11</xdr:row>
      <xdr:rowOff>88900</xdr:rowOff>
    </xdr:from>
    <xdr:to>
      <xdr:col>9</xdr:col>
      <xdr:colOff>914400</xdr:colOff>
      <xdr:row>32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184400"/>
          <a:ext cx="6426200" cy="444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558800</xdr:colOff>
      <xdr:row>26</xdr:row>
      <xdr:rowOff>25400</xdr:rowOff>
    </xdr:from>
    <xdr:to>
      <xdr:col>11</xdr:col>
      <xdr:colOff>546100</xdr:colOff>
      <xdr:row>37</xdr:row>
      <xdr:rowOff>50800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AC5E81-65C7-2A7A-9FEF-403A5554B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044700"/>
          <a:ext cx="5118100" cy="400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O54"/>
  <sheetViews>
    <sheetView showGridLines="0" tabSelected="1" topLeftCell="A25" workbookViewId="0">
      <selection activeCell="D28" sqref="D28"/>
    </sheetView>
  </sheetViews>
  <sheetFormatPr defaultColWidth="11" defaultRowHeight="15.75" x14ac:dyDescent="0.25"/>
  <cols>
    <col min="1" max="1" width="25.625" bestFit="1" customWidth="1"/>
    <col min="2" max="2" width="50.5" bestFit="1" customWidth="1"/>
    <col min="3" max="3" width="15.125" bestFit="1" customWidth="1"/>
    <col min="4" max="4" width="27" bestFit="1" customWidth="1"/>
    <col min="5" max="5" width="28.625" customWidth="1"/>
    <col min="6" max="6" width="39.5" bestFit="1" customWidth="1"/>
    <col min="7" max="7" width="11.125" bestFit="1" customWidth="1"/>
    <col min="8" max="8" width="64.625" bestFit="1" customWidth="1"/>
    <col min="9" max="9" width="17.375" bestFit="1" customWidth="1"/>
    <col min="10" max="10" width="19.375" customWidth="1"/>
    <col min="11" max="11" width="13.5" bestFit="1" customWidth="1"/>
    <col min="12" max="12" width="12.625" customWidth="1"/>
    <col min="13" max="13" width="13.375" customWidth="1"/>
    <col min="15" max="15" width="14.125" bestFit="1" customWidth="1"/>
    <col min="16" max="16" width="19.375" bestFit="1" customWidth="1"/>
  </cols>
  <sheetData>
    <row r="1" spans="1:15" ht="15" customHeight="1" x14ac:dyDescent="0.25">
      <c r="A1" s="231" t="s">
        <v>0</v>
      </c>
      <c r="B1" s="231"/>
      <c r="C1" s="231"/>
    </row>
    <row r="2" spans="1:15" ht="15" customHeight="1" x14ac:dyDescent="0.25">
      <c r="A2" s="231"/>
      <c r="B2" s="231"/>
      <c r="C2" s="231"/>
      <c r="F2" t="s">
        <v>1</v>
      </c>
      <c r="H2" s="214">
        <v>125000</v>
      </c>
    </row>
    <row r="3" spans="1:15" ht="15" customHeight="1" x14ac:dyDescent="0.25">
      <c r="A3" s="231"/>
      <c r="B3" s="231"/>
      <c r="C3" s="231"/>
      <c r="F3" t="s">
        <v>2</v>
      </c>
      <c r="H3" s="84">
        <v>137000</v>
      </c>
    </row>
    <row r="4" spans="1:15" ht="15" customHeight="1" x14ac:dyDescent="0.25">
      <c r="A4" s="231"/>
      <c r="B4" s="231"/>
      <c r="C4" s="231"/>
      <c r="F4" t="s">
        <v>3</v>
      </c>
    </row>
    <row r="5" spans="1:15" ht="15" customHeight="1" x14ac:dyDescent="0.25">
      <c r="A5" s="230" t="s">
        <v>4</v>
      </c>
      <c r="B5" s="230"/>
      <c r="C5" s="230"/>
    </row>
    <row r="6" spans="1:15" ht="15" customHeight="1" x14ac:dyDescent="0.25">
      <c r="B6" t="s">
        <v>5</v>
      </c>
      <c r="C6" s="3">
        <v>42705</v>
      </c>
      <c r="E6" s="55"/>
      <c r="F6" s="55"/>
      <c r="G6" s="55"/>
      <c r="H6" s="55" t="s">
        <v>6</v>
      </c>
    </row>
    <row r="7" spans="1:15" ht="15" customHeight="1" x14ac:dyDescent="0.25">
      <c r="B7" t="s">
        <v>7</v>
      </c>
      <c r="C7">
        <v>0</v>
      </c>
      <c r="E7" s="55" t="s">
        <v>8</v>
      </c>
      <c r="F7" s="55" t="s">
        <v>9</v>
      </c>
      <c r="G7" s="210">
        <v>110250</v>
      </c>
      <c r="H7" s="55"/>
    </row>
    <row r="8" spans="1:15" ht="15" customHeight="1" x14ac:dyDescent="0.25">
      <c r="B8" t="s">
        <v>10</v>
      </c>
      <c r="C8" s="3">
        <f>EDATE(C6,C7)</f>
        <v>42705</v>
      </c>
      <c r="E8" s="55" t="s">
        <v>11</v>
      </c>
      <c r="F8" s="55" t="s">
        <v>12</v>
      </c>
      <c r="G8" s="210">
        <f>19500</f>
        <v>19500</v>
      </c>
      <c r="H8" s="55" t="s">
        <v>13</v>
      </c>
    </row>
    <row r="9" spans="1:15" ht="15" customHeight="1" x14ac:dyDescent="0.25">
      <c r="B9" t="s">
        <v>14</v>
      </c>
      <c r="C9">
        <v>2</v>
      </c>
      <c r="E9" s="55" t="s">
        <v>15</v>
      </c>
      <c r="F9" s="55" t="s">
        <v>16</v>
      </c>
      <c r="G9" s="210">
        <v>13450</v>
      </c>
      <c r="H9" s="55" t="s">
        <v>17</v>
      </c>
    </row>
    <row r="10" spans="1:15" ht="15" customHeight="1" x14ac:dyDescent="0.25">
      <c r="B10" s="59" t="s">
        <v>18</v>
      </c>
      <c r="C10" s="79">
        <f>EDATE(C6,C9)</f>
        <v>42767</v>
      </c>
      <c r="E10" s="55"/>
      <c r="F10" s="55"/>
      <c r="G10" s="211">
        <f>SUM(G7:G9)</f>
        <v>143200</v>
      </c>
      <c r="H10" s="55"/>
      <c r="N10" s="1"/>
      <c r="O10" s="1"/>
    </row>
    <row r="11" spans="1:15" ht="15" customHeight="1" x14ac:dyDescent="0.25">
      <c r="B11" t="s">
        <v>19</v>
      </c>
      <c r="C11">
        <v>2</v>
      </c>
    </row>
    <row r="12" spans="1:15" ht="15" customHeight="1" x14ac:dyDescent="0.25">
      <c r="B12" t="s">
        <v>20</v>
      </c>
      <c r="C12" s="3">
        <f>EDATE(C15,C11)</f>
        <v>44652</v>
      </c>
      <c r="F12" t="s">
        <v>21</v>
      </c>
      <c r="G12" s="211">
        <v>600</v>
      </c>
    </row>
    <row r="13" spans="1:15" ht="15" customHeight="1" x14ac:dyDescent="0.25">
      <c r="A13" s="229" t="s">
        <v>22</v>
      </c>
      <c r="B13" s="55" t="s">
        <v>23</v>
      </c>
      <c r="C13" s="55">
        <v>60</v>
      </c>
      <c r="F13" s="55" t="s">
        <v>24</v>
      </c>
      <c r="G13" s="211">
        <v>500</v>
      </c>
    </row>
    <row r="14" spans="1:15" ht="15" customHeight="1" x14ac:dyDescent="0.25">
      <c r="A14" s="229"/>
      <c r="B14" s="55" t="s">
        <v>25</v>
      </c>
      <c r="C14" s="55">
        <v>0</v>
      </c>
      <c r="F14" s="55" t="s">
        <v>26</v>
      </c>
      <c r="G14">
        <v>2150</v>
      </c>
    </row>
    <row r="15" spans="1:15" ht="15" customHeight="1" x14ac:dyDescent="0.25">
      <c r="A15" s="229"/>
      <c r="B15" s="55" t="s">
        <v>27</v>
      </c>
      <c r="C15" s="167">
        <f>EDATE(C10,C13)</f>
        <v>44593</v>
      </c>
    </row>
    <row r="16" spans="1:15" ht="15" customHeight="1" x14ac:dyDescent="0.25">
      <c r="A16" s="229"/>
      <c r="B16" s="55" t="s">
        <v>20</v>
      </c>
      <c r="C16" s="167">
        <f>EDATE(C15,2)</f>
        <v>44652</v>
      </c>
    </row>
    <row r="17" spans="1:8" ht="15.95" customHeight="1" x14ac:dyDescent="0.25">
      <c r="A17" s="229"/>
      <c r="B17" s="55" t="s">
        <v>28</v>
      </c>
      <c r="C17" s="181"/>
    </row>
    <row r="18" spans="1:8" x14ac:dyDescent="0.25">
      <c r="A18" s="230" t="s">
        <v>29</v>
      </c>
      <c r="B18" s="230"/>
      <c r="C18" s="230"/>
    </row>
    <row r="19" spans="1:8" x14ac:dyDescent="0.25">
      <c r="B19" t="s">
        <v>30</v>
      </c>
      <c r="C19">
        <v>12</v>
      </c>
      <c r="E19" s="235" t="s">
        <v>31</v>
      </c>
      <c r="F19" s="235"/>
    </row>
    <row r="20" spans="1:8" x14ac:dyDescent="0.25">
      <c r="B20" t="s">
        <v>32</v>
      </c>
      <c r="C20" s="3">
        <f>EDATE(C10,C19)</f>
        <v>43132</v>
      </c>
      <c r="E20" s="235"/>
      <c r="F20" s="235"/>
    </row>
    <row r="21" spans="1:8" x14ac:dyDescent="0.25">
      <c r="B21" t="s">
        <v>33</v>
      </c>
      <c r="C21" t="s">
        <v>34</v>
      </c>
      <c r="E21" s="55" t="s">
        <v>35</v>
      </c>
      <c r="F21" s="55" t="s">
        <v>36</v>
      </c>
    </row>
    <row r="22" spans="1:8" ht="23.25" x14ac:dyDescent="0.35">
      <c r="B22" s="59" t="s">
        <v>37</v>
      </c>
      <c r="C22" s="60">
        <v>0.03</v>
      </c>
      <c r="D22" s="223" t="s">
        <v>38</v>
      </c>
      <c r="E22" s="222">
        <f>C33</f>
        <v>325100</v>
      </c>
      <c r="F22" s="226">
        <v>0</v>
      </c>
    </row>
    <row r="23" spans="1:8" x14ac:dyDescent="0.25">
      <c r="A23" s="230" t="s">
        <v>39</v>
      </c>
      <c r="B23" s="230"/>
      <c r="C23" s="230"/>
      <c r="D23" s="195">
        <v>0.22</v>
      </c>
      <c r="E23" s="177">
        <f>E22*(1-D23)</f>
        <v>253578</v>
      </c>
      <c r="F23" s="209">
        <v>1</v>
      </c>
    </row>
    <row r="24" spans="1:8" x14ac:dyDescent="0.25">
      <c r="A24" s="95" t="s">
        <v>40</v>
      </c>
      <c r="B24" s="95" t="s">
        <v>41</v>
      </c>
      <c r="C24" s="143" t="s">
        <v>42</v>
      </c>
      <c r="D24" s="215">
        <v>0.11</v>
      </c>
      <c r="E24" s="154">
        <f>E23*(1-D24)</f>
        <v>225684.42</v>
      </c>
      <c r="F24" s="226">
        <v>2</v>
      </c>
    </row>
    <row r="25" spans="1:8" x14ac:dyDescent="0.25">
      <c r="A25" s="95" t="s">
        <v>43</v>
      </c>
      <c r="B25" s="95" t="s">
        <v>41</v>
      </c>
      <c r="C25" s="143" t="s">
        <v>42</v>
      </c>
      <c r="D25" s="195">
        <v>0.11</v>
      </c>
      <c r="E25" s="177">
        <f>E24*(1-D25)</f>
        <v>200859.13380000001</v>
      </c>
      <c r="F25" s="209">
        <v>3</v>
      </c>
    </row>
    <row r="26" spans="1:8" x14ac:dyDescent="0.25">
      <c r="A26" s="227" t="s">
        <v>22</v>
      </c>
      <c r="B26" s="55" t="s">
        <v>44</v>
      </c>
      <c r="C26" s="94"/>
      <c r="D26" s="195">
        <v>0.11</v>
      </c>
      <c r="E26" s="176">
        <f>E25*(1-D26)</f>
        <v>178764.629082</v>
      </c>
      <c r="F26" s="226">
        <v>4</v>
      </c>
    </row>
    <row r="27" spans="1:8" x14ac:dyDescent="0.25">
      <c r="A27" s="227"/>
      <c r="B27" s="55"/>
      <c r="C27" s="94"/>
      <c r="D27" s="195">
        <v>0.11</v>
      </c>
      <c r="E27" s="176">
        <f>E26*(1-D27)</f>
        <v>159100.51988298001</v>
      </c>
      <c r="F27" s="209">
        <v>5</v>
      </c>
    </row>
    <row r="28" spans="1:8" ht="16.5" thickBot="1" x14ac:dyDescent="0.3">
      <c r="A28" s="230" t="s">
        <v>45</v>
      </c>
      <c r="B28" s="230"/>
      <c r="C28" s="230"/>
      <c r="E28" s="154">
        <f>1*0.8*0.85</f>
        <v>0.68</v>
      </c>
    </row>
    <row r="29" spans="1:8" ht="16.5" thickBot="1" x14ac:dyDescent="0.3">
      <c r="A29" s="221" t="s">
        <v>46</v>
      </c>
      <c r="B29" s="92" t="s">
        <v>47</v>
      </c>
      <c r="C29" s="93">
        <v>275100</v>
      </c>
      <c r="E29" s="217" t="s">
        <v>48</v>
      </c>
      <c r="F29" s="219">
        <v>5.8000000000000003E-2</v>
      </c>
      <c r="H29" s="176">
        <f>C32</f>
        <v>325100</v>
      </c>
    </row>
    <row r="30" spans="1:8" ht="16.5" thickBot="1" x14ac:dyDescent="0.3">
      <c r="A30" s="91" t="s">
        <v>49</v>
      </c>
      <c r="B30" s="92" t="s">
        <v>47</v>
      </c>
      <c r="C30" s="93">
        <f>21000+29000</f>
        <v>50000</v>
      </c>
      <c r="D30" s="176">
        <f>C30*0.3</f>
        <v>15000</v>
      </c>
      <c r="E30" s="154"/>
      <c r="F30" s="176"/>
    </row>
    <row r="31" spans="1:8" ht="16.5" thickBot="1" x14ac:dyDescent="0.3">
      <c r="A31" s="91" t="s">
        <v>50</v>
      </c>
      <c r="B31" s="92" t="s">
        <v>51</v>
      </c>
      <c r="C31" s="93"/>
      <c r="D31" s="176" t="s">
        <v>52</v>
      </c>
      <c r="E31" s="154"/>
      <c r="F31" s="176"/>
    </row>
    <row r="32" spans="1:8" ht="30" customHeight="1" thickBot="1" x14ac:dyDescent="0.3">
      <c r="A32" s="185" t="s">
        <v>53</v>
      </c>
      <c r="B32" s="92" t="s">
        <v>47</v>
      </c>
      <c r="C32" s="93">
        <f>C29+C30</f>
        <v>325100</v>
      </c>
      <c r="E32" s="154"/>
      <c r="F32" s="176"/>
    </row>
    <row r="33" spans="1:5" ht="30" customHeight="1" x14ac:dyDescent="0.25">
      <c r="A33" s="166" t="s">
        <v>54</v>
      </c>
      <c r="B33" t="s">
        <v>47</v>
      </c>
      <c r="C33" s="90">
        <f>SUM(C31:C32)</f>
        <v>325100</v>
      </c>
      <c r="E33" s="154"/>
    </row>
    <row r="34" spans="1:5" ht="16.5" thickBot="1" x14ac:dyDescent="0.3">
      <c r="A34" s="230" t="s">
        <v>55</v>
      </c>
      <c r="B34" s="230"/>
      <c r="C34" s="230"/>
      <c r="D34" s="230"/>
      <c r="E34" s="230"/>
    </row>
    <row r="35" spans="1:5" ht="33" customHeight="1" thickBot="1" x14ac:dyDescent="0.3">
      <c r="A35" s="186" t="s">
        <v>56</v>
      </c>
      <c r="B35" s="168"/>
      <c r="C35" s="169">
        <v>5</v>
      </c>
      <c r="D35" s="170" t="s">
        <v>57</v>
      </c>
      <c r="E35" s="171" t="s">
        <v>58</v>
      </c>
    </row>
    <row r="36" spans="1:5" ht="30.95" customHeight="1" thickBot="1" x14ac:dyDescent="0.3">
      <c r="A36" s="91" t="str">
        <f>A29</f>
        <v>express</v>
      </c>
      <c r="B36" s="92" t="s">
        <v>47</v>
      </c>
      <c r="C36" s="93">
        <v>149872.68972976715</v>
      </c>
      <c r="D36" s="179">
        <f>C36/(C29+C30)</f>
        <v>0.4610048899716</v>
      </c>
      <c r="E36" s="179">
        <f>1-D36</f>
        <v>0.53899511002840006</v>
      </c>
    </row>
    <row r="37" spans="1:5" x14ac:dyDescent="0.25">
      <c r="A37" s="230" t="s">
        <v>59</v>
      </c>
      <c r="B37" s="230"/>
      <c r="C37" s="230"/>
    </row>
    <row r="38" spans="1:5" x14ac:dyDescent="0.25">
      <c r="A38" s="233" t="s">
        <v>60</v>
      </c>
      <c r="B38" s="233"/>
      <c r="C38" s="42">
        <v>0.25</v>
      </c>
    </row>
    <row r="39" spans="1:5" x14ac:dyDescent="0.25">
      <c r="A39" s="233" t="s">
        <v>61</v>
      </c>
      <c r="B39" s="234"/>
      <c r="C39" s="159">
        <f>C38/12</f>
        <v>2.0833333333333332E-2</v>
      </c>
      <c r="D39" s="224">
        <f>C36+35000</f>
        <v>184872.68972976715</v>
      </c>
    </row>
    <row r="40" spans="1:5" ht="16.5" thickBot="1" x14ac:dyDescent="0.3">
      <c r="A40" s="233" t="s">
        <v>62</v>
      </c>
      <c r="B40" s="233"/>
      <c r="C40" s="187">
        <f>C32</f>
        <v>325100</v>
      </c>
    </row>
    <row r="41" spans="1:5" ht="16.5" thickBot="1" x14ac:dyDescent="0.3">
      <c r="A41" s="236" t="s">
        <v>63</v>
      </c>
      <c r="B41" s="237"/>
      <c r="C41" s="188">
        <f>C40*C39</f>
        <v>6772.9166666666661</v>
      </c>
    </row>
    <row r="42" spans="1:5" ht="16.5" thickBot="1" x14ac:dyDescent="0.3">
      <c r="A42" s="237" t="s">
        <v>64</v>
      </c>
      <c r="B42" s="237"/>
      <c r="C42" s="201">
        <f>SUM(Cashflow!H21:EE21)</f>
        <v>325100.00000000006</v>
      </c>
    </row>
    <row r="43" spans="1:5" ht="16.5" thickBot="1" x14ac:dyDescent="0.3">
      <c r="A43" s="237"/>
      <c r="B43" s="237"/>
      <c r="C43" s="201"/>
    </row>
    <row r="44" spans="1:5" x14ac:dyDescent="0.25">
      <c r="A44" s="232" t="s">
        <v>65</v>
      </c>
      <c r="B44" s="232"/>
      <c r="C44" s="232"/>
    </row>
    <row r="45" spans="1:5" x14ac:dyDescent="0.25">
      <c r="B45" s="5"/>
      <c r="C45" s="5" t="s">
        <v>66</v>
      </c>
    </row>
    <row r="46" spans="1:5" x14ac:dyDescent="0.25">
      <c r="B46" s="5" t="s">
        <v>67</v>
      </c>
      <c r="C46" s="35">
        <v>6.4999999999999997E-3</v>
      </c>
    </row>
    <row r="47" spans="1:5" x14ac:dyDescent="0.25">
      <c r="B47" s="5" t="s">
        <v>68</v>
      </c>
      <c r="C47" s="36">
        <v>0.03</v>
      </c>
    </row>
    <row r="48" spans="1:5" x14ac:dyDescent="0.25">
      <c r="B48" s="5" t="s">
        <v>69</v>
      </c>
      <c r="C48" s="36">
        <v>3.6999999999999998E-2</v>
      </c>
    </row>
    <row r="54" ht="27" customHeight="1" x14ac:dyDescent="0.25"/>
  </sheetData>
  <mergeCells count="16">
    <mergeCell ref="A13:A17"/>
    <mergeCell ref="A5:C5"/>
    <mergeCell ref="A1:C4"/>
    <mergeCell ref="A44:C44"/>
    <mergeCell ref="A37:C37"/>
    <mergeCell ref="A38:B38"/>
    <mergeCell ref="A39:B39"/>
    <mergeCell ref="A18:C18"/>
    <mergeCell ref="A23:C23"/>
    <mergeCell ref="A28:C28"/>
    <mergeCell ref="A34:E34"/>
    <mergeCell ref="E19:F20"/>
    <mergeCell ref="A40:B40"/>
    <mergeCell ref="A41:B41"/>
    <mergeCell ref="A42:B42"/>
    <mergeCell ref="A43:B4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XEM96"/>
  <sheetViews>
    <sheetView showGridLines="0" topLeftCell="F1" zoomScale="90" zoomScaleNormal="90" zoomScalePageLayoutView="90" workbookViewId="0">
      <pane xSplit="5" ySplit="9" topLeftCell="T10" activePane="bottomRight" state="frozen"/>
      <selection pane="topRight" activeCell="K1" sqref="K1"/>
      <selection pane="bottomLeft" activeCell="F15" sqref="F15"/>
      <selection pane="bottomRight" activeCell="H72" sqref="H72"/>
    </sheetView>
  </sheetViews>
  <sheetFormatPr defaultColWidth="11" defaultRowHeight="15.75" x14ac:dyDescent="0.25"/>
  <cols>
    <col min="1" max="5" width="10.875" hidden="1" customWidth="1"/>
    <col min="6" max="6" width="3.625" customWidth="1"/>
    <col min="7" max="7" width="51.875" customWidth="1"/>
    <col min="8" max="8" width="19.125" bestFit="1" customWidth="1"/>
    <col min="9" max="9" width="10.875" customWidth="1"/>
    <col min="10" max="10" width="13.625" bestFit="1" customWidth="1"/>
    <col min="11" max="11" width="12.5" customWidth="1"/>
  </cols>
  <sheetData>
    <row r="1" spans="1:72" ht="15.95" customHeight="1" x14ac:dyDescent="0.25">
      <c r="G1" s="245" t="s">
        <v>70</v>
      </c>
      <c r="H1" s="246"/>
    </row>
    <row r="2" spans="1:72" ht="15.95" customHeight="1" x14ac:dyDescent="0.25">
      <c r="G2" s="85" t="s">
        <v>71</v>
      </c>
      <c r="H2" s="86">
        <f>Dados!C13</f>
        <v>60</v>
      </c>
    </row>
    <row r="3" spans="1:72" ht="32.1" customHeight="1" x14ac:dyDescent="0.25">
      <c r="G3" s="85" t="s">
        <v>72</v>
      </c>
      <c r="H3" s="207" t="str">
        <f>Dados!A29</f>
        <v>express</v>
      </c>
    </row>
    <row r="4" spans="1:72" x14ac:dyDescent="0.25">
      <c r="G4" s="85" t="s">
        <v>73</v>
      </c>
      <c r="H4" s="86">
        <f>Dados!C14</f>
        <v>0</v>
      </c>
    </row>
    <row r="5" spans="1:72" ht="15.95" customHeight="1" x14ac:dyDescent="0.25">
      <c r="G5" s="247"/>
      <c r="H5" s="247"/>
      <c r="I5" s="101"/>
      <c r="J5" s="248" t="s">
        <v>74</v>
      </c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9" t="s">
        <v>75</v>
      </c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50" t="s">
        <v>76</v>
      </c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39" t="s">
        <v>77</v>
      </c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8" t="s">
        <v>78</v>
      </c>
      <c r="BG5" s="238"/>
      <c r="BH5" s="238"/>
      <c r="BI5" s="238"/>
      <c r="BJ5" s="238"/>
      <c r="BK5" s="238"/>
      <c r="BL5" s="238"/>
      <c r="BM5" s="238"/>
      <c r="BN5" s="238"/>
      <c r="BO5" s="238"/>
      <c r="BP5" s="238"/>
      <c r="BQ5" s="238"/>
      <c r="BR5" s="208" t="s">
        <v>79</v>
      </c>
      <c r="BS5" s="208"/>
      <c r="BT5" s="208"/>
    </row>
    <row r="6" spans="1:72" x14ac:dyDescent="0.25">
      <c r="E6">
        <v>6</v>
      </c>
      <c r="BR6" s="102"/>
      <c r="BS6" s="102"/>
      <c r="BT6" s="102"/>
    </row>
    <row r="7" spans="1:72" x14ac:dyDescent="0.25">
      <c r="G7" s="5"/>
      <c r="H7" s="14">
        <v>43282</v>
      </c>
      <c r="I7" s="14">
        <f>EDATE(H7,1)</f>
        <v>43313</v>
      </c>
      <c r="J7" s="14">
        <f t="shared" ref="J7:T7" si="0">EDATE(I7,1)</f>
        <v>43344</v>
      </c>
      <c r="K7" s="14">
        <f t="shared" si="0"/>
        <v>43374</v>
      </c>
      <c r="L7" s="14">
        <f t="shared" si="0"/>
        <v>43405</v>
      </c>
      <c r="M7" s="14">
        <f t="shared" si="0"/>
        <v>43435</v>
      </c>
      <c r="N7" s="14">
        <f t="shared" si="0"/>
        <v>43466</v>
      </c>
      <c r="O7" s="14">
        <f t="shared" si="0"/>
        <v>43497</v>
      </c>
      <c r="P7" s="14">
        <f t="shared" si="0"/>
        <v>43525</v>
      </c>
      <c r="Q7" s="14">
        <f t="shared" si="0"/>
        <v>43556</v>
      </c>
      <c r="R7" s="14">
        <f t="shared" si="0"/>
        <v>43586</v>
      </c>
      <c r="S7" s="14">
        <f t="shared" si="0"/>
        <v>43617</v>
      </c>
      <c r="T7" s="14">
        <f t="shared" si="0"/>
        <v>43647</v>
      </c>
      <c r="U7" s="14">
        <f>EDATE(T7,1)</f>
        <v>43678</v>
      </c>
      <c r="V7" s="14">
        <f t="shared" ref="V7:AG7" si="1">EDATE(U7,1)</f>
        <v>43709</v>
      </c>
      <c r="W7" s="14">
        <f t="shared" si="1"/>
        <v>43739</v>
      </c>
      <c r="X7" s="14">
        <f t="shared" si="1"/>
        <v>43770</v>
      </c>
      <c r="Y7" s="14">
        <f t="shared" si="1"/>
        <v>43800</v>
      </c>
      <c r="Z7" s="14">
        <f t="shared" si="1"/>
        <v>43831</v>
      </c>
      <c r="AA7" s="14">
        <f t="shared" si="1"/>
        <v>43862</v>
      </c>
      <c r="AB7" s="14">
        <f t="shared" si="1"/>
        <v>43891</v>
      </c>
      <c r="AC7" s="14">
        <f t="shared" si="1"/>
        <v>43922</v>
      </c>
      <c r="AD7" s="14">
        <f t="shared" si="1"/>
        <v>43952</v>
      </c>
      <c r="AE7" s="14">
        <f t="shared" si="1"/>
        <v>43983</v>
      </c>
      <c r="AF7" s="14">
        <f t="shared" si="1"/>
        <v>44013</v>
      </c>
      <c r="AG7" s="14">
        <f t="shared" si="1"/>
        <v>44044</v>
      </c>
      <c r="AH7" s="14">
        <f>EDATE(AG7,1)</f>
        <v>44075</v>
      </c>
      <c r="AI7" s="14">
        <f t="shared" ref="AI7:AS7" si="2">EDATE(AH7,1)</f>
        <v>44105</v>
      </c>
      <c r="AJ7" s="14">
        <f t="shared" si="2"/>
        <v>44136</v>
      </c>
      <c r="AK7" s="14">
        <f t="shared" si="2"/>
        <v>44166</v>
      </c>
      <c r="AL7" s="14">
        <f t="shared" si="2"/>
        <v>44197</v>
      </c>
      <c r="AM7" s="14">
        <f t="shared" si="2"/>
        <v>44228</v>
      </c>
      <c r="AN7" s="14">
        <f t="shared" si="2"/>
        <v>44256</v>
      </c>
      <c r="AO7" s="14">
        <f t="shared" si="2"/>
        <v>44287</v>
      </c>
      <c r="AP7" s="14">
        <f t="shared" si="2"/>
        <v>44317</v>
      </c>
      <c r="AQ7" s="14">
        <f t="shared" si="2"/>
        <v>44348</v>
      </c>
      <c r="AR7" s="14">
        <f t="shared" si="2"/>
        <v>44378</v>
      </c>
      <c r="AS7" s="14">
        <f t="shared" si="2"/>
        <v>44409</v>
      </c>
      <c r="AT7" s="14">
        <f>EDATE(AS7,1)</f>
        <v>44440</v>
      </c>
      <c r="AU7" s="14">
        <f t="shared" ref="AU7" si="3">EDATE(AT7,1)</f>
        <v>44470</v>
      </c>
      <c r="AV7" s="14">
        <f t="shared" ref="AV7" si="4">EDATE(AU7,1)</f>
        <v>44501</v>
      </c>
      <c r="AW7" s="14">
        <f t="shared" ref="AW7" si="5">EDATE(AV7,1)</f>
        <v>44531</v>
      </c>
      <c r="AX7" s="14">
        <f t="shared" ref="AX7" si="6">EDATE(AW7,1)</f>
        <v>44562</v>
      </c>
      <c r="AY7" s="14">
        <f t="shared" ref="AY7" si="7">EDATE(AX7,1)</f>
        <v>44593</v>
      </c>
      <c r="AZ7" s="14">
        <f t="shared" ref="AZ7" si="8">EDATE(AY7,1)</f>
        <v>44621</v>
      </c>
      <c r="BA7" s="14">
        <f t="shared" ref="BA7" si="9">EDATE(AZ7,1)</f>
        <v>44652</v>
      </c>
      <c r="BB7" s="14">
        <f t="shared" ref="BB7" si="10">EDATE(BA7,1)</f>
        <v>44682</v>
      </c>
      <c r="BC7" s="14">
        <f t="shared" ref="BC7" si="11">EDATE(BB7,1)</f>
        <v>44713</v>
      </c>
      <c r="BD7" s="14">
        <f t="shared" ref="BD7" si="12">EDATE(BC7,1)</f>
        <v>44743</v>
      </c>
      <c r="BE7" s="14">
        <f t="shared" ref="BE7" si="13">EDATE(BD7,1)</f>
        <v>44774</v>
      </c>
      <c r="BF7" s="14">
        <f>EDATE(BE7,1)</f>
        <v>44805</v>
      </c>
      <c r="BG7" s="14">
        <f t="shared" ref="BG7" si="14">EDATE(BF7,1)</f>
        <v>44835</v>
      </c>
      <c r="BH7" s="14">
        <f t="shared" ref="BH7" si="15">EDATE(BG7,1)</f>
        <v>44866</v>
      </c>
      <c r="BI7" s="14">
        <f t="shared" ref="BI7" si="16">EDATE(BH7,1)</f>
        <v>44896</v>
      </c>
      <c r="BJ7" s="14">
        <f t="shared" ref="BJ7" si="17">EDATE(BI7,1)</f>
        <v>44927</v>
      </c>
      <c r="BK7" s="14">
        <f t="shared" ref="BK7" si="18">EDATE(BJ7,1)</f>
        <v>44958</v>
      </c>
      <c r="BL7" s="14">
        <f t="shared" ref="BL7" si="19">EDATE(BK7,1)</f>
        <v>44986</v>
      </c>
      <c r="BM7" s="14">
        <f t="shared" ref="BM7" si="20">EDATE(BL7,1)</f>
        <v>45017</v>
      </c>
      <c r="BN7" s="14">
        <f t="shared" ref="BN7" si="21">EDATE(BM7,1)</f>
        <v>45047</v>
      </c>
      <c r="BO7" s="14">
        <f t="shared" ref="BO7" si="22">EDATE(BN7,1)</f>
        <v>45078</v>
      </c>
      <c r="BP7" s="14">
        <f t="shared" ref="BP7" si="23">EDATE(BO7,1)</f>
        <v>45108</v>
      </c>
      <c r="BQ7" s="14">
        <f t="shared" ref="BQ7" si="24">EDATE(BP7,1)</f>
        <v>45139</v>
      </c>
      <c r="BR7" s="14">
        <f t="shared" ref="BR7" si="25">EDATE(BQ7,1)</f>
        <v>45170</v>
      </c>
      <c r="BS7" s="14">
        <f t="shared" ref="BS7" si="26">EDATE(BR7,1)</f>
        <v>45200</v>
      </c>
      <c r="BT7" s="14">
        <f t="shared" ref="BT7" si="27">EDATE(BS7,1)</f>
        <v>45231</v>
      </c>
    </row>
    <row r="8" spans="1:72" x14ac:dyDescent="0.25">
      <c r="G8" s="16" t="s">
        <v>80</v>
      </c>
      <c r="H8" s="15">
        <v>0</v>
      </c>
      <c r="I8" s="15">
        <f>H8+1</f>
        <v>1</v>
      </c>
      <c r="J8" s="15">
        <f>I8+1</f>
        <v>2</v>
      </c>
      <c r="K8" s="15">
        <f t="shared" ref="K8:T8" si="28">J8+1</f>
        <v>3</v>
      </c>
      <c r="L8" s="15">
        <f t="shared" si="28"/>
        <v>4</v>
      </c>
      <c r="M8" s="15">
        <f t="shared" si="28"/>
        <v>5</v>
      </c>
      <c r="N8" s="15">
        <f t="shared" si="28"/>
        <v>6</v>
      </c>
      <c r="O8" s="15">
        <f t="shared" si="28"/>
        <v>7</v>
      </c>
      <c r="P8" s="15">
        <f t="shared" si="28"/>
        <v>8</v>
      </c>
      <c r="Q8" s="15">
        <f t="shared" si="28"/>
        <v>9</v>
      </c>
      <c r="R8" s="15">
        <f t="shared" si="28"/>
        <v>10</v>
      </c>
      <c r="S8" s="15">
        <f t="shared" si="28"/>
        <v>11</v>
      </c>
      <c r="T8" s="15">
        <f t="shared" si="28"/>
        <v>12</v>
      </c>
      <c r="U8" s="15">
        <f>T8+1</f>
        <v>13</v>
      </c>
      <c r="V8" s="15">
        <f t="shared" ref="V8:AG8" si="29">U8+1</f>
        <v>14</v>
      </c>
      <c r="W8" s="15">
        <f t="shared" si="29"/>
        <v>15</v>
      </c>
      <c r="X8" s="15">
        <f t="shared" si="29"/>
        <v>16</v>
      </c>
      <c r="Y8" s="15">
        <f t="shared" si="29"/>
        <v>17</v>
      </c>
      <c r="Z8" s="15">
        <f t="shared" si="29"/>
        <v>18</v>
      </c>
      <c r="AA8" s="15">
        <f t="shared" si="29"/>
        <v>19</v>
      </c>
      <c r="AB8" s="15">
        <f t="shared" si="29"/>
        <v>20</v>
      </c>
      <c r="AC8" s="15">
        <f t="shared" si="29"/>
        <v>21</v>
      </c>
      <c r="AD8" s="15">
        <f t="shared" si="29"/>
        <v>22</v>
      </c>
      <c r="AE8" s="15">
        <f t="shared" si="29"/>
        <v>23</v>
      </c>
      <c r="AF8" s="15">
        <f t="shared" si="29"/>
        <v>24</v>
      </c>
      <c r="AG8" s="15">
        <f t="shared" si="29"/>
        <v>25</v>
      </c>
      <c r="AH8" s="15">
        <f>AG8+1</f>
        <v>26</v>
      </c>
      <c r="AI8" s="15">
        <f t="shared" ref="AI8:AS8" si="30">AH8+1</f>
        <v>27</v>
      </c>
      <c r="AJ8" s="15">
        <f t="shared" si="30"/>
        <v>28</v>
      </c>
      <c r="AK8" s="15">
        <f t="shared" si="30"/>
        <v>29</v>
      </c>
      <c r="AL8" s="15">
        <f t="shared" si="30"/>
        <v>30</v>
      </c>
      <c r="AM8" s="15">
        <f t="shared" si="30"/>
        <v>31</v>
      </c>
      <c r="AN8" s="15">
        <f t="shared" si="30"/>
        <v>32</v>
      </c>
      <c r="AO8" s="15">
        <f t="shared" si="30"/>
        <v>33</v>
      </c>
      <c r="AP8" s="15">
        <f t="shared" si="30"/>
        <v>34</v>
      </c>
      <c r="AQ8" s="15">
        <f t="shared" si="30"/>
        <v>35</v>
      </c>
      <c r="AR8" s="15">
        <f t="shared" si="30"/>
        <v>36</v>
      </c>
      <c r="AS8" s="15">
        <f t="shared" si="30"/>
        <v>37</v>
      </c>
      <c r="AT8" s="15">
        <f>AS8+1</f>
        <v>38</v>
      </c>
      <c r="AU8" s="15">
        <f t="shared" ref="AU8:AU9" si="31">AT8+1</f>
        <v>39</v>
      </c>
      <c r="AV8" s="15">
        <f t="shared" ref="AV8:AV9" si="32">AU8+1</f>
        <v>40</v>
      </c>
      <c r="AW8" s="15">
        <f t="shared" ref="AW8:AW9" si="33">AV8+1</f>
        <v>41</v>
      </c>
      <c r="AX8" s="15">
        <f t="shared" ref="AX8:AX9" si="34">AW8+1</f>
        <v>42</v>
      </c>
      <c r="AY8" s="15">
        <f t="shared" ref="AY8:AY9" si="35">AX8+1</f>
        <v>43</v>
      </c>
      <c r="AZ8" s="15">
        <f t="shared" ref="AZ8:AZ9" si="36">AY8+1</f>
        <v>44</v>
      </c>
      <c r="BA8" s="15">
        <f t="shared" ref="BA8:BA9" si="37">AZ8+1</f>
        <v>45</v>
      </c>
      <c r="BB8" s="15">
        <f t="shared" ref="BB8:BB9" si="38">BA8+1</f>
        <v>46</v>
      </c>
      <c r="BC8" s="15">
        <f t="shared" ref="BC8:BC9" si="39">BB8+1</f>
        <v>47</v>
      </c>
      <c r="BD8" s="15">
        <f t="shared" ref="BD8:BD9" si="40">BC8+1</f>
        <v>48</v>
      </c>
      <c r="BE8" s="15">
        <f t="shared" ref="BE8:BE9" si="41">BD8+1</f>
        <v>49</v>
      </c>
      <c r="BF8" s="15">
        <f>BE8+1</f>
        <v>50</v>
      </c>
      <c r="BG8" s="15">
        <f t="shared" ref="BG8:BG9" si="42">BF8+1</f>
        <v>51</v>
      </c>
      <c r="BH8" s="15">
        <f t="shared" ref="BH8:BH9" si="43">BG8+1</f>
        <v>52</v>
      </c>
      <c r="BI8" s="15">
        <f t="shared" ref="BI8:BI9" si="44">BH8+1</f>
        <v>53</v>
      </c>
      <c r="BJ8" s="15">
        <f t="shared" ref="BJ8:BJ9" si="45">BI8+1</f>
        <v>54</v>
      </c>
      <c r="BK8" s="15">
        <f t="shared" ref="BK8:BK9" si="46">BJ8+1</f>
        <v>55</v>
      </c>
      <c r="BL8" s="15">
        <f t="shared" ref="BL8:BL9" si="47">BK8+1</f>
        <v>56</v>
      </c>
      <c r="BM8" s="15">
        <f t="shared" ref="BM8:BM9" si="48">BL8+1</f>
        <v>57</v>
      </c>
      <c r="BN8" s="15">
        <f t="shared" ref="BN8:BN9" si="49">BM8+1</f>
        <v>58</v>
      </c>
      <c r="BO8" s="15">
        <f t="shared" ref="BO8:BO9" si="50">BN8+1</f>
        <v>59</v>
      </c>
      <c r="BP8" s="15">
        <f t="shared" ref="BP8:BP9" si="51">BO8+1</f>
        <v>60</v>
      </c>
      <c r="BQ8" s="15">
        <f t="shared" ref="BQ8:BQ9" si="52">BP8+1</f>
        <v>61</v>
      </c>
      <c r="BR8" s="15">
        <f t="shared" ref="BR8" si="53">BQ8+1</f>
        <v>62</v>
      </c>
      <c r="BS8" s="15">
        <f t="shared" ref="BS8" si="54">BR8+1</f>
        <v>63</v>
      </c>
      <c r="BT8" s="15">
        <f t="shared" ref="BT8" si="55">BS8+1</f>
        <v>64</v>
      </c>
    </row>
    <row r="9" spans="1:72" x14ac:dyDescent="0.25">
      <c r="A9" t="s">
        <v>81</v>
      </c>
      <c r="G9" s="107" t="s">
        <v>82</v>
      </c>
      <c r="H9" s="21"/>
      <c r="I9" s="21"/>
      <c r="J9" s="115">
        <v>1</v>
      </c>
      <c r="K9" s="107">
        <f>J9+1</f>
        <v>2</v>
      </c>
      <c r="L9" s="107">
        <f t="shared" ref="L9:T9" si="56">K9+1</f>
        <v>3</v>
      </c>
      <c r="M9" s="107">
        <f t="shared" si="56"/>
        <v>4</v>
      </c>
      <c r="N9" s="107">
        <f t="shared" si="56"/>
        <v>5</v>
      </c>
      <c r="O9" s="107">
        <f t="shared" si="56"/>
        <v>6</v>
      </c>
      <c r="P9" s="107">
        <f t="shared" si="56"/>
        <v>7</v>
      </c>
      <c r="Q9" s="107">
        <f t="shared" si="56"/>
        <v>8</v>
      </c>
      <c r="R9" s="107">
        <f t="shared" si="56"/>
        <v>9</v>
      </c>
      <c r="S9" s="107">
        <f t="shared" si="56"/>
        <v>10</v>
      </c>
      <c r="T9" s="107">
        <f t="shared" si="56"/>
        <v>11</v>
      </c>
      <c r="U9" s="107">
        <f>T9+1</f>
        <v>12</v>
      </c>
      <c r="V9" s="107">
        <f t="shared" ref="V9:AG9" si="57">U9+1</f>
        <v>13</v>
      </c>
      <c r="W9" s="107">
        <f t="shared" si="57"/>
        <v>14</v>
      </c>
      <c r="X9" s="107">
        <f t="shared" si="57"/>
        <v>15</v>
      </c>
      <c r="Y9" s="107">
        <f t="shared" si="57"/>
        <v>16</v>
      </c>
      <c r="Z9" s="107">
        <f t="shared" si="57"/>
        <v>17</v>
      </c>
      <c r="AA9" s="107">
        <f t="shared" si="57"/>
        <v>18</v>
      </c>
      <c r="AB9" s="107">
        <f t="shared" si="57"/>
        <v>19</v>
      </c>
      <c r="AC9" s="107">
        <f t="shared" si="57"/>
        <v>20</v>
      </c>
      <c r="AD9" s="107">
        <f t="shared" si="57"/>
        <v>21</v>
      </c>
      <c r="AE9" s="107">
        <f t="shared" si="57"/>
        <v>22</v>
      </c>
      <c r="AF9" s="107">
        <f t="shared" si="57"/>
        <v>23</v>
      </c>
      <c r="AG9" s="107">
        <f t="shared" si="57"/>
        <v>24</v>
      </c>
      <c r="AH9" s="107">
        <f>AG9+1</f>
        <v>25</v>
      </c>
      <c r="AI9" s="107">
        <f t="shared" ref="AI9:AS9" si="58">AH9+1</f>
        <v>26</v>
      </c>
      <c r="AJ9" s="107">
        <f t="shared" si="58"/>
        <v>27</v>
      </c>
      <c r="AK9" s="107">
        <f t="shared" si="58"/>
        <v>28</v>
      </c>
      <c r="AL9" s="107">
        <f t="shared" si="58"/>
        <v>29</v>
      </c>
      <c r="AM9" s="107">
        <f t="shared" si="58"/>
        <v>30</v>
      </c>
      <c r="AN9" s="107">
        <f t="shared" si="58"/>
        <v>31</v>
      </c>
      <c r="AO9" s="107">
        <f t="shared" si="58"/>
        <v>32</v>
      </c>
      <c r="AP9" s="107">
        <f t="shared" si="58"/>
        <v>33</v>
      </c>
      <c r="AQ9" s="107">
        <f t="shared" si="58"/>
        <v>34</v>
      </c>
      <c r="AR9" s="107">
        <f t="shared" si="58"/>
        <v>35</v>
      </c>
      <c r="AS9" s="107">
        <f t="shared" si="58"/>
        <v>36</v>
      </c>
      <c r="AT9" s="107">
        <f>AS9+1</f>
        <v>37</v>
      </c>
      <c r="AU9" s="107">
        <f t="shared" si="31"/>
        <v>38</v>
      </c>
      <c r="AV9" s="107">
        <f t="shared" si="32"/>
        <v>39</v>
      </c>
      <c r="AW9" s="107">
        <f t="shared" si="33"/>
        <v>40</v>
      </c>
      <c r="AX9" s="107">
        <f t="shared" si="34"/>
        <v>41</v>
      </c>
      <c r="AY9" s="107">
        <f t="shared" si="35"/>
        <v>42</v>
      </c>
      <c r="AZ9" s="107">
        <f t="shared" si="36"/>
        <v>43</v>
      </c>
      <c r="BA9" s="107">
        <f t="shared" si="37"/>
        <v>44</v>
      </c>
      <c r="BB9" s="107">
        <f t="shared" si="38"/>
        <v>45</v>
      </c>
      <c r="BC9" s="107">
        <f t="shared" si="39"/>
        <v>46</v>
      </c>
      <c r="BD9" s="107">
        <f t="shared" si="40"/>
        <v>47</v>
      </c>
      <c r="BE9" s="107">
        <f t="shared" si="41"/>
        <v>48</v>
      </c>
      <c r="BF9" s="107">
        <f>BE9+1</f>
        <v>49</v>
      </c>
      <c r="BG9" s="107">
        <f t="shared" si="42"/>
        <v>50</v>
      </c>
      <c r="BH9" s="107">
        <f t="shared" si="43"/>
        <v>51</v>
      </c>
      <c r="BI9" s="107">
        <f t="shared" si="44"/>
        <v>52</v>
      </c>
      <c r="BJ9" s="107">
        <f t="shared" si="45"/>
        <v>53</v>
      </c>
      <c r="BK9" s="107">
        <f t="shared" si="46"/>
        <v>54</v>
      </c>
      <c r="BL9" s="107">
        <f t="shared" si="47"/>
        <v>55</v>
      </c>
      <c r="BM9" s="107">
        <f t="shared" si="48"/>
        <v>56</v>
      </c>
      <c r="BN9" s="107">
        <f t="shared" si="49"/>
        <v>57</v>
      </c>
      <c r="BO9" s="107">
        <f t="shared" si="50"/>
        <v>58</v>
      </c>
      <c r="BP9" s="107">
        <f t="shared" si="51"/>
        <v>59</v>
      </c>
      <c r="BQ9" s="107">
        <f t="shared" si="52"/>
        <v>60</v>
      </c>
      <c r="BR9" s="208" t="s">
        <v>79</v>
      </c>
      <c r="BS9" s="208"/>
      <c r="BT9" s="208"/>
    </row>
    <row r="10" spans="1:72" x14ac:dyDescent="0.25">
      <c r="A10" t="s">
        <v>42</v>
      </c>
      <c r="F10" s="17">
        <v>1</v>
      </c>
      <c r="G10" s="16" t="s">
        <v>83</v>
      </c>
      <c r="J10" s="116"/>
      <c r="BT10" s="111"/>
    </row>
    <row r="11" spans="1:72" x14ac:dyDescent="0.25">
      <c r="F11" s="17">
        <f>F10+1</f>
        <v>2</v>
      </c>
      <c r="G11" s="12" t="s">
        <v>69</v>
      </c>
      <c r="H11" s="13">
        <f>'Financ '!B88</f>
        <v>0</v>
      </c>
      <c r="I11" s="13">
        <f>'Financ '!C88</f>
        <v>7251.3994324202577</v>
      </c>
      <c r="J11" s="13">
        <f>'Financ '!D88</f>
        <v>7251.3994324202577</v>
      </c>
      <c r="K11" s="13">
        <f>'Financ '!E88</f>
        <v>7251.3994324202577</v>
      </c>
      <c r="L11" s="13">
        <f>'Financ '!F88</f>
        <v>7251.3994324202577</v>
      </c>
      <c r="M11" s="13">
        <f>'Financ '!G88</f>
        <v>7251.3994324202577</v>
      </c>
      <c r="N11" s="13">
        <f>'Financ '!H88</f>
        <v>7251.3994324202577</v>
      </c>
      <c r="O11" s="13">
        <f>'Financ '!I88</f>
        <v>7251.3994324202577</v>
      </c>
      <c r="P11" s="13">
        <f>'Financ '!J88</f>
        <v>7251.3994324202577</v>
      </c>
      <c r="Q11" s="13">
        <f>'Financ '!K88</f>
        <v>7251.3994324202577</v>
      </c>
      <c r="R11" s="13">
        <f>'Financ '!L88</f>
        <v>7251.3994324202577</v>
      </c>
      <c r="S11" s="13">
        <f>'Financ '!M88</f>
        <v>7251.3994324202577</v>
      </c>
      <c r="T11" s="13">
        <f>'Financ '!N88</f>
        <v>7251.3994324202577</v>
      </c>
      <c r="U11" s="13">
        <f>'Financ '!O88</f>
        <v>7251.3994324202577</v>
      </c>
      <c r="V11" s="13">
        <f>'Financ '!P88</f>
        <v>7251.3994324202577</v>
      </c>
      <c r="W11" s="13">
        <f>'Financ '!Q88</f>
        <v>7251.3994324202577</v>
      </c>
      <c r="X11" s="13">
        <f>'Financ '!R88</f>
        <v>7251.3994324202577</v>
      </c>
      <c r="Y11" s="13">
        <f>'Financ '!S88</f>
        <v>7251.3994324202577</v>
      </c>
      <c r="Z11" s="13">
        <f>'Financ '!T88</f>
        <v>7251.3994324202577</v>
      </c>
      <c r="AA11" s="13">
        <f>'Financ '!U88</f>
        <v>7251.3994324202577</v>
      </c>
      <c r="AB11" s="13">
        <f>'Financ '!V88</f>
        <v>7251.3994324202577</v>
      </c>
      <c r="AC11" s="13">
        <f>'Financ '!W88</f>
        <v>7251.3994324202577</v>
      </c>
      <c r="AD11" s="13">
        <f>'Financ '!X88</f>
        <v>7251.3994324202577</v>
      </c>
      <c r="AE11" s="13">
        <f>'Financ '!Y88</f>
        <v>7251.3994324202577</v>
      </c>
      <c r="AF11" s="13">
        <f>'Financ '!Z88</f>
        <v>7251.3994324202577</v>
      </c>
      <c r="AG11" s="13">
        <f>'Financ '!AA88</f>
        <v>7251.3994324202577</v>
      </c>
      <c r="AH11" s="13">
        <f>'Financ '!AB88</f>
        <v>7251.3994324202577</v>
      </c>
      <c r="AI11" s="13">
        <f>'Financ '!AC88</f>
        <v>7251.3994324202577</v>
      </c>
      <c r="AJ11" s="13">
        <f>'Financ '!AD88</f>
        <v>7251.3994324202577</v>
      </c>
      <c r="AK11" s="13">
        <f>'Financ '!AE88</f>
        <v>7251.3994324202577</v>
      </c>
      <c r="AL11" s="13">
        <f>'Financ '!AF88</f>
        <v>7251.3994324202577</v>
      </c>
      <c r="AM11" s="13">
        <f>'Financ '!AG88</f>
        <v>7251.3994324202577</v>
      </c>
      <c r="AN11" s="13">
        <f>'Financ '!AH88</f>
        <v>7251.3994324202577</v>
      </c>
      <c r="AO11" s="13">
        <f>'Financ '!AI88</f>
        <v>7251.3994324202577</v>
      </c>
      <c r="AP11" s="13">
        <f>'Financ '!AJ88</f>
        <v>7251.3994324202577</v>
      </c>
      <c r="AQ11" s="13">
        <f>'Financ '!AK88</f>
        <v>7251.3994324202577</v>
      </c>
      <c r="AR11" s="13">
        <f>'Financ '!AL88</f>
        <v>7251.3994324202577</v>
      </c>
      <c r="AS11" s="13">
        <f>'Financ '!AM88</f>
        <v>7251.3994324202577</v>
      </c>
      <c r="AT11" s="13">
        <f>'Financ '!AN88</f>
        <v>7251.3994324202577</v>
      </c>
      <c r="AU11" s="13">
        <f>'Financ '!AO88</f>
        <v>7251.3994324202577</v>
      </c>
      <c r="AV11" s="13">
        <f>'Financ '!AP88</f>
        <v>7251.3994324202577</v>
      </c>
      <c r="AW11" s="13">
        <f>'Financ '!AQ88</f>
        <v>7251.3994324202577</v>
      </c>
      <c r="AX11" s="13">
        <f>'Financ '!AR88</f>
        <v>7251.3994324202577</v>
      </c>
      <c r="AY11" s="13">
        <f>'Financ '!AS88</f>
        <v>7251.3994324202577</v>
      </c>
      <c r="AZ11" s="13">
        <f>'Financ '!AT88</f>
        <v>7251.3994324202577</v>
      </c>
      <c r="BA11" s="13">
        <f>'Financ '!AU88</f>
        <v>7251.3994324202577</v>
      </c>
      <c r="BB11" s="13">
        <f>'Financ '!AV88</f>
        <v>7251.3994324202577</v>
      </c>
      <c r="BC11" s="13">
        <f>'Financ '!AW88</f>
        <v>7251.3994324202577</v>
      </c>
      <c r="BD11" s="13">
        <f>'Financ '!AX88</f>
        <v>7251.3994324202577</v>
      </c>
      <c r="BE11" s="13">
        <f>'Financ '!AY88</f>
        <v>7251.3994324202577</v>
      </c>
      <c r="BF11" s="13">
        <f>'Financ '!AZ88</f>
        <v>7251.3994324202577</v>
      </c>
      <c r="BG11" s="13">
        <f>'Financ '!BA88</f>
        <v>7251.3994324202577</v>
      </c>
      <c r="BH11" s="13">
        <f>'Financ '!BB88</f>
        <v>7251.3994324202577</v>
      </c>
      <c r="BI11" s="13">
        <f>'Financ '!BC88</f>
        <v>7251.3994324202577</v>
      </c>
      <c r="BJ11" s="13">
        <f>'Financ '!BD88</f>
        <v>7251.3994324202577</v>
      </c>
      <c r="BK11" s="13">
        <f>'Financ '!BE88</f>
        <v>7251.3994324202577</v>
      </c>
      <c r="BL11" s="13">
        <f>'Financ '!BF88</f>
        <v>7251.3994324202577</v>
      </c>
      <c r="BM11" s="13">
        <f>'Financ '!BG88</f>
        <v>7251.3994324202577</v>
      </c>
      <c r="BN11" s="13">
        <f>'Financ '!BH88</f>
        <v>7251.3994324202577</v>
      </c>
      <c r="BO11" s="13">
        <f>'Financ '!BI88</f>
        <v>7251.3994324202577</v>
      </c>
      <c r="BP11" s="13">
        <f>'Financ '!BJ88</f>
        <v>7251.3994324202577</v>
      </c>
      <c r="BQ11" s="13">
        <f>'Financ '!BK88</f>
        <v>0</v>
      </c>
      <c r="BR11" s="13">
        <f>'Financ '!BL88</f>
        <v>0</v>
      </c>
      <c r="BS11" s="13">
        <f>'Financ '!BM88</f>
        <v>0</v>
      </c>
      <c r="BT11" s="13">
        <f>'Financ '!BN88</f>
        <v>0</v>
      </c>
    </row>
    <row r="12" spans="1:72" x14ac:dyDescent="0.25">
      <c r="F12" s="17">
        <f t="shared" ref="F12:F76" si="59">F11+1</f>
        <v>3</v>
      </c>
      <c r="G12" s="5"/>
      <c r="H12" s="29"/>
      <c r="I12" s="28"/>
      <c r="J12" s="1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112"/>
    </row>
    <row r="13" spans="1:72" x14ac:dyDescent="0.25">
      <c r="F13" s="17">
        <f t="shared" si="59"/>
        <v>4</v>
      </c>
      <c r="G13" s="16" t="s">
        <v>84</v>
      </c>
      <c r="H13" s="24">
        <f>SUM(H14:H18)</f>
        <v>0</v>
      </c>
      <c r="I13" s="24">
        <f>SUM(I14:I18)</f>
        <v>2570.9187499999998</v>
      </c>
      <c r="J13" s="205">
        <f t="shared" ref="J13:AS13" si="60">SUM(J14:J18)</f>
        <v>0</v>
      </c>
      <c r="K13" s="24">
        <f>SUM(K14:K18)</f>
        <v>0</v>
      </c>
      <c r="L13" s="24">
        <f t="shared" si="60"/>
        <v>0</v>
      </c>
      <c r="M13" s="24">
        <f t="shared" si="60"/>
        <v>0</v>
      </c>
      <c r="N13" s="24">
        <f t="shared" si="60"/>
        <v>0</v>
      </c>
      <c r="O13" s="24">
        <f t="shared" si="60"/>
        <v>0</v>
      </c>
      <c r="P13" s="24">
        <f t="shared" si="60"/>
        <v>0</v>
      </c>
      <c r="Q13" s="24">
        <f t="shared" si="60"/>
        <v>0</v>
      </c>
      <c r="R13" s="24">
        <f t="shared" si="60"/>
        <v>0</v>
      </c>
      <c r="S13" s="24">
        <f t="shared" si="60"/>
        <v>0</v>
      </c>
      <c r="T13" s="24">
        <f t="shared" si="60"/>
        <v>0</v>
      </c>
      <c r="U13" s="24">
        <f>SUM(U14:U18)</f>
        <v>4880.2049999999999</v>
      </c>
      <c r="V13" s="24">
        <f t="shared" si="60"/>
        <v>0</v>
      </c>
      <c r="W13" s="24">
        <f>SUM(W14:W18)</f>
        <v>0</v>
      </c>
      <c r="X13" s="24">
        <f t="shared" si="60"/>
        <v>0</v>
      </c>
      <c r="Y13" s="24">
        <f t="shared" si="60"/>
        <v>0</v>
      </c>
      <c r="Z13" s="24">
        <f t="shared" si="60"/>
        <v>0</v>
      </c>
      <c r="AA13" s="24">
        <f t="shared" si="60"/>
        <v>0</v>
      </c>
      <c r="AB13" s="24">
        <f t="shared" si="60"/>
        <v>0</v>
      </c>
      <c r="AC13" s="24">
        <f t="shared" si="60"/>
        <v>0</v>
      </c>
      <c r="AD13" s="24">
        <f t="shared" si="60"/>
        <v>0</v>
      </c>
      <c r="AE13" s="24">
        <f t="shared" si="60"/>
        <v>0</v>
      </c>
      <c r="AF13" s="24">
        <f t="shared" si="60"/>
        <v>0</v>
      </c>
      <c r="AG13" s="24">
        <f>SUM(AG14:AG18)</f>
        <v>4170.67425</v>
      </c>
      <c r="AH13" s="24">
        <f t="shared" si="60"/>
        <v>0</v>
      </c>
      <c r="AI13" s="24">
        <f t="shared" ref="AI13:AN13" si="61">SUM(AI14:AI18)</f>
        <v>0</v>
      </c>
      <c r="AJ13" s="24">
        <f t="shared" si="61"/>
        <v>0</v>
      </c>
      <c r="AK13" s="24">
        <f t="shared" si="61"/>
        <v>0</v>
      </c>
      <c r="AL13" s="24">
        <f t="shared" si="61"/>
        <v>0</v>
      </c>
      <c r="AM13" s="24">
        <f t="shared" si="61"/>
        <v>0</v>
      </c>
      <c r="AN13" s="24">
        <f t="shared" si="61"/>
        <v>0</v>
      </c>
      <c r="AO13" s="24">
        <f t="shared" si="60"/>
        <v>0</v>
      </c>
      <c r="AP13" s="24">
        <f t="shared" si="60"/>
        <v>0</v>
      </c>
      <c r="AQ13" s="24">
        <f t="shared" si="60"/>
        <v>0</v>
      </c>
      <c r="AR13" s="24">
        <f t="shared" si="60"/>
        <v>0</v>
      </c>
      <c r="AS13" s="24">
        <f t="shared" si="60"/>
        <v>3567.5731124999998</v>
      </c>
      <c r="AT13" s="24">
        <f t="shared" ref="AT13:BE13" si="62">SUM(AT14:AT18)</f>
        <v>0</v>
      </c>
      <c r="AU13" s="24">
        <f t="shared" si="62"/>
        <v>0</v>
      </c>
      <c r="AV13" s="24">
        <f t="shared" si="62"/>
        <v>0</v>
      </c>
      <c r="AW13" s="24">
        <f t="shared" si="62"/>
        <v>0</v>
      </c>
      <c r="AX13" s="24">
        <f t="shared" si="62"/>
        <v>0</v>
      </c>
      <c r="AY13" s="24">
        <f t="shared" si="62"/>
        <v>0</v>
      </c>
      <c r="AZ13" s="24">
        <f t="shared" si="62"/>
        <v>0</v>
      </c>
      <c r="BA13" s="24">
        <f t="shared" si="62"/>
        <v>0</v>
      </c>
      <c r="BB13" s="24">
        <f t="shared" si="62"/>
        <v>0</v>
      </c>
      <c r="BC13" s="24">
        <f t="shared" si="62"/>
        <v>0</v>
      </c>
      <c r="BD13" s="24">
        <f t="shared" si="62"/>
        <v>0</v>
      </c>
      <c r="BE13" s="24">
        <f t="shared" si="62"/>
        <v>2619.1965737812502</v>
      </c>
      <c r="BF13" s="24">
        <f t="shared" ref="BF13:BQ13" si="63">SUM(BF14:BF18)</f>
        <v>0</v>
      </c>
      <c r="BG13" s="24">
        <f t="shared" si="63"/>
        <v>0</v>
      </c>
      <c r="BH13" s="24">
        <f t="shared" si="63"/>
        <v>0</v>
      </c>
      <c r="BI13" s="24">
        <f t="shared" si="63"/>
        <v>0</v>
      </c>
      <c r="BJ13" s="24">
        <f t="shared" si="63"/>
        <v>0</v>
      </c>
      <c r="BK13" s="24">
        <f t="shared" si="63"/>
        <v>0</v>
      </c>
      <c r="BL13" s="24">
        <f t="shared" si="63"/>
        <v>0</v>
      </c>
      <c r="BM13" s="24">
        <f t="shared" si="63"/>
        <v>0</v>
      </c>
      <c r="BN13" s="24">
        <f t="shared" si="63"/>
        <v>0</v>
      </c>
      <c r="BO13" s="24">
        <f t="shared" si="63"/>
        <v>0</v>
      </c>
      <c r="BP13" s="24">
        <f t="shared" si="63"/>
        <v>0</v>
      </c>
      <c r="BQ13" s="24">
        <f t="shared" si="63"/>
        <v>2248.8170877140624</v>
      </c>
      <c r="BR13" s="24">
        <f t="shared" ref="BR13:BT13" si="64">SUM(BR14:BR18)</f>
        <v>0</v>
      </c>
      <c r="BS13" s="24">
        <f t="shared" si="64"/>
        <v>0</v>
      </c>
      <c r="BT13" s="24">
        <f t="shared" si="64"/>
        <v>0</v>
      </c>
    </row>
    <row r="14" spans="1:72" x14ac:dyDescent="0.25">
      <c r="F14" s="17">
        <f t="shared" si="59"/>
        <v>5</v>
      </c>
      <c r="G14" t="s">
        <v>85</v>
      </c>
      <c r="H14" s="24"/>
      <c r="I14" s="197">
        <f>Licenciamento!E7</f>
        <v>2570.9187499999998</v>
      </c>
      <c r="J14" s="119"/>
      <c r="L14" s="11"/>
      <c r="M14" s="11"/>
      <c r="N14" s="11"/>
      <c r="O14" s="11"/>
      <c r="P14" s="11"/>
      <c r="Q14" s="11"/>
      <c r="S14" s="11"/>
      <c r="T14" s="11"/>
      <c r="U14" s="197">
        <f>Licenciamento!H7</f>
        <v>4880.2049999999999</v>
      </c>
      <c r="V14" s="11"/>
      <c r="X14" s="11"/>
      <c r="Y14" s="11"/>
      <c r="Z14" s="11"/>
      <c r="AA14" s="11"/>
      <c r="AB14" s="11"/>
      <c r="AC14" s="11"/>
      <c r="AE14" s="11"/>
      <c r="AF14" s="11"/>
      <c r="AG14" s="11">
        <f>Licenciamento!K7</f>
        <v>4170.67425</v>
      </c>
      <c r="AH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>
        <f>Licenciamento!N7</f>
        <v>3567.5731124999998</v>
      </c>
      <c r="AT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>
        <f>Licenciamento!T7</f>
        <v>2619.1965737812502</v>
      </c>
      <c r="BF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>
        <f>Licenciamento!W7</f>
        <v>2248.8170877140624</v>
      </c>
      <c r="BR14" s="11"/>
      <c r="BS14" s="11"/>
      <c r="BT14" s="45"/>
    </row>
    <row r="15" spans="1:72" s="95" customFormat="1" x14ac:dyDescent="0.25">
      <c r="F15" s="17">
        <f t="shared" si="59"/>
        <v>6</v>
      </c>
      <c r="G15" s="96" t="s">
        <v>86</v>
      </c>
      <c r="H15" s="97"/>
      <c r="I15" s="98"/>
      <c r="J15" s="120">
        <f>Dados!$C$17</f>
        <v>0</v>
      </c>
      <c r="K15" s="120">
        <f>Dados!$C$17</f>
        <v>0</v>
      </c>
      <c r="L15" s="120">
        <f>Dados!$C$17</f>
        <v>0</v>
      </c>
      <c r="M15" s="120">
        <f>Dados!$C$17</f>
        <v>0</v>
      </c>
      <c r="N15" s="120">
        <f>Dados!$C$17</f>
        <v>0</v>
      </c>
      <c r="O15" s="120">
        <f>Dados!$C$17</f>
        <v>0</v>
      </c>
      <c r="P15" s="120">
        <f>Dados!$C$17</f>
        <v>0</v>
      </c>
      <c r="Q15" s="120">
        <f>Dados!$C$17</f>
        <v>0</v>
      </c>
      <c r="R15" s="120">
        <f>Dados!$C$17</f>
        <v>0</v>
      </c>
      <c r="S15" s="120">
        <f>Dados!$C$17</f>
        <v>0</v>
      </c>
      <c r="T15" s="120">
        <f>Dados!$C$17</f>
        <v>0</v>
      </c>
      <c r="U15" s="120">
        <f>Dados!$C$17</f>
        <v>0</v>
      </c>
      <c r="V15" s="120">
        <f>Dados!$C$17</f>
        <v>0</v>
      </c>
      <c r="W15" s="120">
        <f>Dados!$C$17</f>
        <v>0</v>
      </c>
      <c r="X15" s="120">
        <f>Dados!$C$17</f>
        <v>0</v>
      </c>
      <c r="Y15" s="120">
        <f>Dados!$C$17</f>
        <v>0</v>
      </c>
      <c r="Z15" s="120">
        <f>Dados!$C$17</f>
        <v>0</v>
      </c>
      <c r="AA15" s="120">
        <f>Dados!$C$17</f>
        <v>0</v>
      </c>
      <c r="AB15" s="120">
        <f>Dados!$C$17</f>
        <v>0</v>
      </c>
      <c r="AC15" s="120">
        <f>Dados!$C$17</f>
        <v>0</v>
      </c>
      <c r="AD15" s="120">
        <f>Dados!$C$17</f>
        <v>0</v>
      </c>
      <c r="AE15" s="120">
        <f>Dados!$C$17</f>
        <v>0</v>
      </c>
      <c r="AF15" s="120">
        <f>Dados!$C$17</f>
        <v>0</v>
      </c>
      <c r="AG15" s="120">
        <f>Dados!$C$17</f>
        <v>0</v>
      </c>
      <c r="AH15" s="120">
        <f>Dados!$C$17</f>
        <v>0</v>
      </c>
      <c r="AI15" s="120">
        <f>Dados!$C$17</f>
        <v>0</v>
      </c>
      <c r="AJ15" s="120">
        <f>Dados!$C$17</f>
        <v>0</v>
      </c>
      <c r="AK15" s="120">
        <f>Dados!$C$17</f>
        <v>0</v>
      </c>
      <c r="AL15" s="120">
        <f>Dados!$C$17</f>
        <v>0</v>
      </c>
      <c r="AM15" s="120">
        <f>Dados!$C$17</f>
        <v>0</v>
      </c>
      <c r="AN15" s="120">
        <f>Dados!$C$17</f>
        <v>0</v>
      </c>
      <c r="AO15" s="120">
        <f>Dados!$C$17</f>
        <v>0</v>
      </c>
      <c r="AP15" s="120">
        <f>Dados!$C$17</f>
        <v>0</v>
      </c>
      <c r="AQ15" s="120">
        <f>Dados!$C$17</f>
        <v>0</v>
      </c>
      <c r="AR15" s="120">
        <f>Dados!$C$17</f>
        <v>0</v>
      </c>
      <c r="AS15" s="120">
        <f>Dados!$C$17</f>
        <v>0</v>
      </c>
      <c r="AT15" s="120">
        <f>Dados!$C$17</f>
        <v>0</v>
      </c>
      <c r="AU15" s="120">
        <f>Dados!$C$17</f>
        <v>0</v>
      </c>
      <c r="AV15" s="120">
        <f>Dados!$C$17</f>
        <v>0</v>
      </c>
      <c r="AW15" s="120">
        <f>Dados!$C$17</f>
        <v>0</v>
      </c>
      <c r="AX15" s="120">
        <f>Dados!$C$17</f>
        <v>0</v>
      </c>
      <c r="AY15" s="120">
        <f>Dados!$C$17</f>
        <v>0</v>
      </c>
      <c r="AZ15" s="120">
        <f>Dados!$C$17</f>
        <v>0</v>
      </c>
      <c r="BA15" s="120">
        <f>Dados!$C$17</f>
        <v>0</v>
      </c>
      <c r="BB15" s="120">
        <f>Dados!$C$17</f>
        <v>0</v>
      </c>
      <c r="BC15" s="120">
        <f>Dados!$C$17</f>
        <v>0</v>
      </c>
      <c r="BD15" s="120">
        <f>Dados!$C$17</f>
        <v>0</v>
      </c>
      <c r="BE15" s="120">
        <f>Dados!$C$17</f>
        <v>0</v>
      </c>
      <c r="BF15" s="120">
        <f>Dados!$C$17</f>
        <v>0</v>
      </c>
      <c r="BG15" s="120">
        <f>Dados!$C$17</f>
        <v>0</v>
      </c>
      <c r="BH15" s="120">
        <f>Dados!$C$17</f>
        <v>0</v>
      </c>
      <c r="BI15" s="120">
        <f>Dados!$C$17</f>
        <v>0</v>
      </c>
      <c r="BJ15" s="120">
        <f>Dados!$C$17</f>
        <v>0</v>
      </c>
      <c r="BK15" s="120">
        <f>Dados!$C$17</f>
        <v>0</v>
      </c>
      <c r="BL15" s="120">
        <f>Dados!$C$17</f>
        <v>0</v>
      </c>
      <c r="BM15" s="120">
        <f>Dados!$C$17</f>
        <v>0</v>
      </c>
      <c r="BN15" s="120">
        <f>Dados!$C$17</f>
        <v>0</v>
      </c>
      <c r="BO15" s="120">
        <f>Dados!$C$17</f>
        <v>0</v>
      </c>
      <c r="BP15" s="120">
        <f>Dados!$C$17</f>
        <v>0</v>
      </c>
      <c r="BQ15" s="120">
        <f>Dados!$C$17</f>
        <v>0</v>
      </c>
      <c r="BR15" s="120">
        <f>Dados!$C$17</f>
        <v>0</v>
      </c>
      <c r="BS15" s="120">
        <f>Dados!$C$17</f>
        <v>0</v>
      </c>
      <c r="BT15" s="120">
        <f>Dados!$C$17</f>
        <v>0</v>
      </c>
    </row>
    <row r="16" spans="1:72" x14ac:dyDescent="0.25">
      <c r="F16" s="17">
        <f t="shared" si="59"/>
        <v>7</v>
      </c>
      <c r="G16" t="s">
        <v>87</v>
      </c>
      <c r="H16" s="87"/>
      <c r="I16" s="87"/>
      <c r="J16" s="121"/>
      <c r="K16" s="87">
        <f>'Seguros-Rastreamento'!$E$4</f>
        <v>0</v>
      </c>
      <c r="L16" s="87">
        <f>'Seguros-Rastreamento'!$E$4</f>
        <v>0</v>
      </c>
      <c r="M16" s="87">
        <f>'Seguros-Rastreamento'!$E$4</f>
        <v>0</v>
      </c>
      <c r="N16" s="87">
        <f>'Seguros-Rastreamento'!$E$4</f>
        <v>0</v>
      </c>
      <c r="O16" s="87">
        <f>'Seguros-Rastreamento'!$E$4</f>
        <v>0</v>
      </c>
      <c r="P16" s="87">
        <f>'Seguros-Rastreamento'!$E$4</f>
        <v>0</v>
      </c>
      <c r="Q16" s="87">
        <f>'Seguros-Rastreamento'!$E$4</f>
        <v>0</v>
      </c>
      <c r="R16" s="87">
        <f>'Seguros-Rastreamento'!$E$4</f>
        <v>0</v>
      </c>
      <c r="S16" s="87">
        <f>'Seguros-Rastreamento'!$E$4</f>
        <v>0</v>
      </c>
      <c r="T16" s="87">
        <f>'Seguros-Rastreamento'!$E$4</f>
        <v>0</v>
      </c>
      <c r="U16" s="87">
        <f>'Seguros-Rastreamento'!$E$4</f>
        <v>0</v>
      </c>
      <c r="V16" s="87">
        <f>'Seguros-Rastreamento'!$E$4</f>
        <v>0</v>
      </c>
      <c r="W16" s="87">
        <f>'Seguros-Rastreamento'!$E$5</f>
        <v>0</v>
      </c>
      <c r="X16" s="87">
        <f>'Seguros-Rastreamento'!$E$5</f>
        <v>0</v>
      </c>
      <c r="Y16" s="87">
        <f>'Seguros-Rastreamento'!$E$5</f>
        <v>0</v>
      </c>
      <c r="Z16" s="87">
        <f>'Seguros-Rastreamento'!$E$5</f>
        <v>0</v>
      </c>
      <c r="AA16" s="87">
        <f>'Seguros-Rastreamento'!$E$5</f>
        <v>0</v>
      </c>
      <c r="AB16" s="87">
        <f>'Seguros-Rastreamento'!$E$5</f>
        <v>0</v>
      </c>
      <c r="AC16" s="87">
        <f>'Seguros-Rastreamento'!$E$5</f>
        <v>0</v>
      </c>
      <c r="AD16" s="87">
        <f>'Seguros-Rastreamento'!$E$5</f>
        <v>0</v>
      </c>
      <c r="AE16" s="87">
        <f>'Seguros-Rastreamento'!$E$5</f>
        <v>0</v>
      </c>
      <c r="AF16" s="87">
        <f>'Seguros-Rastreamento'!$E$5</f>
        <v>0</v>
      </c>
      <c r="AG16" s="87">
        <f>'Seguros-Rastreamento'!$E$5</f>
        <v>0</v>
      </c>
      <c r="AH16" s="87">
        <f>'Seguros-Rastreamento'!$E$5</f>
        <v>0</v>
      </c>
      <c r="AI16" s="87">
        <f>'Seguros-Rastreamento'!$E$5</f>
        <v>0</v>
      </c>
      <c r="AJ16" s="87">
        <f>'Seguros-Rastreamento'!$E$5</f>
        <v>0</v>
      </c>
      <c r="AK16" s="87">
        <f>'Seguros-Rastreamento'!$E$5</f>
        <v>0</v>
      </c>
      <c r="AL16" s="87">
        <f>'Seguros-Rastreamento'!$E$5</f>
        <v>0</v>
      </c>
      <c r="AM16" s="87">
        <f>'Seguros-Rastreamento'!$E$5</f>
        <v>0</v>
      </c>
      <c r="AN16" s="87">
        <f>'Seguros-Rastreamento'!$E$5</f>
        <v>0</v>
      </c>
      <c r="AO16" s="87">
        <f>'Seguros-Rastreamento'!$E$5</f>
        <v>0</v>
      </c>
      <c r="AP16" s="87">
        <f>'Seguros-Rastreamento'!$E$5</f>
        <v>0</v>
      </c>
      <c r="AQ16" s="87">
        <f>'Seguros-Rastreamento'!$E$5</f>
        <v>0</v>
      </c>
      <c r="AR16" s="87">
        <f>'Seguros-Rastreamento'!$E$5</f>
        <v>0</v>
      </c>
      <c r="AS16" s="87">
        <f>'Seguros-Rastreamento'!$E$5</f>
        <v>0</v>
      </c>
      <c r="AT16" s="87">
        <f>'Seguros-Rastreamento'!$E$5</f>
        <v>0</v>
      </c>
      <c r="AU16" s="87">
        <f>'Seguros-Rastreamento'!$E$5</f>
        <v>0</v>
      </c>
      <c r="AV16" s="87">
        <f>'Seguros-Rastreamento'!$E$5</f>
        <v>0</v>
      </c>
      <c r="AW16" s="87">
        <f>'Seguros-Rastreamento'!$E$5</f>
        <v>0</v>
      </c>
      <c r="AX16" s="87">
        <f>'Seguros-Rastreamento'!$E$5</f>
        <v>0</v>
      </c>
      <c r="AY16" s="87">
        <f>'Seguros-Rastreamento'!$E$5</f>
        <v>0</v>
      </c>
      <c r="AZ16" s="87">
        <f>'Seguros-Rastreamento'!$E$5</f>
        <v>0</v>
      </c>
      <c r="BA16" s="87">
        <f>'Seguros-Rastreamento'!$E$5</f>
        <v>0</v>
      </c>
      <c r="BB16" s="87">
        <f>'Seguros-Rastreamento'!$E$5</f>
        <v>0</v>
      </c>
      <c r="BC16" s="87">
        <f>'Seguros-Rastreamento'!$E$5</f>
        <v>0</v>
      </c>
      <c r="BD16" s="87">
        <f>'Seguros-Rastreamento'!$E$5</f>
        <v>0</v>
      </c>
      <c r="BE16" s="87">
        <f>'Seguros-Rastreamento'!$E$5</f>
        <v>0</v>
      </c>
      <c r="BF16" s="87">
        <f>'Seguros-Rastreamento'!$E$5</f>
        <v>0</v>
      </c>
      <c r="BG16" s="87">
        <f>'Seguros-Rastreamento'!$E$5</f>
        <v>0</v>
      </c>
      <c r="BH16" s="87">
        <f>'Seguros-Rastreamento'!$E$5</f>
        <v>0</v>
      </c>
      <c r="BI16" s="87">
        <f>'Seguros-Rastreamento'!$E$5</f>
        <v>0</v>
      </c>
      <c r="BJ16" s="87">
        <f>'Seguros-Rastreamento'!$E$5</f>
        <v>0</v>
      </c>
      <c r="BK16" s="87">
        <f>'Seguros-Rastreamento'!$E$5</f>
        <v>0</v>
      </c>
      <c r="BL16" s="87">
        <f>'Seguros-Rastreamento'!$E$5</f>
        <v>0</v>
      </c>
      <c r="BM16" s="87">
        <f>'Seguros-Rastreamento'!$E$5</f>
        <v>0</v>
      </c>
      <c r="BN16" s="87">
        <f>'Seguros-Rastreamento'!$E$5</f>
        <v>0</v>
      </c>
      <c r="BO16" s="87">
        <f>'Seguros-Rastreamento'!$E$5</f>
        <v>0</v>
      </c>
      <c r="BP16" s="87">
        <f>'Seguros-Rastreamento'!$E$5</f>
        <v>0</v>
      </c>
      <c r="BQ16" s="87">
        <f>'Seguros-Rastreamento'!$E$5</f>
        <v>0</v>
      </c>
      <c r="BR16" s="87">
        <f>'Seguros-Rastreamento'!$E$5</f>
        <v>0</v>
      </c>
      <c r="BS16" s="87"/>
      <c r="BT16" s="113"/>
    </row>
    <row r="17" spans="1:1004 1028:2030 2054:3056 3080:4082 4106:5108 5132:6134 6158:7160 7184:8186 8210:9212 9236:10238 10262:11264 11288:12287 12289:13289 13313:14315 14339:15341 15365:16367" x14ac:dyDescent="0.25">
      <c r="F17" s="17">
        <f t="shared" si="59"/>
        <v>8</v>
      </c>
      <c r="G17" s="20" t="s">
        <v>88</v>
      </c>
      <c r="H17" s="27"/>
      <c r="I17" s="27"/>
      <c r="J17" s="122">
        <f>'Seguros-Rastreamento'!$G$12</f>
        <v>0</v>
      </c>
      <c r="K17" s="122">
        <f>'Seguros-Rastreamento'!$G$12</f>
        <v>0</v>
      </c>
      <c r="L17" s="122">
        <f>'Seguros-Rastreamento'!$G$12</f>
        <v>0</v>
      </c>
      <c r="M17" s="122">
        <f>'Seguros-Rastreamento'!$G$12</f>
        <v>0</v>
      </c>
      <c r="N17" s="122">
        <f>'Seguros-Rastreamento'!$G$12</f>
        <v>0</v>
      </c>
      <c r="O17" s="122">
        <f>'Seguros-Rastreamento'!$G$12</f>
        <v>0</v>
      </c>
      <c r="P17" s="25"/>
      <c r="Q17" s="25"/>
      <c r="R17" s="25"/>
      <c r="S17" s="25"/>
      <c r="T17" s="25"/>
      <c r="U17" s="25"/>
      <c r="V17" s="25"/>
      <c r="W17" s="206">
        <f>'Seguros-Rastreamento'!$G$13</f>
        <v>0</v>
      </c>
      <c r="X17" s="206">
        <f>'Seguros-Rastreamento'!$G$13</f>
        <v>0</v>
      </c>
      <c r="Y17" s="206">
        <f>'Seguros-Rastreamento'!$G$13</f>
        <v>0</v>
      </c>
      <c r="Z17" s="206">
        <f>'Seguros-Rastreamento'!$G$13</f>
        <v>0</v>
      </c>
      <c r="AA17" s="206">
        <f>'Seguros-Rastreamento'!$G$13</f>
        <v>0</v>
      </c>
      <c r="AB17" s="206">
        <f>'Seguros-Rastreamento'!$G$13</f>
        <v>0</v>
      </c>
      <c r="AC17" s="25"/>
      <c r="AD17" s="25"/>
      <c r="AE17" s="25"/>
      <c r="AF17" s="25"/>
      <c r="AG17" s="25"/>
      <c r="AH17" s="206">
        <f>'Seguros-Rastreamento'!$G$14</f>
        <v>0</v>
      </c>
      <c r="AI17" s="206">
        <f>'Seguros-Rastreamento'!$G$14</f>
        <v>0</v>
      </c>
      <c r="AJ17" s="206">
        <f>'Seguros-Rastreamento'!$G$14</f>
        <v>0</v>
      </c>
      <c r="AK17" s="206">
        <f>'Seguros-Rastreamento'!$G$14</f>
        <v>0</v>
      </c>
      <c r="AL17" s="206">
        <f>'Seguros-Rastreamento'!$G$14</f>
        <v>0</v>
      </c>
      <c r="AM17" s="25"/>
      <c r="AN17" s="25"/>
      <c r="AT17" s="206">
        <f>'Seguros-Rastreamento'!$G$14</f>
        <v>0</v>
      </c>
      <c r="AU17" s="206">
        <f>'Seguros-Rastreamento'!$G$14</f>
        <v>0</v>
      </c>
      <c r="AV17" s="206">
        <f>'Seguros-Rastreamento'!$G$14</f>
        <v>0</v>
      </c>
      <c r="AW17" s="206">
        <f>'Seguros-Rastreamento'!$G$14</f>
        <v>0</v>
      </c>
      <c r="AX17" s="206">
        <f>'Seguros-Rastreamento'!$G$14</f>
        <v>0</v>
      </c>
      <c r="AY17" s="25"/>
      <c r="AZ17" s="25"/>
      <c r="BF17" s="206">
        <f>'Seguros-Rastreamento'!$G$14</f>
        <v>0</v>
      </c>
      <c r="BG17" s="206">
        <f>'Seguros-Rastreamento'!$G$14</f>
        <v>0</v>
      </c>
      <c r="BH17" s="206">
        <f>'Seguros-Rastreamento'!$G$14</f>
        <v>0</v>
      </c>
      <c r="BI17" s="206">
        <f>'Seguros-Rastreamento'!$G$14</f>
        <v>0</v>
      </c>
      <c r="BJ17" s="206">
        <f>'Seguros-Rastreamento'!$G$14</f>
        <v>0</v>
      </c>
      <c r="BK17" s="25"/>
      <c r="BL17" s="25"/>
      <c r="BR17" s="25"/>
      <c r="BS17" s="25"/>
      <c r="BT17" s="75"/>
    </row>
    <row r="18" spans="1:1004 1028:2030 2054:3056 3080:4082 4106:5108 5132:6134 6158:7160 7184:8186 8210:9212 9236:10238 10262:11264 11288:12287 12289:13289 13313:14315 14339:15341 15365:16367" s="95" customFormat="1" x14ac:dyDescent="0.25">
      <c r="F18" s="17">
        <f t="shared" si="59"/>
        <v>9</v>
      </c>
      <c r="G18" s="96" t="s">
        <v>89</v>
      </c>
      <c r="H18" s="97"/>
      <c r="I18" s="97"/>
      <c r="J18" s="122"/>
      <c r="K18" s="194">
        <f>Manutenção!$D$36</f>
        <v>0</v>
      </c>
      <c r="L18" s="194">
        <f>Manutenção!$D$36</f>
        <v>0</v>
      </c>
      <c r="M18" s="194">
        <f>Manutenção!$D$36</f>
        <v>0</v>
      </c>
      <c r="N18" s="194">
        <f>Manutenção!$D$36</f>
        <v>0</v>
      </c>
      <c r="O18" s="194">
        <f>Manutenção!$D$36</f>
        <v>0</v>
      </c>
      <c r="P18" s="194">
        <f>Manutenção!$D$36</f>
        <v>0</v>
      </c>
      <c r="Q18" s="194">
        <f>Manutenção!$D$36</f>
        <v>0</v>
      </c>
      <c r="R18" s="194">
        <f>Manutenção!$D$36</f>
        <v>0</v>
      </c>
      <c r="S18" s="194">
        <f>Manutenção!$D$36</f>
        <v>0</v>
      </c>
      <c r="T18" s="194">
        <f>Manutenção!$D$36</f>
        <v>0</v>
      </c>
      <c r="U18" s="194">
        <f>Manutenção!$D$36</f>
        <v>0</v>
      </c>
      <c r="V18" s="194">
        <f>Manutenção!$D$36</f>
        <v>0</v>
      </c>
      <c r="W18" s="194">
        <f>Manutenção!$F$36</f>
        <v>0</v>
      </c>
      <c r="X18" s="194">
        <f>Manutenção!$F$36</f>
        <v>0</v>
      </c>
      <c r="Y18" s="194">
        <f>Manutenção!$F$36</f>
        <v>0</v>
      </c>
      <c r="Z18" s="194">
        <f>Manutenção!$F$36</f>
        <v>0</v>
      </c>
      <c r="AA18" s="194">
        <f>Manutenção!$F$36</f>
        <v>0</v>
      </c>
      <c r="AB18" s="194">
        <f>Manutenção!$F$36</f>
        <v>0</v>
      </c>
      <c r="AC18" s="194">
        <f>Manutenção!$F$36</f>
        <v>0</v>
      </c>
      <c r="AD18" s="194">
        <f>Manutenção!$F$36</f>
        <v>0</v>
      </c>
      <c r="AE18" s="194">
        <f>Manutenção!$F$36</f>
        <v>0</v>
      </c>
      <c r="AF18" s="194">
        <f>Manutenção!$F$36</f>
        <v>0</v>
      </c>
      <c r="AG18" s="194">
        <f>Manutenção!$F$36</f>
        <v>0</v>
      </c>
      <c r="AH18" s="194">
        <f>Manutenção!$F$36</f>
        <v>0</v>
      </c>
      <c r="AI18" s="194">
        <f>Manutenção!$H$36</f>
        <v>0</v>
      </c>
      <c r="AJ18" s="194">
        <f>Manutenção!$H$36</f>
        <v>0</v>
      </c>
      <c r="AK18" s="194">
        <f>Manutenção!$H$36</f>
        <v>0</v>
      </c>
      <c r="AL18" s="194">
        <f>Manutenção!$H$36</f>
        <v>0</v>
      </c>
      <c r="AM18" s="194">
        <f>Manutenção!$H$36</f>
        <v>0</v>
      </c>
      <c r="AN18" s="194">
        <f>Manutenção!$H$36</f>
        <v>0</v>
      </c>
      <c r="AO18" s="194">
        <f>Manutenção!$H$36</f>
        <v>0</v>
      </c>
      <c r="AP18" s="194">
        <f>Manutenção!$H$36</f>
        <v>0</v>
      </c>
      <c r="AQ18" s="194">
        <f>Manutenção!$H$36</f>
        <v>0</v>
      </c>
      <c r="AR18" s="194">
        <f>Manutenção!$H$36</f>
        <v>0</v>
      </c>
      <c r="AS18" s="194">
        <f>Manutenção!$H$36</f>
        <v>0</v>
      </c>
      <c r="AT18" s="194">
        <f>Manutenção!$F$36</f>
        <v>0</v>
      </c>
      <c r="AU18" s="194">
        <f>Manutenção!$H$36</f>
        <v>0</v>
      </c>
      <c r="AV18" s="194">
        <f>Manutenção!$H$36</f>
        <v>0</v>
      </c>
      <c r="AW18" s="194">
        <f>Manutenção!$H$36</f>
        <v>0</v>
      </c>
      <c r="AX18" s="194">
        <f>Manutenção!$H$36</f>
        <v>0</v>
      </c>
      <c r="AY18" s="194">
        <f>Manutenção!$H$36</f>
        <v>0</v>
      </c>
      <c r="AZ18" s="194">
        <f>Manutenção!$H$36</f>
        <v>0</v>
      </c>
      <c r="BA18" s="194">
        <f>Manutenção!$H$36</f>
        <v>0</v>
      </c>
      <c r="BB18" s="194">
        <f>Manutenção!$H$36</f>
        <v>0</v>
      </c>
      <c r="BC18" s="194">
        <f>Manutenção!$H$36</f>
        <v>0</v>
      </c>
      <c r="BD18" s="194">
        <f>Manutenção!$H$36</f>
        <v>0</v>
      </c>
      <c r="BE18" s="194">
        <f>Manutenção!$H$36</f>
        <v>0</v>
      </c>
      <c r="BF18" s="194">
        <f>Manutenção!$F$36</f>
        <v>0</v>
      </c>
      <c r="BG18" s="194">
        <f>Manutenção!$H$36</f>
        <v>0</v>
      </c>
      <c r="BH18" s="194">
        <f>Manutenção!$H$36</f>
        <v>0</v>
      </c>
      <c r="BI18" s="194">
        <f>Manutenção!$H$36</f>
        <v>0</v>
      </c>
      <c r="BJ18" s="194">
        <f>Manutenção!$H$36</f>
        <v>0</v>
      </c>
      <c r="BK18" s="194">
        <f>Manutenção!$H$36</f>
        <v>0</v>
      </c>
      <c r="BL18" s="194">
        <f>Manutenção!$H$36</f>
        <v>0</v>
      </c>
      <c r="BM18" s="194">
        <f>Manutenção!$H$36</f>
        <v>0</v>
      </c>
      <c r="BN18" s="194">
        <f>Manutenção!$H$36</f>
        <v>0</v>
      </c>
      <c r="BO18" s="194">
        <f>Manutenção!$H$36</f>
        <v>0</v>
      </c>
      <c r="BP18" s="194">
        <f>Manutenção!$H$36</f>
        <v>0</v>
      </c>
      <c r="BQ18" s="194">
        <f>Manutenção!$H$36</f>
        <v>0</v>
      </c>
      <c r="BR18" s="194">
        <f>Manutenção!$J$36</f>
        <v>0</v>
      </c>
      <c r="BS18" s="97"/>
      <c r="BT18" s="97"/>
    </row>
    <row r="19" spans="1:1004 1028:2030 2054:3056 3080:4082 4106:5108 5132:6134 6158:7160 7184:8186 8210:9212 9236:10238 10262:11264 11288:12287 12289:13289 13313:14315 14339:15341 15365:16367" x14ac:dyDescent="0.25">
      <c r="F19" s="17">
        <f t="shared" si="59"/>
        <v>10</v>
      </c>
      <c r="G19" s="4"/>
      <c r="H19" s="28"/>
      <c r="I19" s="28"/>
      <c r="J19" s="15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</row>
    <row r="20" spans="1:1004 1028:2030 2054:3056 3080:4082 4106:5108 5132:6134 6158:7160 7184:8186 8210:9212 9236:10238 10262:11264 11288:12287 12289:13289 13313:14315 14339:15341 15365:16367" ht="29.1" customHeight="1" x14ac:dyDescent="0.25">
      <c r="F20" s="17">
        <f t="shared" si="59"/>
        <v>11</v>
      </c>
      <c r="G20" s="172" t="s">
        <v>90</v>
      </c>
      <c r="H20" s="28"/>
      <c r="I20" s="28"/>
      <c r="J20" s="15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</row>
    <row r="21" spans="1:1004 1028:2030 2054:3056 3080:4082 4106:5108 5132:6134 6158:7160 7184:8186 8210:9212 9236:10238 10262:11264 11288:12287 12289:13289 13313:14315 14339:15341 15365:16367" x14ac:dyDescent="0.25">
      <c r="F21" s="17">
        <f t="shared" si="59"/>
        <v>12</v>
      </c>
      <c r="G21" s="12" t="s">
        <v>91</v>
      </c>
      <c r="H21" s="13"/>
      <c r="I21" s="13"/>
      <c r="J21" s="13">
        <f>Dados!$C$41</f>
        <v>6772.9166666666661</v>
      </c>
      <c r="K21" s="13">
        <f>Dados!$C$41</f>
        <v>6772.9166666666661</v>
      </c>
      <c r="L21" s="13">
        <f>Dados!$C$41</f>
        <v>6772.9166666666661</v>
      </c>
      <c r="M21" s="13">
        <f>Dados!$C$41</f>
        <v>6772.9166666666661</v>
      </c>
      <c r="N21" s="13">
        <f>Dados!$C$41</f>
        <v>6772.9166666666661</v>
      </c>
      <c r="O21" s="13">
        <f>Dados!$C$41</f>
        <v>6772.9166666666661</v>
      </c>
      <c r="P21" s="13">
        <f>Dados!$C$41</f>
        <v>6772.9166666666661</v>
      </c>
      <c r="Q21" s="13">
        <f>Dados!$C$41</f>
        <v>6772.9166666666661</v>
      </c>
      <c r="R21" s="13">
        <f>Dados!$C$41</f>
        <v>6772.9166666666661</v>
      </c>
      <c r="S21" s="13">
        <f>Dados!$C$41</f>
        <v>6772.9166666666661</v>
      </c>
      <c r="T21" s="13">
        <f>Dados!$C$41</f>
        <v>6772.9166666666661</v>
      </c>
      <c r="U21" s="13">
        <f>Dados!$C$41</f>
        <v>6772.9166666666661</v>
      </c>
      <c r="V21" s="13">
        <f>Dados!$C$41</f>
        <v>6772.9166666666661</v>
      </c>
      <c r="W21" s="13">
        <f>Dados!$C$41</f>
        <v>6772.9166666666661</v>
      </c>
      <c r="X21" s="13">
        <f>Dados!$C$41</f>
        <v>6772.9166666666661</v>
      </c>
      <c r="Y21" s="13">
        <f>Dados!$C$41</f>
        <v>6772.9166666666661</v>
      </c>
      <c r="Z21" s="13">
        <f>Dados!$C$41</f>
        <v>6772.9166666666661</v>
      </c>
      <c r="AA21" s="13">
        <f>Dados!$C$41</f>
        <v>6772.9166666666661</v>
      </c>
      <c r="AB21" s="13">
        <f>Dados!$C$41</f>
        <v>6772.9166666666661</v>
      </c>
      <c r="AC21" s="13">
        <f>Dados!$C$41</f>
        <v>6772.9166666666661</v>
      </c>
      <c r="AD21" s="13">
        <f>Dados!$C$41</f>
        <v>6772.9166666666661</v>
      </c>
      <c r="AE21" s="13">
        <f>Dados!$C$41</f>
        <v>6772.9166666666661</v>
      </c>
      <c r="AF21" s="13">
        <f>Dados!$C$41</f>
        <v>6772.9166666666661</v>
      </c>
      <c r="AG21" s="13">
        <f>Dados!$C$41</f>
        <v>6772.9166666666661</v>
      </c>
      <c r="AH21" s="13">
        <f>Dados!$C$41</f>
        <v>6772.9166666666661</v>
      </c>
      <c r="AI21" s="13">
        <f>Dados!$C$41</f>
        <v>6772.9166666666661</v>
      </c>
      <c r="AJ21" s="13">
        <f>Dados!$C$41</f>
        <v>6772.9166666666661</v>
      </c>
      <c r="AK21" s="13">
        <f>Dados!$C$41</f>
        <v>6772.9166666666661</v>
      </c>
      <c r="AL21" s="13">
        <f>Dados!$C$41</f>
        <v>6772.9166666666661</v>
      </c>
      <c r="AM21" s="13">
        <f>Dados!$C$41</f>
        <v>6772.9166666666661</v>
      </c>
      <c r="AN21" s="13">
        <f>Dados!$C$41</f>
        <v>6772.9166666666661</v>
      </c>
      <c r="AO21" s="13">
        <f>Dados!$C$41</f>
        <v>6772.9166666666661</v>
      </c>
      <c r="AP21" s="13">
        <f>Dados!$C$41</f>
        <v>6772.9166666666661</v>
      </c>
      <c r="AQ21" s="13">
        <f>Dados!$C$41</f>
        <v>6772.9166666666661</v>
      </c>
      <c r="AR21" s="13">
        <f>Dados!$C$41</f>
        <v>6772.9166666666661</v>
      </c>
      <c r="AS21" s="13">
        <f>Dados!$C$41</f>
        <v>6772.9166666666661</v>
      </c>
      <c r="AT21" s="13">
        <f>Dados!$C$41</f>
        <v>6772.9166666666661</v>
      </c>
      <c r="AU21" s="13">
        <f>Dados!$C$41</f>
        <v>6772.9166666666661</v>
      </c>
      <c r="AV21" s="13">
        <f>Dados!$C$41</f>
        <v>6772.9166666666661</v>
      </c>
      <c r="AW21" s="13">
        <f>Dados!$C$41</f>
        <v>6772.9166666666661</v>
      </c>
      <c r="AX21" s="13">
        <f>Dados!$C$41</f>
        <v>6772.9166666666661</v>
      </c>
      <c r="AY21" s="13">
        <f>Dados!$C$41</f>
        <v>6772.9166666666661</v>
      </c>
      <c r="AZ21" s="13">
        <f>Dados!$C$41</f>
        <v>6772.9166666666661</v>
      </c>
      <c r="BA21" s="13">
        <f>Dados!$C$41</f>
        <v>6772.9166666666661</v>
      </c>
      <c r="BB21" s="13">
        <f>Dados!$C$41</f>
        <v>6772.9166666666661</v>
      </c>
      <c r="BC21" s="13">
        <f>Dados!$C$41</f>
        <v>6772.9166666666661</v>
      </c>
      <c r="BD21" s="13">
        <f>Dados!$C$41</f>
        <v>6772.9166666666661</v>
      </c>
      <c r="BE21" s="13">
        <f>Dados!$C$41</f>
        <v>6772.9166666666661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</row>
    <row r="22" spans="1:1004 1028:2030 2054:3056 3080:4082 4106:5108 5132:6134 6158:7160 7184:8186 8210:9212 9236:10238 10262:11264 11288:12287 12289:13289 13313:14315 14339:15341 15365:16367" x14ac:dyDescent="0.25">
      <c r="F22" s="17">
        <f t="shared" si="59"/>
        <v>13</v>
      </c>
    </row>
    <row r="23" spans="1:1004 1028:2030 2054:3056 3080:4082 4106:5108 5132:6134 6158:7160 7184:8186 8210:9212 9236:10238 10262:11264 11288:12287 12289:13289 13313:14315 14339:15341 15365:16367" x14ac:dyDescent="0.25">
      <c r="F23" s="17">
        <f t="shared" si="59"/>
        <v>14</v>
      </c>
    </row>
    <row r="24" spans="1:1004 1028:2030 2054:3056 3080:4082 4106:5108 5132:6134 6158:7160 7184:8186 8210:9212 9236:10238 10262:11264 11288:12287 12289:13289 13313:14315 14339:15341 15365:16367" x14ac:dyDescent="0.25">
      <c r="F24" s="17">
        <f t="shared" si="59"/>
        <v>15</v>
      </c>
      <c r="G24" s="16" t="s">
        <v>92</v>
      </c>
    </row>
    <row r="25" spans="1:1004 1028:2030 2054:3056 3080:4082 4106:5108 5132:6134 6158:7160 7184:8186 8210:9212 9236:10238 10262:11264 11288:12287 12289:13289 13313:14315 14339:15341 15365:16367" s="4" customFormat="1" x14ac:dyDescent="0.25">
      <c r="A25" s="5"/>
      <c r="C25" s="28"/>
      <c r="D25" s="28"/>
      <c r="E25" s="28"/>
      <c r="F25" s="17">
        <f t="shared" si="59"/>
        <v>16</v>
      </c>
      <c r="G25" s="12" t="str">
        <f>Dados!C21</f>
        <v>IGP-M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76"/>
      <c r="CE25" s="5"/>
      <c r="CG25" s="28"/>
      <c r="CH25" s="28"/>
      <c r="CI25"/>
      <c r="CJ25"/>
      <c r="CK25"/>
      <c r="DF25" s="5"/>
      <c r="DH25" s="28"/>
      <c r="DI25" s="28"/>
      <c r="EG25" s="5"/>
      <c r="EI25" s="28"/>
      <c r="EJ25" s="28"/>
      <c r="FH25" s="5"/>
      <c r="FJ25" s="28"/>
      <c r="FK25" s="28"/>
      <c r="GI25" s="5"/>
      <c r="GK25" s="28"/>
      <c r="GL25" s="28"/>
      <c r="HJ25" s="5"/>
      <c r="HL25" s="28"/>
      <c r="HM25" s="28"/>
      <c r="IK25" s="5"/>
      <c r="IM25" s="28"/>
      <c r="IN25" s="28"/>
      <c r="JL25" s="5"/>
      <c r="JN25" s="28"/>
      <c r="JO25" s="28"/>
      <c r="KM25" s="5"/>
      <c r="KO25" s="28"/>
      <c r="KP25" s="28"/>
      <c r="LN25" s="5"/>
      <c r="LP25" s="28"/>
      <c r="LQ25" s="28"/>
      <c r="MO25" s="5"/>
      <c r="MQ25" s="28"/>
      <c r="MR25" s="28"/>
      <c r="NP25" s="5"/>
      <c r="NR25" s="28"/>
      <c r="NS25" s="28"/>
      <c r="OQ25" s="5"/>
      <c r="OS25" s="28"/>
      <c r="OT25" s="28"/>
      <c r="PR25" s="5"/>
      <c r="PT25" s="28"/>
      <c r="PU25" s="28"/>
      <c r="QS25" s="5"/>
      <c r="QU25" s="28"/>
      <c r="QV25" s="28"/>
      <c r="RT25" s="5"/>
      <c r="RV25" s="28"/>
      <c r="RW25" s="28"/>
      <c r="SU25" s="5"/>
      <c r="SW25" s="28"/>
      <c r="SX25" s="28"/>
      <c r="TV25" s="5"/>
      <c r="TX25" s="28"/>
      <c r="TY25" s="28"/>
      <c r="UW25" s="5"/>
      <c r="UY25" s="28"/>
      <c r="UZ25" s="28"/>
      <c r="VX25" s="5"/>
      <c r="VZ25" s="28"/>
      <c r="WA25" s="28"/>
      <c r="WY25" s="5"/>
      <c r="XA25" s="28"/>
      <c r="XB25" s="28"/>
      <c r="XZ25" s="5"/>
      <c r="YB25" s="28"/>
      <c r="YC25" s="28"/>
      <c r="ZA25" s="5"/>
      <c r="ZC25" s="28"/>
      <c r="ZD25" s="28"/>
      <c r="AAB25" s="5"/>
      <c r="AAD25" s="28"/>
      <c r="AAE25" s="28"/>
      <c r="ABC25" s="5"/>
      <c r="ABE25" s="28"/>
      <c r="ABF25" s="28"/>
      <c r="ACD25" s="5"/>
      <c r="ACF25" s="28"/>
      <c r="ACG25" s="28"/>
      <c r="ADE25" s="5"/>
      <c r="ADG25" s="28"/>
      <c r="ADH25" s="28"/>
      <c r="AEF25" s="5"/>
      <c r="AEH25" s="28"/>
      <c r="AEI25" s="28"/>
      <c r="AFG25" s="5"/>
      <c r="AFI25" s="28"/>
      <c r="AFJ25" s="28"/>
      <c r="AGH25" s="5"/>
      <c r="AGJ25" s="28"/>
      <c r="AGK25" s="28"/>
      <c r="AHI25" s="5"/>
      <c r="AHK25" s="28"/>
      <c r="AHL25" s="28"/>
      <c r="AIJ25" s="5"/>
      <c r="AIL25" s="28"/>
      <c r="AIM25" s="28"/>
      <c r="AJK25" s="5"/>
      <c r="AJM25" s="28"/>
      <c r="AJN25" s="28"/>
      <c r="AKL25" s="5"/>
      <c r="AKN25" s="28"/>
      <c r="AKO25" s="28"/>
      <c r="ALM25" s="5"/>
      <c r="ALO25" s="28"/>
      <c r="ALP25" s="28"/>
      <c r="AMN25" s="5"/>
      <c r="AMP25" s="28"/>
      <c r="AMQ25" s="28"/>
      <c r="ANO25" s="5"/>
      <c r="ANQ25" s="28"/>
      <c r="ANR25" s="28"/>
      <c r="AOP25" s="5"/>
      <c r="AOR25" s="28"/>
      <c r="AOS25" s="28"/>
      <c r="APQ25" s="5"/>
      <c r="APS25" s="28"/>
      <c r="APT25" s="28"/>
      <c r="AQR25" s="5"/>
      <c r="AQT25" s="28"/>
      <c r="AQU25" s="28"/>
      <c r="ARS25" s="5"/>
      <c r="ARU25" s="28"/>
      <c r="ARV25" s="28"/>
      <c r="AST25" s="5"/>
      <c r="ASV25" s="28"/>
      <c r="ASW25" s="28"/>
      <c r="ATU25" s="5"/>
      <c r="ATW25" s="28"/>
      <c r="ATX25" s="28"/>
      <c r="AUV25" s="5"/>
      <c r="AUX25" s="28"/>
      <c r="AUY25" s="28"/>
      <c r="AVW25" s="5"/>
      <c r="AVY25" s="28"/>
      <c r="AVZ25" s="28"/>
      <c r="AWX25" s="5"/>
      <c r="AWZ25" s="28"/>
      <c r="AXA25" s="28"/>
      <c r="AXY25" s="5"/>
      <c r="AYA25" s="28"/>
      <c r="AYB25" s="28"/>
      <c r="AYZ25" s="5"/>
      <c r="AZB25" s="28"/>
      <c r="AZC25" s="28"/>
      <c r="BAA25" s="5"/>
      <c r="BAC25" s="28"/>
      <c r="BAD25" s="28"/>
      <c r="BBB25" s="5"/>
      <c r="BBD25" s="28"/>
      <c r="BBE25" s="28"/>
      <c r="BCC25" s="5"/>
      <c r="BCE25" s="28"/>
      <c r="BCF25" s="28"/>
      <c r="BDD25" s="5"/>
      <c r="BDF25" s="28"/>
      <c r="BDG25" s="28"/>
      <c r="BEE25" s="5"/>
      <c r="BEG25" s="28"/>
      <c r="BEH25" s="28"/>
      <c r="BFF25" s="5"/>
      <c r="BFH25" s="28"/>
      <c r="BFI25" s="28"/>
      <c r="BGG25" s="5"/>
      <c r="BGI25" s="28"/>
      <c r="BGJ25" s="28"/>
      <c r="BHH25" s="5"/>
      <c r="BHJ25" s="28"/>
      <c r="BHK25" s="28"/>
      <c r="BII25" s="5"/>
      <c r="BIK25" s="28"/>
      <c r="BIL25" s="28"/>
      <c r="BJJ25" s="5"/>
      <c r="BJL25" s="28"/>
      <c r="BJM25" s="28"/>
      <c r="BKK25" s="5"/>
      <c r="BKM25" s="28"/>
      <c r="BKN25" s="28"/>
      <c r="BLL25" s="5"/>
      <c r="BLN25" s="28"/>
      <c r="BLO25" s="28"/>
      <c r="BMM25" s="5"/>
      <c r="BMO25" s="28"/>
      <c r="BMP25" s="28"/>
      <c r="BNN25" s="5"/>
      <c r="BNP25" s="28"/>
      <c r="BNQ25" s="28"/>
      <c r="BOO25" s="5"/>
      <c r="BOQ25" s="28"/>
      <c r="BOR25" s="28"/>
      <c r="BPP25" s="5"/>
      <c r="BPR25" s="28"/>
      <c r="BPS25" s="28"/>
      <c r="BQQ25" s="5"/>
      <c r="BQS25" s="28"/>
      <c r="BQT25" s="28"/>
      <c r="BRR25" s="5"/>
      <c r="BRT25" s="28"/>
      <c r="BRU25" s="28"/>
      <c r="BSS25" s="5"/>
      <c r="BSU25" s="28"/>
      <c r="BSV25" s="28"/>
      <c r="BTT25" s="5"/>
      <c r="BTV25" s="28"/>
      <c r="BTW25" s="28"/>
      <c r="BUU25" s="5"/>
      <c r="BUW25" s="28"/>
      <c r="BUX25" s="28"/>
      <c r="BVV25" s="5"/>
      <c r="BVX25" s="28"/>
      <c r="BVY25" s="28"/>
      <c r="BWW25" s="5"/>
      <c r="BWY25" s="28"/>
      <c r="BWZ25" s="28"/>
      <c r="BXX25" s="5"/>
      <c r="BXZ25" s="28"/>
      <c r="BYA25" s="28"/>
      <c r="BYY25" s="5"/>
      <c r="BZA25" s="28"/>
      <c r="BZB25" s="28"/>
      <c r="BZZ25" s="5"/>
      <c r="CAB25" s="28"/>
      <c r="CAC25" s="28"/>
      <c r="CBA25" s="5"/>
      <c r="CBC25" s="28"/>
      <c r="CBD25" s="28"/>
      <c r="CCB25" s="5"/>
      <c r="CCD25" s="28"/>
      <c r="CCE25" s="28"/>
      <c r="CDC25" s="5"/>
      <c r="CDE25" s="28"/>
      <c r="CDF25" s="28"/>
      <c r="CED25" s="5"/>
      <c r="CEF25" s="28"/>
      <c r="CEG25" s="28"/>
      <c r="CFE25" s="5"/>
      <c r="CFG25" s="28"/>
      <c r="CFH25" s="28"/>
      <c r="CGF25" s="5"/>
      <c r="CGH25" s="28"/>
      <c r="CGI25" s="28"/>
      <c r="CHG25" s="5"/>
      <c r="CHI25" s="28"/>
      <c r="CHJ25" s="28"/>
      <c r="CIH25" s="5"/>
      <c r="CIJ25" s="28"/>
      <c r="CIK25" s="28"/>
      <c r="CJI25" s="5"/>
      <c r="CJK25" s="28"/>
      <c r="CJL25" s="28"/>
      <c r="CKJ25" s="5"/>
      <c r="CKL25" s="28"/>
      <c r="CKM25" s="28"/>
      <c r="CLK25" s="5"/>
      <c r="CLM25" s="28"/>
      <c r="CLN25" s="28"/>
      <c r="CML25" s="5"/>
      <c r="CMN25" s="28"/>
      <c r="CMO25" s="28"/>
      <c r="CNM25" s="5"/>
      <c r="CNO25" s="28"/>
      <c r="CNP25" s="28"/>
      <c r="CON25" s="5"/>
      <c r="COP25" s="28"/>
      <c r="COQ25" s="28"/>
      <c r="CPO25" s="5"/>
      <c r="CPQ25" s="28"/>
      <c r="CPR25" s="28"/>
      <c r="CQP25" s="5"/>
      <c r="CQR25" s="28"/>
      <c r="CQS25" s="28"/>
      <c r="CRQ25" s="5"/>
      <c r="CRS25" s="28"/>
      <c r="CRT25" s="28"/>
      <c r="CSR25" s="5"/>
      <c r="CST25" s="28"/>
      <c r="CSU25" s="28"/>
      <c r="CTS25" s="5"/>
      <c r="CTU25" s="28"/>
      <c r="CTV25" s="28"/>
      <c r="CUT25" s="5"/>
      <c r="CUV25" s="28"/>
      <c r="CUW25" s="28"/>
      <c r="CVU25" s="5"/>
      <c r="CVW25" s="28"/>
      <c r="CVX25" s="28"/>
      <c r="CWV25" s="5"/>
      <c r="CWX25" s="28"/>
      <c r="CWY25" s="28"/>
      <c r="CXW25" s="5"/>
      <c r="CXY25" s="28"/>
      <c r="CXZ25" s="28"/>
      <c r="CYX25" s="5"/>
      <c r="CYZ25" s="28"/>
      <c r="CZA25" s="28"/>
      <c r="CZY25" s="5"/>
      <c r="DAA25" s="28"/>
      <c r="DAB25" s="28"/>
      <c r="DAZ25" s="5"/>
      <c r="DBB25" s="28"/>
      <c r="DBC25" s="28"/>
      <c r="DCA25" s="5"/>
      <c r="DCC25" s="28"/>
      <c r="DCD25" s="28"/>
      <c r="DDB25" s="5"/>
      <c r="DDD25" s="28"/>
      <c r="DDE25" s="28"/>
      <c r="DEC25" s="5"/>
      <c r="DEE25" s="28"/>
      <c r="DEF25" s="28"/>
      <c r="DFD25" s="5"/>
      <c r="DFF25" s="28"/>
      <c r="DFG25" s="28"/>
      <c r="DGE25" s="5"/>
      <c r="DGG25" s="28"/>
      <c r="DGH25" s="28"/>
      <c r="DHF25" s="5"/>
      <c r="DHH25" s="28"/>
      <c r="DHI25" s="28"/>
      <c r="DIG25" s="5"/>
      <c r="DII25" s="28"/>
      <c r="DIJ25" s="28"/>
      <c r="DJH25" s="5"/>
      <c r="DJJ25" s="28"/>
      <c r="DJK25" s="28"/>
      <c r="DKI25" s="5"/>
      <c r="DKK25" s="28"/>
      <c r="DKL25" s="28"/>
      <c r="DLJ25" s="5"/>
      <c r="DLL25" s="28"/>
      <c r="DLM25" s="28"/>
      <c r="DMK25" s="5"/>
      <c r="DMM25" s="28"/>
      <c r="DMN25" s="28"/>
      <c r="DNL25" s="5"/>
      <c r="DNN25" s="28"/>
      <c r="DNO25" s="28"/>
      <c r="DOM25" s="5"/>
      <c r="DOO25" s="28"/>
      <c r="DOP25" s="28"/>
      <c r="DPN25" s="5"/>
      <c r="DPP25" s="28"/>
      <c r="DPQ25" s="28"/>
      <c r="DQO25" s="5"/>
      <c r="DQQ25" s="28"/>
      <c r="DQR25" s="28"/>
      <c r="DRP25" s="5"/>
      <c r="DRR25" s="28"/>
      <c r="DRS25" s="28"/>
      <c r="DSQ25" s="5"/>
      <c r="DSS25" s="28"/>
      <c r="DST25" s="28"/>
      <c r="DTR25" s="5"/>
      <c r="DTT25" s="28"/>
      <c r="DTU25" s="28"/>
      <c r="DUS25" s="5"/>
      <c r="DUU25" s="28"/>
      <c r="DUV25" s="28"/>
      <c r="DVT25" s="5"/>
      <c r="DVV25" s="28"/>
      <c r="DVW25" s="28"/>
      <c r="DWU25" s="5"/>
      <c r="DWW25" s="28"/>
      <c r="DWX25" s="28"/>
      <c r="DXV25" s="5"/>
      <c r="DXX25" s="28"/>
      <c r="DXY25" s="28"/>
      <c r="DYW25" s="5"/>
      <c r="DYY25" s="28"/>
      <c r="DYZ25" s="28"/>
      <c r="DZX25" s="5"/>
      <c r="DZZ25" s="28"/>
      <c r="EAA25" s="28"/>
      <c r="EAY25" s="5"/>
      <c r="EBA25" s="28"/>
      <c r="EBB25" s="28"/>
      <c r="EBZ25" s="5"/>
      <c r="ECB25" s="28"/>
      <c r="ECC25" s="28"/>
      <c r="EDA25" s="5"/>
      <c r="EDC25" s="28"/>
      <c r="EDD25" s="28"/>
      <c r="EEB25" s="5"/>
      <c r="EED25" s="28"/>
      <c r="EEE25" s="28"/>
      <c r="EFC25" s="5"/>
      <c r="EFE25" s="28"/>
      <c r="EFF25" s="28"/>
      <c r="EGD25" s="5"/>
      <c r="EGF25" s="28"/>
      <c r="EGG25" s="28"/>
      <c r="EHE25" s="5"/>
      <c r="EHG25" s="28"/>
      <c r="EHH25" s="28"/>
      <c r="EIF25" s="5"/>
      <c r="EIH25" s="28"/>
      <c r="EII25" s="28"/>
      <c r="EJG25" s="5"/>
      <c r="EJI25" s="28"/>
      <c r="EJJ25" s="28"/>
      <c r="EKH25" s="5"/>
      <c r="EKJ25" s="28"/>
      <c r="EKK25" s="28"/>
      <c r="ELI25" s="5"/>
      <c r="ELK25" s="28"/>
      <c r="ELL25" s="28"/>
      <c r="EMJ25" s="5"/>
      <c r="EML25" s="28"/>
      <c r="EMM25" s="28"/>
      <c r="ENK25" s="5"/>
      <c r="ENM25" s="28"/>
      <c r="ENN25" s="28"/>
      <c r="EOL25" s="5"/>
      <c r="EON25" s="28"/>
      <c r="EOO25" s="28"/>
      <c r="EPM25" s="5"/>
      <c r="EPO25" s="28"/>
      <c r="EPP25" s="28"/>
      <c r="EQN25" s="5"/>
      <c r="EQP25" s="28"/>
      <c r="EQQ25" s="28"/>
      <c r="ERO25" s="5"/>
      <c r="ERQ25" s="28"/>
      <c r="ERR25" s="28"/>
      <c r="ESP25" s="5"/>
      <c r="ESR25" s="28"/>
      <c r="ESS25" s="28"/>
      <c r="ETQ25" s="5"/>
      <c r="ETS25" s="28"/>
      <c r="ETT25" s="28"/>
      <c r="EUR25" s="5"/>
      <c r="EUT25" s="28"/>
      <c r="EUU25" s="28"/>
      <c r="EVS25" s="5"/>
      <c r="EVU25" s="28"/>
      <c r="EVV25" s="28"/>
      <c r="EWT25" s="5"/>
      <c r="EWV25" s="28"/>
      <c r="EWW25" s="28"/>
      <c r="EXU25" s="5"/>
      <c r="EXW25" s="28"/>
      <c r="EXX25" s="28"/>
      <c r="EYV25" s="5"/>
      <c r="EYX25" s="28"/>
      <c r="EYY25" s="28"/>
      <c r="EZW25" s="5"/>
      <c r="EZY25" s="28"/>
      <c r="EZZ25" s="28"/>
      <c r="FAX25" s="5"/>
      <c r="FAZ25" s="28"/>
      <c r="FBA25" s="28"/>
      <c r="FBY25" s="5"/>
      <c r="FCA25" s="28"/>
      <c r="FCB25" s="28"/>
      <c r="FCZ25" s="5"/>
      <c r="FDB25" s="28"/>
      <c r="FDC25" s="28"/>
      <c r="FEA25" s="5"/>
      <c r="FEC25" s="28"/>
      <c r="FED25" s="28"/>
      <c r="FFB25" s="5"/>
      <c r="FFD25" s="28"/>
      <c r="FFE25" s="28"/>
      <c r="FGC25" s="5"/>
      <c r="FGE25" s="28"/>
      <c r="FGF25" s="28"/>
      <c r="FHD25" s="5"/>
      <c r="FHF25" s="28"/>
      <c r="FHG25" s="28"/>
      <c r="FIE25" s="5"/>
      <c r="FIG25" s="28"/>
      <c r="FIH25" s="28"/>
      <c r="FJF25" s="5"/>
      <c r="FJH25" s="28"/>
      <c r="FJI25" s="28"/>
      <c r="FKG25" s="5"/>
      <c r="FKI25" s="28"/>
      <c r="FKJ25" s="28"/>
      <c r="FLH25" s="5"/>
      <c r="FLJ25" s="28"/>
      <c r="FLK25" s="28"/>
      <c r="FMI25" s="5"/>
      <c r="FMK25" s="28"/>
      <c r="FML25" s="28"/>
      <c r="FNJ25" s="5"/>
      <c r="FNL25" s="28"/>
      <c r="FNM25" s="28"/>
      <c r="FOK25" s="5"/>
      <c r="FOM25" s="28"/>
      <c r="FON25" s="28"/>
      <c r="FPL25" s="5"/>
      <c r="FPN25" s="28"/>
      <c r="FPO25" s="28"/>
      <c r="FQM25" s="5"/>
      <c r="FQO25" s="28"/>
      <c r="FQP25" s="28"/>
      <c r="FRN25" s="5"/>
      <c r="FRP25" s="28"/>
      <c r="FRQ25" s="28"/>
      <c r="FSO25" s="5"/>
      <c r="FSQ25" s="28"/>
      <c r="FSR25" s="28"/>
      <c r="FTP25" s="5"/>
      <c r="FTR25" s="28"/>
      <c r="FTS25" s="28"/>
      <c r="FUQ25" s="5"/>
      <c r="FUS25" s="28"/>
      <c r="FUT25" s="28"/>
      <c r="FVR25" s="5"/>
      <c r="FVT25" s="28"/>
      <c r="FVU25" s="28"/>
      <c r="FWS25" s="5"/>
      <c r="FWU25" s="28"/>
      <c r="FWV25" s="28"/>
      <c r="FXT25" s="5"/>
      <c r="FXV25" s="28"/>
      <c r="FXW25" s="28"/>
      <c r="FYU25" s="5"/>
      <c r="FYW25" s="28"/>
      <c r="FYX25" s="28"/>
      <c r="FZV25" s="5"/>
      <c r="FZX25" s="28"/>
      <c r="FZY25" s="28"/>
      <c r="GAW25" s="5"/>
      <c r="GAY25" s="28"/>
      <c r="GAZ25" s="28"/>
      <c r="GBX25" s="5"/>
      <c r="GBZ25" s="28"/>
      <c r="GCA25" s="28"/>
      <c r="GCY25" s="5"/>
      <c r="GDA25" s="28"/>
      <c r="GDB25" s="28"/>
      <c r="GDZ25" s="5"/>
      <c r="GEB25" s="28"/>
      <c r="GEC25" s="28"/>
      <c r="GFA25" s="5"/>
      <c r="GFC25" s="28"/>
      <c r="GFD25" s="28"/>
      <c r="GGB25" s="5"/>
      <c r="GGD25" s="28"/>
      <c r="GGE25" s="28"/>
      <c r="GHC25" s="5"/>
      <c r="GHE25" s="28"/>
      <c r="GHF25" s="28"/>
      <c r="GID25" s="5"/>
      <c r="GIF25" s="28"/>
      <c r="GIG25" s="28"/>
      <c r="GJE25" s="5"/>
      <c r="GJG25" s="28"/>
      <c r="GJH25" s="28"/>
      <c r="GKF25" s="5"/>
      <c r="GKH25" s="28"/>
      <c r="GKI25" s="28"/>
      <c r="GLG25" s="5"/>
      <c r="GLI25" s="28"/>
      <c r="GLJ25" s="28"/>
      <c r="GMH25" s="5"/>
      <c r="GMJ25" s="28"/>
      <c r="GMK25" s="28"/>
      <c r="GNI25" s="5"/>
      <c r="GNK25" s="28"/>
      <c r="GNL25" s="28"/>
      <c r="GOJ25" s="5"/>
      <c r="GOL25" s="28"/>
      <c r="GOM25" s="28"/>
      <c r="GPK25" s="5"/>
      <c r="GPM25" s="28"/>
      <c r="GPN25" s="28"/>
      <c r="GQL25" s="5"/>
      <c r="GQN25" s="28"/>
      <c r="GQO25" s="28"/>
      <c r="GRM25" s="5"/>
      <c r="GRO25" s="28"/>
      <c r="GRP25" s="28"/>
      <c r="GSN25" s="5"/>
      <c r="GSP25" s="28"/>
      <c r="GSQ25" s="28"/>
      <c r="GTO25" s="5"/>
      <c r="GTQ25" s="28"/>
      <c r="GTR25" s="28"/>
      <c r="GUP25" s="5"/>
      <c r="GUR25" s="28"/>
      <c r="GUS25" s="28"/>
      <c r="GVQ25" s="5"/>
      <c r="GVS25" s="28"/>
      <c r="GVT25" s="28"/>
      <c r="GWR25" s="5"/>
      <c r="GWT25" s="28"/>
      <c r="GWU25" s="28"/>
      <c r="GXS25" s="5"/>
      <c r="GXU25" s="28"/>
      <c r="GXV25" s="28"/>
      <c r="GYT25" s="5"/>
      <c r="GYV25" s="28"/>
      <c r="GYW25" s="28"/>
      <c r="GZU25" s="5"/>
      <c r="GZW25" s="28"/>
      <c r="GZX25" s="28"/>
      <c r="HAV25" s="5"/>
      <c r="HAX25" s="28"/>
      <c r="HAY25" s="28"/>
      <c r="HBW25" s="5"/>
      <c r="HBY25" s="28"/>
      <c r="HBZ25" s="28"/>
      <c r="HCX25" s="5"/>
      <c r="HCZ25" s="28"/>
      <c r="HDA25" s="28"/>
      <c r="HDY25" s="5"/>
      <c r="HEA25" s="28"/>
      <c r="HEB25" s="28"/>
      <c r="HEZ25" s="5"/>
      <c r="HFB25" s="28"/>
      <c r="HFC25" s="28"/>
      <c r="HGA25" s="5"/>
      <c r="HGC25" s="28"/>
      <c r="HGD25" s="28"/>
      <c r="HHB25" s="5"/>
      <c r="HHD25" s="28"/>
      <c r="HHE25" s="28"/>
      <c r="HIC25" s="5"/>
      <c r="HIE25" s="28"/>
      <c r="HIF25" s="28"/>
      <c r="HJD25" s="5"/>
      <c r="HJF25" s="28"/>
      <c r="HJG25" s="28"/>
      <c r="HKE25" s="5"/>
      <c r="HKG25" s="28"/>
      <c r="HKH25" s="28"/>
      <c r="HLF25" s="5"/>
      <c r="HLH25" s="28"/>
      <c r="HLI25" s="28"/>
      <c r="HMG25" s="5"/>
      <c r="HMI25" s="28"/>
      <c r="HMJ25" s="28"/>
      <c r="HNH25" s="5"/>
      <c r="HNJ25" s="28"/>
      <c r="HNK25" s="28"/>
      <c r="HOI25" s="5"/>
      <c r="HOK25" s="28"/>
      <c r="HOL25" s="28"/>
      <c r="HPJ25" s="5"/>
      <c r="HPL25" s="28"/>
      <c r="HPM25" s="28"/>
      <c r="HQK25" s="5"/>
      <c r="HQM25" s="28"/>
      <c r="HQN25" s="28"/>
      <c r="HRL25" s="5"/>
      <c r="HRN25" s="28"/>
      <c r="HRO25" s="28"/>
      <c r="HSM25" s="5"/>
      <c r="HSO25" s="28"/>
      <c r="HSP25" s="28"/>
      <c r="HTN25" s="5"/>
      <c r="HTP25" s="28"/>
      <c r="HTQ25" s="28"/>
      <c r="HUO25" s="5"/>
      <c r="HUQ25" s="28"/>
      <c r="HUR25" s="28"/>
      <c r="HVP25" s="5"/>
      <c r="HVR25" s="28"/>
      <c r="HVS25" s="28"/>
      <c r="HWQ25" s="5"/>
      <c r="HWS25" s="28"/>
      <c r="HWT25" s="28"/>
      <c r="HXR25" s="5"/>
      <c r="HXT25" s="28"/>
      <c r="HXU25" s="28"/>
      <c r="HYS25" s="5"/>
      <c r="HYU25" s="28"/>
      <c r="HYV25" s="28"/>
      <c r="HZT25" s="5"/>
      <c r="HZV25" s="28"/>
      <c r="HZW25" s="28"/>
      <c r="IAU25" s="5"/>
      <c r="IAW25" s="28"/>
      <c r="IAX25" s="28"/>
      <c r="IBV25" s="5"/>
      <c r="IBX25" s="28"/>
      <c r="IBY25" s="28"/>
      <c r="ICW25" s="5"/>
      <c r="ICY25" s="28"/>
      <c r="ICZ25" s="28"/>
      <c r="IDX25" s="5"/>
      <c r="IDZ25" s="28"/>
      <c r="IEA25" s="28"/>
      <c r="IEY25" s="5"/>
      <c r="IFA25" s="28"/>
      <c r="IFB25" s="28"/>
      <c r="IFZ25" s="5"/>
      <c r="IGB25" s="28"/>
      <c r="IGC25" s="28"/>
      <c r="IHA25" s="5"/>
      <c r="IHC25" s="28"/>
      <c r="IHD25" s="28"/>
      <c r="IIB25" s="5"/>
      <c r="IID25" s="28"/>
      <c r="IIE25" s="28"/>
      <c r="IJC25" s="5"/>
      <c r="IJE25" s="28"/>
      <c r="IJF25" s="28"/>
      <c r="IKD25" s="5"/>
      <c r="IKF25" s="28"/>
      <c r="IKG25" s="28"/>
      <c r="ILE25" s="5"/>
      <c r="ILG25" s="28"/>
      <c r="ILH25" s="28"/>
      <c r="IMF25" s="5"/>
      <c r="IMH25" s="28"/>
      <c r="IMI25" s="28"/>
      <c r="ING25" s="5"/>
      <c r="INI25" s="28"/>
      <c r="INJ25" s="28"/>
      <c r="IOH25" s="5"/>
      <c r="IOJ25" s="28"/>
      <c r="IOK25" s="28"/>
      <c r="IPI25" s="5"/>
      <c r="IPK25" s="28"/>
      <c r="IPL25" s="28"/>
      <c r="IQJ25" s="5"/>
      <c r="IQL25" s="28"/>
      <c r="IQM25" s="28"/>
      <c r="IRK25" s="5"/>
      <c r="IRM25" s="28"/>
      <c r="IRN25" s="28"/>
      <c r="ISL25" s="5"/>
      <c r="ISN25" s="28"/>
      <c r="ISO25" s="28"/>
      <c r="ITM25" s="5"/>
      <c r="ITO25" s="28"/>
      <c r="ITP25" s="28"/>
      <c r="IUN25" s="5"/>
      <c r="IUP25" s="28"/>
      <c r="IUQ25" s="28"/>
      <c r="IVO25" s="5"/>
      <c r="IVQ25" s="28"/>
      <c r="IVR25" s="28"/>
      <c r="IWP25" s="5"/>
      <c r="IWR25" s="28"/>
      <c r="IWS25" s="28"/>
      <c r="IXQ25" s="5"/>
      <c r="IXS25" s="28"/>
      <c r="IXT25" s="28"/>
      <c r="IYR25" s="5"/>
      <c r="IYT25" s="28"/>
      <c r="IYU25" s="28"/>
      <c r="IZS25" s="5"/>
      <c r="IZU25" s="28"/>
      <c r="IZV25" s="28"/>
      <c r="JAT25" s="5"/>
      <c r="JAV25" s="28"/>
      <c r="JAW25" s="28"/>
      <c r="JBU25" s="5"/>
      <c r="JBW25" s="28"/>
      <c r="JBX25" s="28"/>
      <c r="JCV25" s="5"/>
      <c r="JCX25" s="28"/>
      <c r="JCY25" s="28"/>
      <c r="JDW25" s="5"/>
      <c r="JDY25" s="28"/>
      <c r="JDZ25" s="28"/>
      <c r="JEX25" s="5"/>
      <c r="JEZ25" s="28"/>
      <c r="JFA25" s="28"/>
      <c r="JFY25" s="5"/>
      <c r="JGA25" s="28"/>
      <c r="JGB25" s="28"/>
      <c r="JGZ25" s="5"/>
      <c r="JHB25" s="28"/>
      <c r="JHC25" s="28"/>
      <c r="JIA25" s="5"/>
      <c r="JIC25" s="28"/>
      <c r="JID25" s="28"/>
      <c r="JJB25" s="5"/>
      <c r="JJD25" s="28"/>
      <c r="JJE25" s="28"/>
      <c r="JKC25" s="5"/>
      <c r="JKE25" s="28"/>
      <c r="JKF25" s="28"/>
      <c r="JLD25" s="5"/>
      <c r="JLF25" s="28"/>
      <c r="JLG25" s="28"/>
      <c r="JME25" s="5"/>
      <c r="JMG25" s="28"/>
      <c r="JMH25" s="28"/>
      <c r="JNF25" s="5"/>
      <c r="JNH25" s="28"/>
      <c r="JNI25" s="28"/>
      <c r="JOG25" s="5"/>
      <c r="JOI25" s="28"/>
      <c r="JOJ25" s="28"/>
      <c r="JPH25" s="5"/>
      <c r="JPJ25" s="28"/>
      <c r="JPK25" s="28"/>
      <c r="JQI25" s="5"/>
      <c r="JQK25" s="28"/>
      <c r="JQL25" s="28"/>
      <c r="JRJ25" s="5"/>
      <c r="JRL25" s="28"/>
      <c r="JRM25" s="28"/>
      <c r="JSK25" s="5"/>
      <c r="JSM25" s="28"/>
      <c r="JSN25" s="28"/>
      <c r="JTL25" s="5"/>
      <c r="JTN25" s="28"/>
      <c r="JTO25" s="28"/>
      <c r="JUM25" s="5"/>
      <c r="JUO25" s="28"/>
      <c r="JUP25" s="28"/>
      <c r="JVN25" s="5"/>
      <c r="JVP25" s="28"/>
      <c r="JVQ25" s="28"/>
      <c r="JWO25" s="5"/>
      <c r="JWQ25" s="28"/>
      <c r="JWR25" s="28"/>
      <c r="JXP25" s="5"/>
      <c r="JXR25" s="28"/>
      <c r="JXS25" s="28"/>
      <c r="JYQ25" s="5"/>
      <c r="JYS25" s="28"/>
      <c r="JYT25" s="28"/>
      <c r="JZR25" s="5"/>
      <c r="JZT25" s="28"/>
      <c r="JZU25" s="28"/>
      <c r="KAS25" s="5"/>
      <c r="KAU25" s="28"/>
      <c r="KAV25" s="28"/>
      <c r="KBT25" s="5"/>
      <c r="KBV25" s="28"/>
      <c r="KBW25" s="28"/>
      <c r="KCU25" s="5"/>
      <c r="KCW25" s="28"/>
      <c r="KCX25" s="28"/>
      <c r="KDV25" s="5"/>
      <c r="KDX25" s="28"/>
      <c r="KDY25" s="28"/>
      <c r="KEW25" s="5"/>
      <c r="KEY25" s="28"/>
      <c r="KEZ25" s="28"/>
      <c r="KFX25" s="5"/>
      <c r="KFZ25" s="28"/>
      <c r="KGA25" s="28"/>
      <c r="KGY25" s="5"/>
      <c r="KHA25" s="28"/>
      <c r="KHB25" s="28"/>
      <c r="KHZ25" s="5"/>
      <c r="KIB25" s="28"/>
      <c r="KIC25" s="28"/>
      <c r="KJA25" s="5"/>
      <c r="KJC25" s="28"/>
      <c r="KJD25" s="28"/>
      <c r="KKB25" s="5"/>
      <c r="KKD25" s="28"/>
      <c r="KKE25" s="28"/>
      <c r="KLC25" s="5"/>
      <c r="KLE25" s="28"/>
      <c r="KLF25" s="28"/>
      <c r="KMD25" s="5"/>
      <c r="KMF25" s="28"/>
      <c r="KMG25" s="28"/>
      <c r="KNE25" s="5"/>
      <c r="KNG25" s="28"/>
      <c r="KNH25" s="28"/>
      <c r="KOF25" s="5"/>
      <c r="KOH25" s="28"/>
      <c r="KOI25" s="28"/>
      <c r="KPG25" s="5"/>
      <c r="KPI25" s="28"/>
      <c r="KPJ25" s="28"/>
      <c r="KQH25" s="5"/>
      <c r="KQJ25" s="28"/>
      <c r="KQK25" s="28"/>
      <c r="KRI25" s="5"/>
      <c r="KRK25" s="28"/>
      <c r="KRL25" s="28"/>
      <c r="KSJ25" s="5"/>
      <c r="KSL25" s="28"/>
      <c r="KSM25" s="28"/>
      <c r="KTK25" s="5"/>
      <c r="KTM25" s="28"/>
      <c r="KTN25" s="28"/>
      <c r="KUL25" s="5"/>
      <c r="KUN25" s="28"/>
      <c r="KUO25" s="28"/>
      <c r="KVM25" s="5"/>
      <c r="KVO25" s="28"/>
      <c r="KVP25" s="28"/>
      <c r="KWN25" s="5"/>
      <c r="KWP25" s="28"/>
      <c r="KWQ25" s="28"/>
      <c r="KXO25" s="5"/>
      <c r="KXQ25" s="28"/>
      <c r="KXR25" s="28"/>
      <c r="KYP25" s="5"/>
      <c r="KYR25" s="28"/>
      <c r="KYS25" s="28"/>
      <c r="KZQ25" s="5"/>
      <c r="KZS25" s="28"/>
      <c r="KZT25" s="28"/>
      <c r="LAR25" s="5"/>
      <c r="LAT25" s="28"/>
      <c r="LAU25" s="28"/>
      <c r="LBS25" s="5"/>
      <c r="LBU25" s="28"/>
      <c r="LBV25" s="28"/>
      <c r="LCT25" s="5"/>
      <c r="LCV25" s="28"/>
      <c r="LCW25" s="28"/>
      <c r="LDU25" s="5"/>
      <c r="LDW25" s="28"/>
      <c r="LDX25" s="28"/>
      <c r="LEV25" s="5"/>
      <c r="LEX25" s="28"/>
      <c r="LEY25" s="28"/>
      <c r="LFW25" s="5"/>
      <c r="LFY25" s="28"/>
      <c r="LFZ25" s="28"/>
      <c r="LGX25" s="5"/>
      <c r="LGZ25" s="28"/>
      <c r="LHA25" s="28"/>
      <c r="LHY25" s="5"/>
      <c r="LIA25" s="28"/>
      <c r="LIB25" s="28"/>
      <c r="LIZ25" s="5"/>
      <c r="LJB25" s="28"/>
      <c r="LJC25" s="28"/>
      <c r="LKA25" s="5"/>
      <c r="LKC25" s="28"/>
      <c r="LKD25" s="28"/>
      <c r="LLB25" s="5"/>
      <c r="LLD25" s="28"/>
      <c r="LLE25" s="28"/>
      <c r="LMC25" s="5"/>
      <c r="LME25" s="28"/>
      <c r="LMF25" s="28"/>
      <c r="LND25" s="5"/>
      <c r="LNF25" s="28"/>
      <c r="LNG25" s="28"/>
      <c r="LOE25" s="5"/>
      <c r="LOG25" s="28"/>
      <c r="LOH25" s="28"/>
      <c r="LPF25" s="5"/>
      <c r="LPH25" s="28"/>
      <c r="LPI25" s="28"/>
      <c r="LQG25" s="5"/>
      <c r="LQI25" s="28"/>
      <c r="LQJ25" s="28"/>
      <c r="LRH25" s="5"/>
      <c r="LRJ25" s="28"/>
      <c r="LRK25" s="28"/>
      <c r="LSI25" s="5"/>
      <c r="LSK25" s="28"/>
      <c r="LSL25" s="28"/>
      <c r="LTJ25" s="5"/>
      <c r="LTL25" s="28"/>
      <c r="LTM25" s="28"/>
      <c r="LUK25" s="5"/>
      <c r="LUM25" s="28"/>
      <c r="LUN25" s="28"/>
      <c r="LVL25" s="5"/>
      <c r="LVN25" s="28"/>
      <c r="LVO25" s="28"/>
      <c r="LWM25" s="5"/>
      <c r="LWO25" s="28"/>
      <c r="LWP25" s="28"/>
      <c r="LXN25" s="5"/>
      <c r="LXP25" s="28"/>
      <c r="LXQ25" s="28"/>
      <c r="LYO25" s="5"/>
      <c r="LYQ25" s="28"/>
      <c r="LYR25" s="28"/>
      <c r="LZP25" s="5"/>
      <c r="LZR25" s="28"/>
      <c r="LZS25" s="28"/>
      <c r="MAQ25" s="5"/>
      <c r="MAS25" s="28"/>
      <c r="MAT25" s="28"/>
      <c r="MBR25" s="5"/>
      <c r="MBT25" s="28"/>
      <c r="MBU25" s="28"/>
      <c r="MCS25" s="5"/>
      <c r="MCU25" s="28"/>
      <c r="MCV25" s="28"/>
      <c r="MDT25" s="5"/>
      <c r="MDV25" s="28"/>
      <c r="MDW25" s="28"/>
      <c r="MEU25" s="5"/>
      <c r="MEW25" s="28"/>
      <c r="MEX25" s="28"/>
      <c r="MFV25" s="5"/>
      <c r="MFX25" s="28"/>
      <c r="MFY25" s="28"/>
      <c r="MGW25" s="5"/>
      <c r="MGY25" s="28"/>
      <c r="MGZ25" s="28"/>
      <c r="MHX25" s="5"/>
      <c r="MHZ25" s="28"/>
      <c r="MIA25" s="28"/>
      <c r="MIY25" s="5"/>
      <c r="MJA25" s="28"/>
      <c r="MJB25" s="28"/>
      <c r="MJZ25" s="5"/>
      <c r="MKB25" s="28"/>
      <c r="MKC25" s="28"/>
      <c r="MLA25" s="5"/>
      <c r="MLC25" s="28"/>
      <c r="MLD25" s="28"/>
      <c r="MMB25" s="5"/>
      <c r="MMD25" s="28"/>
      <c r="MME25" s="28"/>
      <c r="MNC25" s="5"/>
      <c r="MNE25" s="28"/>
      <c r="MNF25" s="28"/>
      <c r="MOD25" s="5"/>
      <c r="MOF25" s="28"/>
      <c r="MOG25" s="28"/>
      <c r="MPE25" s="5"/>
      <c r="MPG25" s="28"/>
      <c r="MPH25" s="28"/>
      <c r="MQF25" s="5"/>
      <c r="MQH25" s="28"/>
      <c r="MQI25" s="28"/>
      <c r="MRG25" s="5"/>
      <c r="MRI25" s="28"/>
      <c r="MRJ25" s="28"/>
      <c r="MSH25" s="5"/>
      <c r="MSJ25" s="28"/>
      <c r="MSK25" s="28"/>
      <c r="MTI25" s="5"/>
      <c r="MTK25" s="28"/>
      <c r="MTL25" s="28"/>
      <c r="MUJ25" s="5"/>
      <c r="MUL25" s="28"/>
      <c r="MUM25" s="28"/>
      <c r="MVK25" s="5"/>
      <c r="MVM25" s="28"/>
      <c r="MVN25" s="28"/>
      <c r="MWL25" s="5"/>
      <c r="MWN25" s="28"/>
      <c r="MWO25" s="28"/>
      <c r="MXM25" s="5"/>
      <c r="MXO25" s="28"/>
      <c r="MXP25" s="28"/>
      <c r="MYN25" s="5"/>
      <c r="MYP25" s="28"/>
      <c r="MYQ25" s="28"/>
      <c r="MZO25" s="5"/>
      <c r="MZQ25" s="28"/>
      <c r="MZR25" s="28"/>
      <c r="NAP25" s="5"/>
      <c r="NAR25" s="28"/>
      <c r="NAS25" s="28"/>
      <c r="NBQ25" s="5"/>
      <c r="NBS25" s="28"/>
      <c r="NBT25" s="28"/>
      <c r="NCR25" s="5"/>
      <c r="NCT25" s="28"/>
      <c r="NCU25" s="28"/>
      <c r="NDS25" s="5"/>
      <c r="NDU25" s="28"/>
      <c r="NDV25" s="28"/>
      <c r="NET25" s="5"/>
      <c r="NEV25" s="28"/>
      <c r="NEW25" s="28"/>
      <c r="NFU25" s="5"/>
      <c r="NFW25" s="28"/>
      <c r="NFX25" s="28"/>
      <c r="NGV25" s="5"/>
      <c r="NGX25" s="28"/>
      <c r="NGY25" s="28"/>
      <c r="NHW25" s="5"/>
      <c r="NHY25" s="28"/>
      <c r="NHZ25" s="28"/>
      <c r="NIX25" s="5"/>
      <c r="NIZ25" s="28"/>
      <c r="NJA25" s="28"/>
      <c r="NJY25" s="5"/>
      <c r="NKA25" s="28"/>
      <c r="NKB25" s="28"/>
      <c r="NKZ25" s="5"/>
      <c r="NLB25" s="28"/>
      <c r="NLC25" s="28"/>
      <c r="NMA25" s="5"/>
      <c r="NMC25" s="28"/>
      <c r="NMD25" s="28"/>
      <c r="NNB25" s="5"/>
      <c r="NND25" s="28"/>
      <c r="NNE25" s="28"/>
      <c r="NOC25" s="5"/>
      <c r="NOE25" s="28"/>
      <c r="NOF25" s="28"/>
      <c r="NPD25" s="5"/>
      <c r="NPF25" s="28"/>
      <c r="NPG25" s="28"/>
      <c r="NQE25" s="5"/>
      <c r="NQG25" s="28"/>
      <c r="NQH25" s="28"/>
      <c r="NRF25" s="5"/>
      <c r="NRH25" s="28"/>
      <c r="NRI25" s="28"/>
      <c r="NSG25" s="5"/>
      <c r="NSI25" s="28"/>
      <c r="NSJ25" s="28"/>
      <c r="NTH25" s="5"/>
      <c r="NTJ25" s="28"/>
      <c r="NTK25" s="28"/>
      <c r="NUI25" s="5"/>
      <c r="NUK25" s="28"/>
      <c r="NUL25" s="28"/>
      <c r="NVJ25" s="5"/>
      <c r="NVL25" s="28"/>
      <c r="NVM25" s="28"/>
      <c r="NWK25" s="5"/>
      <c r="NWM25" s="28"/>
      <c r="NWN25" s="28"/>
      <c r="NXL25" s="5"/>
      <c r="NXN25" s="28"/>
      <c r="NXO25" s="28"/>
      <c r="NYM25" s="5"/>
      <c r="NYO25" s="28"/>
      <c r="NYP25" s="28"/>
      <c r="NZN25" s="5"/>
      <c r="NZP25" s="28"/>
      <c r="NZQ25" s="28"/>
      <c r="OAO25" s="5"/>
      <c r="OAQ25" s="28"/>
      <c r="OAR25" s="28"/>
      <c r="OBP25" s="5"/>
      <c r="OBR25" s="28"/>
      <c r="OBS25" s="28"/>
      <c r="OCQ25" s="5"/>
      <c r="OCS25" s="28"/>
      <c r="OCT25" s="28"/>
      <c r="ODR25" s="5"/>
      <c r="ODT25" s="28"/>
      <c r="ODU25" s="28"/>
      <c r="OES25" s="5"/>
      <c r="OEU25" s="28"/>
      <c r="OEV25" s="28"/>
      <c r="OFT25" s="5"/>
      <c r="OFV25" s="28"/>
      <c r="OFW25" s="28"/>
      <c r="OGU25" s="5"/>
      <c r="OGW25" s="28"/>
      <c r="OGX25" s="28"/>
      <c r="OHV25" s="5"/>
      <c r="OHX25" s="28"/>
      <c r="OHY25" s="28"/>
      <c r="OIW25" s="5"/>
      <c r="OIY25" s="28"/>
      <c r="OIZ25" s="28"/>
      <c r="OJX25" s="5"/>
      <c r="OJZ25" s="28"/>
      <c r="OKA25" s="28"/>
      <c r="OKY25" s="5"/>
      <c r="OLA25" s="28"/>
      <c r="OLB25" s="28"/>
      <c r="OLZ25" s="5"/>
      <c r="OMB25" s="28"/>
      <c r="OMC25" s="28"/>
      <c r="ONA25" s="5"/>
      <c r="ONC25" s="28"/>
      <c r="OND25" s="28"/>
      <c r="OOB25" s="5"/>
      <c r="OOD25" s="28"/>
      <c r="OOE25" s="28"/>
      <c r="OPC25" s="5"/>
      <c r="OPE25" s="28"/>
      <c r="OPF25" s="28"/>
      <c r="OQD25" s="5"/>
      <c r="OQF25" s="28"/>
      <c r="OQG25" s="28"/>
      <c r="ORE25" s="5"/>
      <c r="ORG25" s="28"/>
      <c r="ORH25" s="28"/>
      <c r="OSF25" s="5"/>
      <c r="OSH25" s="28"/>
      <c r="OSI25" s="28"/>
      <c r="OTG25" s="5"/>
      <c r="OTI25" s="28"/>
      <c r="OTJ25" s="28"/>
      <c r="OUH25" s="5"/>
      <c r="OUJ25" s="28"/>
      <c r="OUK25" s="28"/>
      <c r="OVI25" s="5"/>
      <c r="OVK25" s="28"/>
      <c r="OVL25" s="28"/>
      <c r="OWJ25" s="5"/>
      <c r="OWL25" s="28"/>
      <c r="OWM25" s="28"/>
      <c r="OXK25" s="5"/>
      <c r="OXM25" s="28"/>
      <c r="OXN25" s="28"/>
      <c r="OYL25" s="5"/>
      <c r="OYN25" s="28"/>
      <c r="OYO25" s="28"/>
      <c r="OZM25" s="5"/>
      <c r="OZO25" s="28"/>
      <c r="OZP25" s="28"/>
      <c r="PAN25" s="5"/>
      <c r="PAP25" s="28"/>
      <c r="PAQ25" s="28"/>
      <c r="PBO25" s="5"/>
      <c r="PBQ25" s="28"/>
      <c r="PBR25" s="28"/>
      <c r="PCP25" s="5"/>
      <c r="PCR25" s="28"/>
      <c r="PCS25" s="28"/>
      <c r="PDQ25" s="5"/>
      <c r="PDS25" s="28"/>
      <c r="PDT25" s="28"/>
      <c r="PER25" s="5"/>
      <c r="PET25" s="28"/>
      <c r="PEU25" s="28"/>
      <c r="PFS25" s="5"/>
      <c r="PFU25" s="28"/>
      <c r="PFV25" s="28"/>
      <c r="PGT25" s="5"/>
      <c r="PGV25" s="28"/>
      <c r="PGW25" s="28"/>
      <c r="PHU25" s="5"/>
      <c r="PHW25" s="28"/>
      <c r="PHX25" s="28"/>
      <c r="PIV25" s="5"/>
      <c r="PIX25" s="28"/>
      <c r="PIY25" s="28"/>
      <c r="PJW25" s="5"/>
      <c r="PJY25" s="28"/>
      <c r="PJZ25" s="28"/>
      <c r="PKX25" s="5"/>
      <c r="PKZ25" s="28"/>
      <c r="PLA25" s="28"/>
      <c r="PLY25" s="5"/>
      <c r="PMA25" s="28"/>
      <c r="PMB25" s="28"/>
      <c r="PMZ25" s="5"/>
      <c r="PNB25" s="28"/>
      <c r="PNC25" s="28"/>
      <c r="POA25" s="5"/>
      <c r="POC25" s="28"/>
      <c r="POD25" s="28"/>
      <c r="PPB25" s="5"/>
      <c r="PPD25" s="28"/>
      <c r="PPE25" s="28"/>
      <c r="PQC25" s="5"/>
      <c r="PQE25" s="28"/>
      <c r="PQF25" s="28"/>
      <c r="PRD25" s="5"/>
      <c r="PRF25" s="28"/>
      <c r="PRG25" s="28"/>
      <c r="PSE25" s="5"/>
      <c r="PSG25" s="28"/>
      <c r="PSH25" s="28"/>
      <c r="PTF25" s="5"/>
      <c r="PTH25" s="28"/>
      <c r="PTI25" s="28"/>
      <c r="PUG25" s="5"/>
      <c r="PUI25" s="28"/>
      <c r="PUJ25" s="28"/>
      <c r="PVH25" s="5"/>
      <c r="PVJ25" s="28"/>
      <c r="PVK25" s="28"/>
      <c r="PWI25" s="5"/>
      <c r="PWK25" s="28"/>
      <c r="PWL25" s="28"/>
      <c r="PXJ25" s="5"/>
      <c r="PXL25" s="28"/>
      <c r="PXM25" s="28"/>
      <c r="PYK25" s="5"/>
      <c r="PYM25" s="28"/>
      <c r="PYN25" s="28"/>
      <c r="PZL25" s="5"/>
      <c r="PZN25" s="28"/>
      <c r="PZO25" s="28"/>
      <c r="QAM25" s="5"/>
      <c r="QAO25" s="28"/>
      <c r="QAP25" s="28"/>
      <c r="QBN25" s="5"/>
      <c r="QBP25" s="28"/>
      <c r="QBQ25" s="28"/>
      <c r="QCO25" s="5"/>
      <c r="QCQ25" s="28"/>
      <c r="QCR25" s="28"/>
      <c r="QDP25" s="5"/>
      <c r="QDR25" s="28"/>
      <c r="QDS25" s="28"/>
      <c r="QEQ25" s="5"/>
      <c r="QES25" s="28"/>
      <c r="QET25" s="28"/>
      <c r="QFR25" s="5"/>
      <c r="QFT25" s="28"/>
      <c r="QFU25" s="28"/>
      <c r="QGS25" s="5"/>
      <c r="QGU25" s="28"/>
      <c r="QGV25" s="28"/>
      <c r="QHT25" s="5"/>
      <c r="QHV25" s="28"/>
      <c r="QHW25" s="28"/>
      <c r="QIU25" s="5"/>
      <c r="QIW25" s="28"/>
      <c r="QIX25" s="28"/>
      <c r="QJV25" s="5"/>
      <c r="QJX25" s="28"/>
      <c r="QJY25" s="28"/>
      <c r="QKW25" s="5"/>
      <c r="QKY25" s="28"/>
      <c r="QKZ25" s="28"/>
      <c r="QLX25" s="5"/>
      <c r="QLZ25" s="28"/>
      <c r="QMA25" s="28"/>
      <c r="QMY25" s="5"/>
      <c r="QNA25" s="28"/>
      <c r="QNB25" s="28"/>
      <c r="QNZ25" s="5"/>
      <c r="QOB25" s="28"/>
      <c r="QOC25" s="28"/>
      <c r="QPA25" s="5"/>
      <c r="QPC25" s="28"/>
      <c r="QPD25" s="28"/>
      <c r="QQB25" s="5"/>
      <c r="QQD25" s="28"/>
      <c r="QQE25" s="28"/>
      <c r="QRC25" s="5"/>
      <c r="QRE25" s="28"/>
      <c r="QRF25" s="28"/>
      <c r="QSD25" s="5"/>
      <c r="QSF25" s="28"/>
      <c r="QSG25" s="28"/>
      <c r="QTE25" s="5"/>
      <c r="QTG25" s="28"/>
      <c r="QTH25" s="28"/>
      <c r="QUF25" s="5"/>
      <c r="QUH25" s="28"/>
      <c r="QUI25" s="28"/>
      <c r="QVG25" s="5"/>
      <c r="QVI25" s="28"/>
      <c r="QVJ25" s="28"/>
      <c r="QWH25" s="5"/>
      <c r="QWJ25" s="28"/>
      <c r="QWK25" s="28"/>
      <c r="QXI25" s="5"/>
      <c r="QXK25" s="28"/>
      <c r="QXL25" s="28"/>
      <c r="QYJ25" s="5"/>
      <c r="QYL25" s="28"/>
      <c r="QYM25" s="28"/>
      <c r="QZK25" s="5"/>
      <c r="QZM25" s="28"/>
      <c r="QZN25" s="28"/>
      <c r="RAL25" s="5"/>
      <c r="RAN25" s="28"/>
      <c r="RAO25" s="28"/>
      <c r="RBM25" s="5"/>
      <c r="RBO25" s="28"/>
      <c r="RBP25" s="28"/>
      <c r="RCN25" s="5"/>
      <c r="RCP25" s="28"/>
      <c r="RCQ25" s="28"/>
      <c r="RDO25" s="5"/>
      <c r="RDQ25" s="28"/>
      <c r="RDR25" s="28"/>
      <c r="REP25" s="5"/>
      <c r="RER25" s="28"/>
      <c r="RES25" s="28"/>
      <c r="RFQ25" s="5"/>
      <c r="RFS25" s="28"/>
      <c r="RFT25" s="28"/>
      <c r="RGR25" s="5"/>
      <c r="RGT25" s="28"/>
      <c r="RGU25" s="28"/>
      <c r="RHS25" s="5"/>
      <c r="RHU25" s="28"/>
      <c r="RHV25" s="28"/>
      <c r="RIT25" s="5"/>
      <c r="RIV25" s="28"/>
      <c r="RIW25" s="28"/>
      <c r="RJU25" s="5"/>
      <c r="RJW25" s="28"/>
      <c r="RJX25" s="28"/>
      <c r="RKV25" s="5"/>
      <c r="RKX25" s="28"/>
      <c r="RKY25" s="28"/>
      <c r="RLW25" s="5"/>
      <c r="RLY25" s="28"/>
      <c r="RLZ25" s="28"/>
      <c r="RMX25" s="5"/>
      <c r="RMZ25" s="28"/>
      <c r="RNA25" s="28"/>
      <c r="RNY25" s="5"/>
      <c r="ROA25" s="28"/>
      <c r="ROB25" s="28"/>
      <c r="ROZ25" s="5"/>
      <c r="RPB25" s="28"/>
      <c r="RPC25" s="28"/>
      <c r="RQA25" s="5"/>
      <c r="RQC25" s="28"/>
      <c r="RQD25" s="28"/>
      <c r="RRB25" s="5"/>
      <c r="RRD25" s="28"/>
      <c r="RRE25" s="28"/>
      <c r="RSC25" s="5"/>
      <c r="RSE25" s="28"/>
      <c r="RSF25" s="28"/>
      <c r="RTD25" s="5"/>
      <c r="RTF25" s="28"/>
      <c r="RTG25" s="28"/>
      <c r="RUE25" s="5"/>
      <c r="RUG25" s="28"/>
      <c r="RUH25" s="28"/>
      <c r="RVF25" s="5"/>
      <c r="RVH25" s="28"/>
      <c r="RVI25" s="28"/>
      <c r="RWG25" s="5"/>
      <c r="RWI25" s="28"/>
      <c r="RWJ25" s="28"/>
      <c r="RXH25" s="5"/>
      <c r="RXJ25" s="28"/>
      <c r="RXK25" s="28"/>
      <c r="RYI25" s="5"/>
      <c r="RYK25" s="28"/>
      <c r="RYL25" s="28"/>
      <c r="RZJ25" s="5"/>
      <c r="RZL25" s="28"/>
      <c r="RZM25" s="28"/>
      <c r="SAK25" s="5"/>
      <c r="SAM25" s="28"/>
      <c r="SAN25" s="28"/>
      <c r="SBL25" s="5"/>
      <c r="SBN25" s="28"/>
      <c r="SBO25" s="28"/>
      <c r="SCM25" s="5"/>
      <c r="SCO25" s="28"/>
      <c r="SCP25" s="28"/>
      <c r="SDN25" s="5"/>
      <c r="SDP25" s="28"/>
      <c r="SDQ25" s="28"/>
      <c r="SEO25" s="5"/>
      <c r="SEQ25" s="28"/>
      <c r="SER25" s="28"/>
      <c r="SFP25" s="5"/>
      <c r="SFR25" s="28"/>
      <c r="SFS25" s="28"/>
      <c r="SGQ25" s="5"/>
      <c r="SGS25" s="28"/>
      <c r="SGT25" s="28"/>
      <c r="SHR25" s="5"/>
      <c r="SHT25" s="28"/>
      <c r="SHU25" s="28"/>
      <c r="SIS25" s="5"/>
      <c r="SIU25" s="28"/>
      <c r="SIV25" s="28"/>
      <c r="SJT25" s="5"/>
      <c r="SJV25" s="28"/>
      <c r="SJW25" s="28"/>
      <c r="SKU25" s="5"/>
      <c r="SKW25" s="28"/>
      <c r="SKX25" s="28"/>
      <c r="SLV25" s="5"/>
      <c r="SLX25" s="28"/>
      <c r="SLY25" s="28"/>
      <c r="SMW25" s="5"/>
      <c r="SMY25" s="28"/>
      <c r="SMZ25" s="28"/>
      <c r="SNX25" s="5"/>
      <c r="SNZ25" s="28"/>
      <c r="SOA25" s="28"/>
      <c r="SOY25" s="5"/>
      <c r="SPA25" s="28"/>
      <c r="SPB25" s="28"/>
      <c r="SPZ25" s="5"/>
      <c r="SQB25" s="28"/>
      <c r="SQC25" s="28"/>
      <c r="SRA25" s="5"/>
      <c r="SRC25" s="28"/>
      <c r="SRD25" s="28"/>
      <c r="SSB25" s="5"/>
      <c r="SSD25" s="28"/>
      <c r="SSE25" s="28"/>
      <c r="STC25" s="5"/>
      <c r="STE25" s="28"/>
      <c r="STF25" s="28"/>
      <c r="SUD25" s="5"/>
      <c r="SUF25" s="28"/>
      <c r="SUG25" s="28"/>
      <c r="SVE25" s="5"/>
      <c r="SVG25" s="28"/>
      <c r="SVH25" s="28"/>
      <c r="SWF25" s="5"/>
      <c r="SWH25" s="28"/>
      <c r="SWI25" s="28"/>
      <c r="SXG25" s="5"/>
      <c r="SXI25" s="28"/>
      <c r="SXJ25" s="28"/>
      <c r="SYH25" s="5"/>
      <c r="SYJ25" s="28"/>
      <c r="SYK25" s="28"/>
      <c r="SZI25" s="5"/>
      <c r="SZK25" s="28"/>
      <c r="SZL25" s="28"/>
      <c r="TAJ25" s="5"/>
      <c r="TAL25" s="28"/>
      <c r="TAM25" s="28"/>
      <c r="TBK25" s="5"/>
      <c r="TBM25" s="28"/>
      <c r="TBN25" s="28"/>
      <c r="TCL25" s="5"/>
      <c r="TCN25" s="28"/>
      <c r="TCO25" s="28"/>
      <c r="TDM25" s="5"/>
      <c r="TDO25" s="28"/>
      <c r="TDP25" s="28"/>
      <c r="TEN25" s="5"/>
      <c r="TEP25" s="28"/>
      <c r="TEQ25" s="28"/>
      <c r="TFO25" s="5"/>
      <c r="TFQ25" s="28"/>
      <c r="TFR25" s="28"/>
      <c r="TGP25" s="5"/>
      <c r="TGR25" s="28"/>
      <c r="TGS25" s="28"/>
      <c r="THQ25" s="5"/>
      <c r="THS25" s="28"/>
      <c r="THT25" s="28"/>
      <c r="TIR25" s="5"/>
      <c r="TIT25" s="28"/>
      <c r="TIU25" s="28"/>
      <c r="TJS25" s="5"/>
      <c r="TJU25" s="28"/>
      <c r="TJV25" s="28"/>
      <c r="TKT25" s="5"/>
      <c r="TKV25" s="28"/>
      <c r="TKW25" s="28"/>
      <c r="TLU25" s="5"/>
      <c r="TLW25" s="28"/>
      <c r="TLX25" s="28"/>
      <c r="TMV25" s="5"/>
      <c r="TMX25" s="28"/>
      <c r="TMY25" s="28"/>
      <c r="TNW25" s="5"/>
      <c r="TNY25" s="28"/>
      <c r="TNZ25" s="28"/>
      <c r="TOX25" s="5"/>
      <c r="TOZ25" s="28"/>
      <c r="TPA25" s="28"/>
      <c r="TPY25" s="5"/>
      <c r="TQA25" s="28"/>
      <c r="TQB25" s="28"/>
      <c r="TQZ25" s="5"/>
      <c r="TRB25" s="28"/>
      <c r="TRC25" s="28"/>
      <c r="TSA25" s="5"/>
      <c r="TSC25" s="28"/>
      <c r="TSD25" s="28"/>
      <c r="TTB25" s="5"/>
      <c r="TTD25" s="28"/>
      <c r="TTE25" s="28"/>
      <c r="TUC25" s="5"/>
      <c r="TUE25" s="28"/>
      <c r="TUF25" s="28"/>
      <c r="TVD25" s="5"/>
      <c r="TVF25" s="28"/>
      <c r="TVG25" s="28"/>
      <c r="TWE25" s="5"/>
      <c r="TWG25" s="28"/>
      <c r="TWH25" s="28"/>
      <c r="TXF25" s="5"/>
      <c r="TXH25" s="28"/>
      <c r="TXI25" s="28"/>
      <c r="TYG25" s="5"/>
      <c r="TYI25" s="28"/>
      <c r="TYJ25" s="28"/>
      <c r="TZH25" s="5"/>
      <c r="TZJ25" s="28"/>
      <c r="TZK25" s="28"/>
      <c r="UAI25" s="5"/>
      <c r="UAK25" s="28"/>
      <c r="UAL25" s="28"/>
      <c r="UBJ25" s="5"/>
      <c r="UBL25" s="28"/>
      <c r="UBM25" s="28"/>
      <c r="UCK25" s="5"/>
      <c r="UCM25" s="28"/>
      <c r="UCN25" s="28"/>
      <c r="UDL25" s="5"/>
      <c r="UDN25" s="28"/>
      <c r="UDO25" s="28"/>
      <c r="UEM25" s="5"/>
      <c r="UEO25" s="28"/>
      <c r="UEP25" s="28"/>
      <c r="UFN25" s="5"/>
      <c r="UFP25" s="28"/>
      <c r="UFQ25" s="28"/>
      <c r="UGO25" s="5"/>
      <c r="UGQ25" s="28"/>
      <c r="UGR25" s="28"/>
      <c r="UHP25" s="5"/>
      <c r="UHR25" s="28"/>
      <c r="UHS25" s="28"/>
      <c r="UIQ25" s="5"/>
      <c r="UIS25" s="28"/>
      <c r="UIT25" s="28"/>
      <c r="UJR25" s="5"/>
      <c r="UJT25" s="28"/>
      <c r="UJU25" s="28"/>
      <c r="UKS25" s="5"/>
      <c r="UKU25" s="28"/>
      <c r="UKV25" s="28"/>
      <c r="ULT25" s="5"/>
      <c r="ULV25" s="28"/>
      <c r="ULW25" s="28"/>
      <c r="UMU25" s="5"/>
      <c r="UMW25" s="28"/>
      <c r="UMX25" s="28"/>
      <c r="UNV25" s="5"/>
      <c r="UNX25" s="28"/>
      <c r="UNY25" s="28"/>
      <c r="UOW25" s="5"/>
      <c r="UOY25" s="28"/>
      <c r="UOZ25" s="28"/>
      <c r="UPX25" s="5"/>
      <c r="UPZ25" s="28"/>
      <c r="UQA25" s="28"/>
      <c r="UQY25" s="5"/>
      <c r="URA25" s="28"/>
      <c r="URB25" s="28"/>
      <c r="URZ25" s="5"/>
      <c r="USB25" s="28"/>
      <c r="USC25" s="28"/>
      <c r="UTA25" s="5"/>
      <c r="UTC25" s="28"/>
      <c r="UTD25" s="28"/>
      <c r="UUB25" s="5"/>
      <c r="UUD25" s="28"/>
      <c r="UUE25" s="28"/>
      <c r="UVC25" s="5"/>
      <c r="UVE25" s="28"/>
      <c r="UVF25" s="28"/>
      <c r="UWD25" s="5"/>
      <c r="UWF25" s="28"/>
      <c r="UWG25" s="28"/>
      <c r="UXE25" s="5"/>
      <c r="UXG25" s="28"/>
      <c r="UXH25" s="28"/>
      <c r="UYF25" s="5"/>
      <c r="UYH25" s="28"/>
      <c r="UYI25" s="28"/>
      <c r="UZG25" s="5"/>
      <c r="UZI25" s="28"/>
      <c r="UZJ25" s="28"/>
      <c r="VAH25" s="5"/>
      <c r="VAJ25" s="28"/>
      <c r="VAK25" s="28"/>
      <c r="VBI25" s="5"/>
      <c r="VBK25" s="28"/>
      <c r="VBL25" s="28"/>
      <c r="VCJ25" s="5"/>
      <c r="VCL25" s="28"/>
      <c r="VCM25" s="28"/>
      <c r="VDK25" s="5"/>
      <c r="VDM25" s="28"/>
      <c r="VDN25" s="28"/>
      <c r="VEL25" s="5"/>
      <c r="VEN25" s="28"/>
      <c r="VEO25" s="28"/>
      <c r="VFM25" s="5"/>
      <c r="VFO25" s="28"/>
      <c r="VFP25" s="28"/>
      <c r="VGN25" s="5"/>
      <c r="VGP25" s="28"/>
      <c r="VGQ25" s="28"/>
      <c r="VHO25" s="5"/>
      <c r="VHQ25" s="28"/>
      <c r="VHR25" s="28"/>
      <c r="VIP25" s="5"/>
      <c r="VIR25" s="28"/>
      <c r="VIS25" s="28"/>
      <c r="VJQ25" s="5"/>
      <c r="VJS25" s="28"/>
      <c r="VJT25" s="28"/>
      <c r="VKR25" s="5"/>
      <c r="VKT25" s="28"/>
      <c r="VKU25" s="28"/>
      <c r="VLS25" s="5"/>
      <c r="VLU25" s="28"/>
      <c r="VLV25" s="28"/>
      <c r="VMT25" s="5"/>
      <c r="VMV25" s="28"/>
      <c r="VMW25" s="28"/>
      <c r="VNU25" s="5"/>
      <c r="VNW25" s="28"/>
      <c r="VNX25" s="28"/>
      <c r="VOV25" s="5"/>
      <c r="VOX25" s="28"/>
      <c r="VOY25" s="28"/>
      <c r="VPW25" s="5"/>
      <c r="VPY25" s="28"/>
      <c r="VPZ25" s="28"/>
      <c r="VQX25" s="5"/>
      <c r="VQZ25" s="28"/>
      <c r="VRA25" s="28"/>
      <c r="VRY25" s="5"/>
      <c r="VSA25" s="28"/>
      <c r="VSB25" s="28"/>
      <c r="VSZ25" s="5"/>
      <c r="VTB25" s="28"/>
      <c r="VTC25" s="28"/>
      <c r="VUA25" s="5"/>
      <c r="VUC25" s="28"/>
      <c r="VUD25" s="28"/>
      <c r="VVB25" s="5"/>
      <c r="VVD25" s="28"/>
      <c r="VVE25" s="28"/>
      <c r="VWC25" s="5"/>
      <c r="VWE25" s="28"/>
      <c r="VWF25" s="28"/>
      <c r="VXD25" s="5"/>
      <c r="VXF25" s="28"/>
      <c r="VXG25" s="28"/>
      <c r="VYE25" s="5"/>
      <c r="VYG25" s="28"/>
      <c r="VYH25" s="28"/>
      <c r="VZF25" s="5"/>
      <c r="VZH25" s="28"/>
      <c r="VZI25" s="28"/>
      <c r="WAG25" s="5"/>
      <c r="WAI25" s="28"/>
      <c r="WAJ25" s="28"/>
      <c r="WBH25" s="5"/>
      <c r="WBJ25" s="28"/>
      <c r="WBK25" s="28"/>
      <c r="WCI25" s="5"/>
      <c r="WCK25" s="28"/>
      <c r="WCL25" s="28"/>
      <c r="WDJ25" s="5"/>
      <c r="WDL25" s="28"/>
      <c r="WDM25" s="28"/>
      <c r="WEK25" s="5"/>
      <c r="WEM25" s="28"/>
      <c r="WEN25" s="28"/>
      <c r="WFL25" s="5"/>
      <c r="WFN25" s="28"/>
      <c r="WFO25" s="28"/>
      <c r="WGM25" s="5"/>
      <c r="WGO25" s="28"/>
      <c r="WGP25" s="28"/>
      <c r="WHN25" s="5"/>
      <c r="WHP25" s="28"/>
      <c r="WHQ25" s="28"/>
      <c r="WIO25" s="5"/>
      <c r="WIQ25" s="28"/>
      <c r="WIR25" s="28"/>
      <c r="WJP25" s="5"/>
      <c r="WJR25" s="28"/>
      <c r="WJS25" s="28"/>
      <c r="WKQ25" s="5"/>
      <c r="WKS25" s="28"/>
      <c r="WKT25" s="28"/>
      <c r="WLR25" s="5"/>
      <c r="WLT25" s="28"/>
      <c r="WLU25" s="28"/>
      <c r="WMS25" s="5"/>
      <c r="WMU25" s="28"/>
      <c r="WMV25" s="28"/>
      <c r="WNT25" s="5"/>
      <c r="WNV25" s="28"/>
      <c r="WNW25" s="28"/>
      <c r="WOU25" s="5"/>
      <c r="WOW25" s="28"/>
      <c r="WOX25" s="28"/>
      <c r="WPV25" s="5"/>
      <c r="WPX25" s="28"/>
      <c r="WPY25" s="28"/>
      <c r="WQW25" s="5"/>
      <c r="WQY25" s="28"/>
      <c r="WQZ25" s="28"/>
      <c r="WRX25" s="5"/>
      <c r="WRZ25" s="28"/>
      <c r="WSA25" s="28"/>
      <c r="WSY25" s="5"/>
      <c r="WTA25" s="28"/>
      <c r="WTB25" s="28"/>
      <c r="WTZ25" s="5"/>
      <c r="WUB25" s="28"/>
      <c r="WUC25" s="28"/>
      <c r="WVA25" s="5"/>
      <c r="WVC25" s="28"/>
      <c r="WVD25" s="28"/>
      <c r="WWB25" s="5"/>
      <c r="WWD25" s="28"/>
      <c r="WWE25" s="28"/>
      <c r="WXC25" s="5"/>
      <c r="WXE25" s="28"/>
      <c r="WXF25" s="28"/>
      <c r="WYD25" s="5"/>
      <c r="WYF25" s="28"/>
      <c r="WYG25" s="28"/>
      <c r="WZE25" s="5"/>
      <c r="WZG25" s="28"/>
      <c r="WZH25" s="28"/>
      <c r="XAF25" s="5"/>
      <c r="XAH25" s="28"/>
      <c r="XAI25" s="28"/>
      <c r="XBG25" s="5"/>
      <c r="XBI25" s="28"/>
      <c r="XBJ25" s="28"/>
      <c r="XCH25" s="5"/>
      <c r="XCJ25" s="28"/>
      <c r="XCK25" s="28"/>
      <c r="XDI25" s="5"/>
      <c r="XDK25" s="28"/>
      <c r="XDL25" s="28"/>
      <c r="XEJ25" s="5"/>
      <c r="XEL25" s="28"/>
      <c r="XEM25" s="28"/>
    </row>
    <row r="26" spans="1:1004 1028:2030 2054:3056 3080:4082 4106:5108 5132:6134 6158:7160 7184:8186 8210:9212 9236:10238 10262:11264 11288:12287 12289:13289 13313:14315 14339:15341 15365:16367" s="4" customFormat="1" x14ac:dyDescent="0.25">
      <c r="A26" s="5"/>
      <c r="C26" s="28"/>
      <c r="D26" s="28"/>
      <c r="E26" s="28"/>
      <c r="F26" s="17">
        <f t="shared" si="59"/>
        <v>17</v>
      </c>
      <c r="CE26" s="5"/>
      <c r="CG26" s="28"/>
      <c r="CH26" s="28"/>
      <c r="CI26"/>
      <c r="CJ26"/>
      <c r="CK26"/>
      <c r="DF26" s="5"/>
      <c r="DH26" s="28"/>
      <c r="DI26" s="28"/>
      <c r="EG26" s="5"/>
      <c r="EI26" s="28"/>
      <c r="EJ26" s="28"/>
      <c r="FH26" s="5"/>
      <c r="FJ26" s="28"/>
      <c r="FK26" s="28"/>
      <c r="GI26" s="5"/>
      <c r="GK26" s="28"/>
      <c r="GL26" s="28"/>
      <c r="HJ26" s="5"/>
      <c r="HL26" s="28"/>
      <c r="HM26" s="28"/>
      <c r="IK26" s="5"/>
      <c r="IM26" s="28"/>
      <c r="IN26" s="28"/>
      <c r="JL26" s="5"/>
      <c r="JN26" s="28"/>
      <c r="JO26" s="28"/>
      <c r="KM26" s="5"/>
      <c r="KO26" s="28"/>
      <c r="KP26" s="28"/>
      <c r="LN26" s="5"/>
      <c r="LP26" s="28"/>
      <c r="LQ26" s="28"/>
      <c r="MO26" s="5"/>
      <c r="MQ26" s="28"/>
      <c r="MR26" s="28"/>
      <c r="NP26" s="5"/>
      <c r="NR26" s="28"/>
      <c r="NS26" s="28"/>
      <c r="OQ26" s="5"/>
      <c r="OS26" s="28"/>
      <c r="OT26" s="28"/>
      <c r="PR26" s="5"/>
      <c r="PT26" s="28"/>
      <c r="PU26" s="28"/>
      <c r="QS26" s="5"/>
      <c r="QU26" s="28"/>
      <c r="QV26" s="28"/>
      <c r="RT26" s="5"/>
      <c r="RV26" s="28"/>
      <c r="RW26" s="28"/>
      <c r="SU26" s="5"/>
      <c r="SW26" s="28"/>
      <c r="SX26" s="28"/>
      <c r="TV26" s="5"/>
      <c r="TX26" s="28"/>
      <c r="TY26" s="28"/>
      <c r="UW26" s="5"/>
      <c r="UY26" s="28"/>
      <c r="UZ26" s="28"/>
      <c r="VX26" s="5"/>
      <c r="VZ26" s="28"/>
      <c r="WA26" s="28"/>
      <c r="WY26" s="5"/>
      <c r="XA26" s="28"/>
      <c r="XB26" s="28"/>
      <c r="XZ26" s="5"/>
      <c r="YB26" s="28"/>
      <c r="YC26" s="28"/>
      <c r="ZA26" s="5"/>
      <c r="ZC26" s="28"/>
      <c r="ZD26" s="28"/>
      <c r="AAB26" s="5"/>
      <c r="AAD26" s="28"/>
      <c r="AAE26" s="28"/>
      <c r="ABC26" s="5"/>
      <c r="ABE26" s="28"/>
      <c r="ABF26" s="28"/>
      <c r="ACD26" s="5"/>
      <c r="ACF26" s="28"/>
      <c r="ACG26" s="28"/>
      <c r="ADE26" s="5"/>
      <c r="ADG26" s="28"/>
      <c r="ADH26" s="28"/>
      <c r="AEF26" s="5"/>
      <c r="AEH26" s="28"/>
      <c r="AEI26" s="28"/>
      <c r="AFG26" s="5"/>
      <c r="AFI26" s="28"/>
      <c r="AFJ26" s="28"/>
      <c r="AGH26" s="5"/>
      <c r="AGJ26" s="28"/>
      <c r="AGK26" s="28"/>
      <c r="AHI26" s="5"/>
      <c r="AHK26" s="28"/>
      <c r="AHL26" s="28"/>
      <c r="AIJ26" s="5"/>
      <c r="AIL26" s="28"/>
      <c r="AIM26" s="28"/>
      <c r="AJK26" s="5"/>
      <c r="AJM26" s="28"/>
      <c r="AJN26" s="28"/>
      <c r="AKL26" s="5"/>
      <c r="AKN26" s="28"/>
      <c r="AKO26" s="28"/>
      <c r="ALM26" s="5"/>
      <c r="ALO26" s="28"/>
      <c r="ALP26" s="28"/>
      <c r="AMN26" s="5"/>
      <c r="AMP26" s="28"/>
      <c r="AMQ26" s="28"/>
      <c r="ANO26" s="5"/>
      <c r="ANQ26" s="28"/>
      <c r="ANR26" s="28"/>
      <c r="AOP26" s="5"/>
      <c r="AOR26" s="28"/>
      <c r="AOS26" s="28"/>
      <c r="APQ26" s="5"/>
      <c r="APS26" s="28"/>
      <c r="APT26" s="28"/>
      <c r="AQR26" s="5"/>
      <c r="AQT26" s="28"/>
      <c r="AQU26" s="28"/>
      <c r="ARS26" s="5"/>
      <c r="ARU26" s="28"/>
      <c r="ARV26" s="28"/>
      <c r="AST26" s="5"/>
      <c r="ASV26" s="28"/>
      <c r="ASW26" s="28"/>
      <c r="ATU26" s="5"/>
      <c r="ATW26" s="28"/>
      <c r="ATX26" s="28"/>
      <c r="AUV26" s="5"/>
      <c r="AUX26" s="28"/>
      <c r="AUY26" s="28"/>
      <c r="AVW26" s="5"/>
      <c r="AVY26" s="28"/>
      <c r="AVZ26" s="28"/>
      <c r="AWX26" s="5"/>
      <c r="AWZ26" s="28"/>
      <c r="AXA26" s="28"/>
      <c r="AXY26" s="5"/>
      <c r="AYA26" s="28"/>
      <c r="AYB26" s="28"/>
      <c r="AYZ26" s="5"/>
      <c r="AZB26" s="28"/>
      <c r="AZC26" s="28"/>
      <c r="BAA26" s="5"/>
      <c r="BAC26" s="28"/>
      <c r="BAD26" s="28"/>
      <c r="BBB26" s="5"/>
      <c r="BBD26" s="28"/>
      <c r="BBE26" s="28"/>
      <c r="BCC26" s="5"/>
      <c r="BCE26" s="28"/>
      <c r="BCF26" s="28"/>
      <c r="BDD26" s="5"/>
      <c r="BDF26" s="28"/>
      <c r="BDG26" s="28"/>
      <c r="BEE26" s="5"/>
      <c r="BEG26" s="28"/>
      <c r="BEH26" s="28"/>
      <c r="BFF26" s="5"/>
      <c r="BFH26" s="28"/>
      <c r="BFI26" s="28"/>
      <c r="BGG26" s="5"/>
      <c r="BGI26" s="28"/>
      <c r="BGJ26" s="28"/>
      <c r="BHH26" s="5"/>
      <c r="BHJ26" s="28"/>
      <c r="BHK26" s="28"/>
      <c r="BII26" s="5"/>
      <c r="BIK26" s="28"/>
      <c r="BIL26" s="28"/>
      <c r="BJJ26" s="5"/>
      <c r="BJL26" s="28"/>
      <c r="BJM26" s="28"/>
      <c r="BKK26" s="5"/>
      <c r="BKM26" s="28"/>
      <c r="BKN26" s="28"/>
      <c r="BLL26" s="5"/>
      <c r="BLN26" s="28"/>
      <c r="BLO26" s="28"/>
      <c r="BMM26" s="5"/>
      <c r="BMO26" s="28"/>
      <c r="BMP26" s="28"/>
      <c r="BNN26" s="5"/>
      <c r="BNP26" s="28"/>
      <c r="BNQ26" s="28"/>
      <c r="BOO26" s="5"/>
      <c r="BOQ26" s="28"/>
      <c r="BOR26" s="28"/>
      <c r="BPP26" s="5"/>
      <c r="BPR26" s="28"/>
      <c r="BPS26" s="28"/>
      <c r="BQQ26" s="5"/>
      <c r="BQS26" s="28"/>
      <c r="BQT26" s="28"/>
      <c r="BRR26" s="5"/>
      <c r="BRT26" s="28"/>
      <c r="BRU26" s="28"/>
      <c r="BSS26" s="5"/>
      <c r="BSU26" s="28"/>
      <c r="BSV26" s="28"/>
      <c r="BTT26" s="5"/>
      <c r="BTV26" s="28"/>
      <c r="BTW26" s="28"/>
      <c r="BUU26" s="5"/>
      <c r="BUW26" s="28"/>
      <c r="BUX26" s="28"/>
      <c r="BVV26" s="5"/>
      <c r="BVX26" s="28"/>
      <c r="BVY26" s="28"/>
      <c r="BWW26" s="5"/>
      <c r="BWY26" s="28"/>
      <c r="BWZ26" s="28"/>
      <c r="BXX26" s="5"/>
      <c r="BXZ26" s="28"/>
      <c r="BYA26" s="28"/>
      <c r="BYY26" s="5"/>
      <c r="BZA26" s="28"/>
      <c r="BZB26" s="28"/>
      <c r="BZZ26" s="5"/>
      <c r="CAB26" s="28"/>
      <c r="CAC26" s="28"/>
      <c r="CBA26" s="5"/>
      <c r="CBC26" s="28"/>
      <c r="CBD26" s="28"/>
      <c r="CCB26" s="5"/>
      <c r="CCD26" s="28"/>
      <c r="CCE26" s="28"/>
      <c r="CDC26" s="5"/>
      <c r="CDE26" s="28"/>
      <c r="CDF26" s="28"/>
      <c r="CED26" s="5"/>
      <c r="CEF26" s="28"/>
      <c r="CEG26" s="28"/>
      <c r="CFE26" s="5"/>
      <c r="CFG26" s="28"/>
      <c r="CFH26" s="28"/>
      <c r="CGF26" s="5"/>
      <c r="CGH26" s="28"/>
      <c r="CGI26" s="28"/>
      <c r="CHG26" s="5"/>
      <c r="CHI26" s="28"/>
      <c r="CHJ26" s="28"/>
      <c r="CIH26" s="5"/>
      <c r="CIJ26" s="28"/>
      <c r="CIK26" s="28"/>
      <c r="CJI26" s="5"/>
      <c r="CJK26" s="28"/>
      <c r="CJL26" s="28"/>
      <c r="CKJ26" s="5"/>
      <c r="CKL26" s="28"/>
      <c r="CKM26" s="28"/>
      <c r="CLK26" s="5"/>
      <c r="CLM26" s="28"/>
      <c r="CLN26" s="28"/>
      <c r="CML26" s="5"/>
      <c r="CMN26" s="28"/>
      <c r="CMO26" s="28"/>
      <c r="CNM26" s="5"/>
      <c r="CNO26" s="28"/>
      <c r="CNP26" s="28"/>
      <c r="CON26" s="5"/>
      <c r="COP26" s="28"/>
      <c r="COQ26" s="28"/>
      <c r="CPO26" s="5"/>
      <c r="CPQ26" s="28"/>
      <c r="CPR26" s="28"/>
      <c r="CQP26" s="5"/>
      <c r="CQR26" s="28"/>
      <c r="CQS26" s="28"/>
      <c r="CRQ26" s="5"/>
      <c r="CRS26" s="28"/>
      <c r="CRT26" s="28"/>
      <c r="CSR26" s="5"/>
      <c r="CST26" s="28"/>
      <c r="CSU26" s="28"/>
      <c r="CTS26" s="5"/>
      <c r="CTU26" s="28"/>
      <c r="CTV26" s="28"/>
      <c r="CUT26" s="5"/>
      <c r="CUV26" s="28"/>
      <c r="CUW26" s="28"/>
      <c r="CVU26" s="5"/>
      <c r="CVW26" s="28"/>
      <c r="CVX26" s="28"/>
      <c r="CWV26" s="5"/>
      <c r="CWX26" s="28"/>
      <c r="CWY26" s="28"/>
      <c r="CXW26" s="5"/>
      <c r="CXY26" s="28"/>
      <c r="CXZ26" s="28"/>
      <c r="CYX26" s="5"/>
      <c r="CYZ26" s="28"/>
      <c r="CZA26" s="28"/>
      <c r="CZY26" s="5"/>
      <c r="DAA26" s="28"/>
      <c r="DAB26" s="28"/>
      <c r="DAZ26" s="5"/>
      <c r="DBB26" s="28"/>
      <c r="DBC26" s="28"/>
      <c r="DCA26" s="5"/>
      <c r="DCC26" s="28"/>
      <c r="DCD26" s="28"/>
      <c r="DDB26" s="5"/>
      <c r="DDD26" s="28"/>
      <c r="DDE26" s="28"/>
      <c r="DEC26" s="5"/>
      <c r="DEE26" s="28"/>
      <c r="DEF26" s="28"/>
      <c r="DFD26" s="5"/>
      <c r="DFF26" s="28"/>
      <c r="DFG26" s="28"/>
      <c r="DGE26" s="5"/>
      <c r="DGG26" s="28"/>
      <c r="DGH26" s="28"/>
      <c r="DHF26" s="5"/>
      <c r="DHH26" s="28"/>
      <c r="DHI26" s="28"/>
      <c r="DIG26" s="5"/>
      <c r="DII26" s="28"/>
      <c r="DIJ26" s="28"/>
      <c r="DJH26" s="5"/>
      <c r="DJJ26" s="28"/>
      <c r="DJK26" s="28"/>
      <c r="DKI26" s="5"/>
      <c r="DKK26" s="28"/>
      <c r="DKL26" s="28"/>
      <c r="DLJ26" s="5"/>
      <c r="DLL26" s="28"/>
      <c r="DLM26" s="28"/>
      <c r="DMK26" s="5"/>
      <c r="DMM26" s="28"/>
      <c r="DMN26" s="28"/>
      <c r="DNL26" s="5"/>
      <c r="DNN26" s="28"/>
      <c r="DNO26" s="28"/>
      <c r="DOM26" s="5"/>
      <c r="DOO26" s="28"/>
      <c r="DOP26" s="28"/>
      <c r="DPN26" s="5"/>
      <c r="DPP26" s="28"/>
      <c r="DPQ26" s="28"/>
      <c r="DQO26" s="5"/>
      <c r="DQQ26" s="28"/>
      <c r="DQR26" s="28"/>
      <c r="DRP26" s="5"/>
      <c r="DRR26" s="28"/>
      <c r="DRS26" s="28"/>
      <c r="DSQ26" s="5"/>
      <c r="DSS26" s="28"/>
      <c r="DST26" s="28"/>
      <c r="DTR26" s="5"/>
      <c r="DTT26" s="28"/>
      <c r="DTU26" s="28"/>
      <c r="DUS26" s="5"/>
      <c r="DUU26" s="28"/>
      <c r="DUV26" s="28"/>
      <c r="DVT26" s="5"/>
      <c r="DVV26" s="28"/>
      <c r="DVW26" s="28"/>
      <c r="DWU26" s="5"/>
      <c r="DWW26" s="28"/>
      <c r="DWX26" s="28"/>
      <c r="DXV26" s="5"/>
      <c r="DXX26" s="28"/>
      <c r="DXY26" s="28"/>
      <c r="DYW26" s="5"/>
      <c r="DYY26" s="28"/>
      <c r="DYZ26" s="28"/>
      <c r="DZX26" s="5"/>
      <c r="DZZ26" s="28"/>
      <c r="EAA26" s="28"/>
      <c r="EAY26" s="5"/>
      <c r="EBA26" s="28"/>
      <c r="EBB26" s="28"/>
      <c r="EBZ26" s="5"/>
      <c r="ECB26" s="28"/>
      <c r="ECC26" s="28"/>
      <c r="EDA26" s="5"/>
      <c r="EDC26" s="28"/>
      <c r="EDD26" s="28"/>
      <c r="EEB26" s="5"/>
      <c r="EED26" s="28"/>
      <c r="EEE26" s="28"/>
      <c r="EFC26" s="5"/>
      <c r="EFE26" s="28"/>
      <c r="EFF26" s="28"/>
      <c r="EGD26" s="5"/>
      <c r="EGF26" s="28"/>
      <c r="EGG26" s="28"/>
      <c r="EHE26" s="5"/>
      <c r="EHG26" s="28"/>
      <c r="EHH26" s="28"/>
      <c r="EIF26" s="5"/>
      <c r="EIH26" s="28"/>
      <c r="EII26" s="28"/>
      <c r="EJG26" s="5"/>
      <c r="EJI26" s="28"/>
      <c r="EJJ26" s="28"/>
      <c r="EKH26" s="5"/>
      <c r="EKJ26" s="28"/>
      <c r="EKK26" s="28"/>
      <c r="ELI26" s="5"/>
      <c r="ELK26" s="28"/>
      <c r="ELL26" s="28"/>
      <c r="EMJ26" s="5"/>
      <c r="EML26" s="28"/>
      <c r="EMM26" s="28"/>
      <c r="ENK26" s="5"/>
      <c r="ENM26" s="28"/>
      <c r="ENN26" s="28"/>
      <c r="EOL26" s="5"/>
      <c r="EON26" s="28"/>
      <c r="EOO26" s="28"/>
      <c r="EPM26" s="5"/>
      <c r="EPO26" s="28"/>
      <c r="EPP26" s="28"/>
      <c r="EQN26" s="5"/>
      <c r="EQP26" s="28"/>
      <c r="EQQ26" s="28"/>
      <c r="ERO26" s="5"/>
      <c r="ERQ26" s="28"/>
      <c r="ERR26" s="28"/>
      <c r="ESP26" s="5"/>
      <c r="ESR26" s="28"/>
      <c r="ESS26" s="28"/>
      <c r="ETQ26" s="5"/>
      <c r="ETS26" s="28"/>
      <c r="ETT26" s="28"/>
      <c r="EUR26" s="5"/>
      <c r="EUT26" s="28"/>
      <c r="EUU26" s="28"/>
      <c r="EVS26" s="5"/>
      <c r="EVU26" s="28"/>
      <c r="EVV26" s="28"/>
      <c r="EWT26" s="5"/>
      <c r="EWV26" s="28"/>
      <c r="EWW26" s="28"/>
      <c r="EXU26" s="5"/>
      <c r="EXW26" s="28"/>
      <c r="EXX26" s="28"/>
      <c r="EYV26" s="5"/>
      <c r="EYX26" s="28"/>
      <c r="EYY26" s="28"/>
      <c r="EZW26" s="5"/>
      <c r="EZY26" s="28"/>
      <c r="EZZ26" s="28"/>
      <c r="FAX26" s="5"/>
      <c r="FAZ26" s="28"/>
      <c r="FBA26" s="28"/>
      <c r="FBY26" s="5"/>
      <c r="FCA26" s="28"/>
      <c r="FCB26" s="28"/>
      <c r="FCZ26" s="5"/>
      <c r="FDB26" s="28"/>
      <c r="FDC26" s="28"/>
      <c r="FEA26" s="5"/>
      <c r="FEC26" s="28"/>
      <c r="FED26" s="28"/>
      <c r="FFB26" s="5"/>
      <c r="FFD26" s="28"/>
      <c r="FFE26" s="28"/>
      <c r="FGC26" s="5"/>
      <c r="FGE26" s="28"/>
      <c r="FGF26" s="28"/>
      <c r="FHD26" s="5"/>
      <c r="FHF26" s="28"/>
      <c r="FHG26" s="28"/>
      <c r="FIE26" s="5"/>
      <c r="FIG26" s="28"/>
      <c r="FIH26" s="28"/>
      <c r="FJF26" s="5"/>
      <c r="FJH26" s="28"/>
      <c r="FJI26" s="28"/>
      <c r="FKG26" s="5"/>
      <c r="FKI26" s="28"/>
      <c r="FKJ26" s="28"/>
      <c r="FLH26" s="5"/>
      <c r="FLJ26" s="28"/>
      <c r="FLK26" s="28"/>
      <c r="FMI26" s="5"/>
      <c r="FMK26" s="28"/>
      <c r="FML26" s="28"/>
      <c r="FNJ26" s="5"/>
      <c r="FNL26" s="28"/>
      <c r="FNM26" s="28"/>
      <c r="FOK26" s="5"/>
      <c r="FOM26" s="28"/>
      <c r="FON26" s="28"/>
      <c r="FPL26" s="5"/>
      <c r="FPN26" s="28"/>
      <c r="FPO26" s="28"/>
      <c r="FQM26" s="5"/>
      <c r="FQO26" s="28"/>
      <c r="FQP26" s="28"/>
      <c r="FRN26" s="5"/>
      <c r="FRP26" s="28"/>
      <c r="FRQ26" s="28"/>
      <c r="FSO26" s="5"/>
      <c r="FSQ26" s="28"/>
      <c r="FSR26" s="28"/>
      <c r="FTP26" s="5"/>
      <c r="FTR26" s="28"/>
      <c r="FTS26" s="28"/>
      <c r="FUQ26" s="5"/>
      <c r="FUS26" s="28"/>
      <c r="FUT26" s="28"/>
      <c r="FVR26" s="5"/>
      <c r="FVT26" s="28"/>
      <c r="FVU26" s="28"/>
      <c r="FWS26" s="5"/>
      <c r="FWU26" s="28"/>
      <c r="FWV26" s="28"/>
      <c r="FXT26" s="5"/>
      <c r="FXV26" s="28"/>
      <c r="FXW26" s="28"/>
      <c r="FYU26" s="5"/>
      <c r="FYW26" s="28"/>
      <c r="FYX26" s="28"/>
      <c r="FZV26" s="5"/>
      <c r="FZX26" s="28"/>
      <c r="FZY26" s="28"/>
      <c r="GAW26" s="5"/>
      <c r="GAY26" s="28"/>
      <c r="GAZ26" s="28"/>
      <c r="GBX26" s="5"/>
      <c r="GBZ26" s="28"/>
      <c r="GCA26" s="28"/>
      <c r="GCY26" s="5"/>
      <c r="GDA26" s="28"/>
      <c r="GDB26" s="28"/>
      <c r="GDZ26" s="5"/>
      <c r="GEB26" s="28"/>
      <c r="GEC26" s="28"/>
      <c r="GFA26" s="5"/>
      <c r="GFC26" s="28"/>
      <c r="GFD26" s="28"/>
      <c r="GGB26" s="5"/>
      <c r="GGD26" s="28"/>
      <c r="GGE26" s="28"/>
      <c r="GHC26" s="5"/>
      <c r="GHE26" s="28"/>
      <c r="GHF26" s="28"/>
      <c r="GID26" s="5"/>
      <c r="GIF26" s="28"/>
      <c r="GIG26" s="28"/>
      <c r="GJE26" s="5"/>
      <c r="GJG26" s="28"/>
      <c r="GJH26" s="28"/>
      <c r="GKF26" s="5"/>
      <c r="GKH26" s="28"/>
      <c r="GKI26" s="28"/>
      <c r="GLG26" s="5"/>
      <c r="GLI26" s="28"/>
      <c r="GLJ26" s="28"/>
      <c r="GMH26" s="5"/>
      <c r="GMJ26" s="28"/>
      <c r="GMK26" s="28"/>
      <c r="GNI26" s="5"/>
      <c r="GNK26" s="28"/>
      <c r="GNL26" s="28"/>
      <c r="GOJ26" s="5"/>
      <c r="GOL26" s="28"/>
      <c r="GOM26" s="28"/>
      <c r="GPK26" s="5"/>
      <c r="GPM26" s="28"/>
      <c r="GPN26" s="28"/>
      <c r="GQL26" s="5"/>
      <c r="GQN26" s="28"/>
      <c r="GQO26" s="28"/>
      <c r="GRM26" s="5"/>
      <c r="GRO26" s="28"/>
      <c r="GRP26" s="28"/>
      <c r="GSN26" s="5"/>
      <c r="GSP26" s="28"/>
      <c r="GSQ26" s="28"/>
      <c r="GTO26" s="5"/>
      <c r="GTQ26" s="28"/>
      <c r="GTR26" s="28"/>
      <c r="GUP26" s="5"/>
      <c r="GUR26" s="28"/>
      <c r="GUS26" s="28"/>
      <c r="GVQ26" s="5"/>
      <c r="GVS26" s="28"/>
      <c r="GVT26" s="28"/>
      <c r="GWR26" s="5"/>
      <c r="GWT26" s="28"/>
      <c r="GWU26" s="28"/>
      <c r="GXS26" s="5"/>
      <c r="GXU26" s="28"/>
      <c r="GXV26" s="28"/>
      <c r="GYT26" s="5"/>
      <c r="GYV26" s="28"/>
      <c r="GYW26" s="28"/>
      <c r="GZU26" s="5"/>
      <c r="GZW26" s="28"/>
      <c r="GZX26" s="28"/>
      <c r="HAV26" s="5"/>
      <c r="HAX26" s="28"/>
      <c r="HAY26" s="28"/>
      <c r="HBW26" s="5"/>
      <c r="HBY26" s="28"/>
      <c r="HBZ26" s="28"/>
      <c r="HCX26" s="5"/>
      <c r="HCZ26" s="28"/>
      <c r="HDA26" s="28"/>
      <c r="HDY26" s="5"/>
      <c r="HEA26" s="28"/>
      <c r="HEB26" s="28"/>
      <c r="HEZ26" s="5"/>
      <c r="HFB26" s="28"/>
      <c r="HFC26" s="28"/>
      <c r="HGA26" s="5"/>
      <c r="HGC26" s="28"/>
      <c r="HGD26" s="28"/>
      <c r="HHB26" s="5"/>
      <c r="HHD26" s="28"/>
      <c r="HHE26" s="28"/>
      <c r="HIC26" s="5"/>
      <c r="HIE26" s="28"/>
      <c r="HIF26" s="28"/>
      <c r="HJD26" s="5"/>
      <c r="HJF26" s="28"/>
      <c r="HJG26" s="28"/>
      <c r="HKE26" s="5"/>
      <c r="HKG26" s="28"/>
      <c r="HKH26" s="28"/>
      <c r="HLF26" s="5"/>
      <c r="HLH26" s="28"/>
      <c r="HLI26" s="28"/>
      <c r="HMG26" s="5"/>
      <c r="HMI26" s="28"/>
      <c r="HMJ26" s="28"/>
      <c r="HNH26" s="5"/>
      <c r="HNJ26" s="28"/>
      <c r="HNK26" s="28"/>
      <c r="HOI26" s="5"/>
      <c r="HOK26" s="28"/>
      <c r="HOL26" s="28"/>
      <c r="HPJ26" s="5"/>
      <c r="HPL26" s="28"/>
      <c r="HPM26" s="28"/>
      <c r="HQK26" s="5"/>
      <c r="HQM26" s="28"/>
      <c r="HQN26" s="28"/>
      <c r="HRL26" s="5"/>
      <c r="HRN26" s="28"/>
      <c r="HRO26" s="28"/>
      <c r="HSM26" s="5"/>
      <c r="HSO26" s="28"/>
      <c r="HSP26" s="28"/>
      <c r="HTN26" s="5"/>
      <c r="HTP26" s="28"/>
      <c r="HTQ26" s="28"/>
      <c r="HUO26" s="5"/>
      <c r="HUQ26" s="28"/>
      <c r="HUR26" s="28"/>
      <c r="HVP26" s="5"/>
      <c r="HVR26" s="28"/>
      <c r="HVS26" s="28"/>
      <c r="HWQ26" s="5"/>
      <c r="HWS26" s="28"/>
      <c r="HWT26" s="28"/>
      <c r="HXR26" s="5"/>
      <c r="HXT26" s="28"/>
      <c r="HXU26" s="28"/>
      <c r="HYS26" s="5"/>
      <c r="HYU26" s="28"/>
      <c r="HYV26" s="28"/>
      <c r="HZT26" s="5"/>
      <c r="HZV26" s="28"/>
      <c r="HZW26" s="28"/>
      <c r="IAU26" s="5"/>
      <c r="IAW26" s="28"/>
      <c r="IAX26" s="28"/>
      <c r="IBV26" s="5"/>
      <c r="IBX26" s="28"/>
      <c r="IBY26" s="28"/>
      <c r="ICW26" s="5"/>
      <c r="ICY26" s="28"/>
      <c r="ICZ26" s="28"/>
      <c r="IDX26" s="5"/>
      <c r="IDZ26" s="28"/>
      <c r="IEA26" s="28"/>
      <c r="IEY26" s="5"/>
      <c r="IFA26" s="28"/>
      <c r="IFB26" s="28"/>
      <c r="IFZ26" s="5"/>
      <c r="IGB26" s="28"/>
      <c r="IGC26" s="28"/>
      <c r="IHA26" s="5"/>
      <c r="IHC26" s="28"/>
      <c r="IHD26" s="28"/>
      <c r="IIB26" s="5"/>
      <c r="IID26" s="28"/>
      <c r="IIE26" s="28"/>
      <c r="IJC26" s="5"/>
      <c r="IJE26" s="28"/>
      <c r="IJF26" s="28"/>
      <c r="IKD26" s="5"/>
      <c r="IKF26" s="28"/>
      <c r="IKG26" s="28"/>
      <c r="ILE26" s="5"/>
      <c r="ILG26" s="28"/>
      <c r="ILH26" s="28"/>
      <c r="IMF26" s="5"/>
      <c r="IMH26" s="28"/>
      <c r="IMI26" s="28"/>
      <c r="ING26" s="5"/>
      <c r="INI26" s="28"/>
      <c r="INJ26" s="28"/>
      <c r="IOH26" s="5"/>
      <c r="IOJ26" s="28"/>
      <c r="IOK26" s="28"/>
      <c r="IPI26" s="5"/>
      <c r="IPK26" s="28"/>
      <c r="IPL26" s="28"/>
      <c r="IQJ26" s="5"/>
      <c r="IQL26" s="28"/>
      <c r="IQM26" s="28"/>
      <c r="IRK26" s="5"/>
      <c r="IRM26" s="28"/>
      <c r="IRN26" s="28"/>
      <c r="ISL26" s="5"/>
      <c r="ISN26" s="28"/>
      <c r="ISO26" s="28"/>
      <c r="ITM26" s="5"/>
      <c r="ITO26" s="28"/>
      <c r="ITP26" s="28"/>
      <c r="IUN26" s="5"/>
      <c r="IUP26" s="28"/>
      <c r="IUQ26" s="28"/>
      <c r="IVO26" s="5"/>
      <c r="IVQ26" s="28"/>
      <c r="IVR26" s="28"/>
      <c r="IWP26" s="5"/>
      <c r="IWR26" s="28"/>
      <c r="IWS26" s="28"/>
      <c r="IXQ26" s="5"/>
      <c r="IXS26" s="28"/>
      <c r="IXT26" s="28"/>
      <c r="IYR26" s="5"/>
      <c r="IYT26" s="28"/>
      <c r="IYU26" s="28"/>
      <c r="IZS26" s="5"/>
      <c r="IZU26" s="28"/>
      <c r="IZV26" s="28"/>
      <c r="JAT26" s="5"/>
      <c r="JAV26" s="28"/>
      <c r="JAW26" s="28"/>
      <c r="JBU26" s="5"/>
      <c r="JBW26" s="28"/>
      <c r="JBX26" s="28"/>
      <c r="JCV26" s="5"/>
      <c r="JCX26" s="28"/>
      <c r="JCY26" s="28"/>
      <c r="JDW26" s="5"/>
      <c r="JDY26" s="28"/>
      <c r="JDZ26" s="28"/>
      <c r="JEX26" s="5"/>
      <c r="JEZ26" s="28"/>
      <c r="JFA26" s="28"/>
      <c r="JFY26" s="5"/>
      <c r="JGA26" s="28"/>
      <c r="JGB26" s="28"/>
      <c r="JGZ26" s="5"/>
      <c r="JHB26" s="28"/>
      <c r="JHC26" s="28"/>
      <c r="JIA26" s="5"/>
      <c r="JIC26" s="28"/>
      <c r="JID26" s="28"/>
      <c r="JJB26" s="5"/>
      <c r="JJD26" s="28"/>
      <c r="JJE26" s="28"/>
      <c r="JKC26" s="5"/>
      <c r="JKE26" s="28"/>
      <c r="JKF26" s="28"/>
      <c r="JLD26" s="5"/>
      <c r="JLF26" s="28"/>
      <c r="JLG26" s="28"/>
      <c r="JME26" s="5"/>
      <c r="JMG26" s="28"/>
      <c r="JMH26" s="28"/>
      <c r="JNF26" s="5"/>
      <c r="JNH26" s="28"/>
      <c r="JNI26" s="28"/>
      <c r="JOG26" s="5"/>
      <c r="JOI26" s="28"/>
      <c r="JOJ26" s="28"/>
      <c r="JPH26" s="5"/>
      <c r="JPJ26" s="28"/>
      <c r="JPK26" s="28"/>
      <c r="JQI26" s="5"/>
      <c r="JQK26" s="28"/>
      <c r="JQL26" s="28"/>
      <c r="JRJ26" s="5"/>
      <c r="JRL26" s="28"/>
      <c r="JRM26" s="28"/>
      <c r="JSK26" s="5"/>
      <c r="JSM26" s="28"/>
      <c r="JSN26" s="28"/>
      <c r="JTL26" s="5"/>
      <c r="JTN26" s="28"/>
      <c r="JTO26" s="28"/>
      <c r="JUM26" s="5"/>
      <c r="JUO26" s="28"/>
      <c r="JUP26" s="28"/>
      <c r="JVN26" s="5"/>
      <c r="JVP26" s="28"/>
      <c r="JVQ26" s="28"/>
      <c r="JWO26" s="5"/>
      <c r="JWQ26" s="28"/>
      <c r="JWR26" s="28"/>
      <c r="JXP26" s="5"/>
      <c r="JXR26" s="28"/>
      <c r="JXS26" s="28"/>
      <c r="JYQ26" s="5"/>
      <c r="JYS26" s="28"/>
      <c r="JYT26" s="28"/>
      <c r="JZR26" s="5"/>
      <c r="JZT26" s="28"/>
      <c r="JZU26" s="28"/>
      <c r="KAS26" s="5"/>
      <c r="KAU26" s="28"/>
      <c r="KAV26" s="28"/>
      <c r="KBT26" s="5"/>
      <c r="KBV26" s="28"/>
      <c r="KBW26" s="28"/>
      <c r="KCU26" s="5"/>
      <c r="KCW26" s="28"/>
      <c r="KCX26" s="28"/>
      <c r="KDV26" s="5"/>
      <c r="KDX26" s="28"/>
      <c r="KDY26" s="28"/>
      <c r="KEW26" s="5"/>
      <c r="KEY26" s="28"/>
      <c r="KEZ26" s="28"/>
      <c r="KFX26" s="5"/>
      <c r="KFZ26" s="28"/>
      <c r="KGA26" s="28"/>
      <c r="KGY26" s="5"/>
      <c r="KHA26" s="28"/>
      <c r="KHB26" s="28"/>
      <c r="KHZ26" s="5"/>
      <c r="KIB26" s="28"/>
      <c r="KIC26" s="28"/>
      <c r="KJA26" s="5"/>
      <c r="KJC26" s="28"/>
      <c r="KJD26" s="28"/>
      <c r="KKB26" s="5"/>
      <c r="KKD26" s="28"/>
      <c r="KKE26" s="28"/>
      <c r="KLC26" s="5"/>
      <c r="KLE26" s="28"/>
      <c r="KLF26" s="28"/>
      <c r="KMD26" s="5"/>
      <c r="KMF26" s="28"/>
      <c r="KMG26" s="28"/>
      <c r="KNE26" s="5"/>
      <c r="KNG26" s="28"/>
      <c r="KNH26" s="28"/>
      <c r="KOF26" s="5"/>
      <c r="KOH26" s="28"/>
      <c r="KOI26" s="28"/>
      <c r="KPG26" s="5"/>
      <c r="KPI26" s="28"/>
      <c r="KPJ26" s="28"/>
      <c r="KQH26" s="5"/>
      <c r="KQJ26" s="28"/>
      <c r="KQK26" s="28"/>
      <c r="KRI26" s="5"/>
      <c r="KRK26" s="28"/>
      <c r="KRL26" s="28"/>
      <c r="KSJ26" s="5"/>
      <c r="KSL26" s="28"/>
      <c r="KSM26" s="28"/>
      <c r="KTK26" s="5"/>
      <c r="KTM26" s="28"/>
      <c r="KTN26" s="28"/>
      <c r="KUL26" s="5"/>
      <c r="KUN26" s="28"/>
      <c r="KUO26" s="28"/>
      <c r="KVM26" s="5"/>
      <c r="KVO26" s="28"/>
      <c r="KVP26" s="28"/>
      <c r="KWN26" s="5"/>
      <c r="KWP26" s="28"/>
      <c r="KWQ26" s="28"/>
      <c r="KXO26" s="5"/>
      <c r="KXQ26" s="28"/>
      <c r="KXR26" s="28"/>
      <c r="KYP26" s="5"/>
      <c r="KYR26" s="28"/>
      <c r="KYS26" s="28"/>
      <c r="KZQ26" s="5"/>
      <c r="KZS26" s="28"/>
      <c r="KZT26" s="28"/>
      <c r="LAR26" s="5"/>
      <c r="LAT26" s="28"/>
      <c r="LAU26" s="28"/>
      <c r="LBS26" s="5"/>
      <c r="LBU26" s="28"/>
      <c r="LBV26" s="28"/>
      <c r="LCT26" s="5"/>
      <c r="LCV26" s="28"/>
      <c r="LCW26" s="28"/>
      <c r="LDU26" s="5"/>
      <c r="LDW26" s="28"/>
      <c r="LDX26" s="28"/>
      <c r="LEV26" s="5"/>
      <c r="LEX26" s="28"/>
      <c r="LEY26" s="28"/>
      <c r="LFW26" s="5"/>
      <c r="LFY26" s="28"/>
      <c r="LFZ26" s="28"/>
      <c r="LGX26" s="5"/>
      <c r="LGZ26" s="28"/>
      <c r="LHA26" s="28"/>
      <c r="LHY26" s="5"/>
      <c r="LIA26" s="28"/>
      <c r="LIB26" s="28"/>
      <c r="LIZ26" s="5"/>
      <c r="LJB26" s="28"/>
      <c r="LJC26" s="28"/>
      <c r="LKA26" s="5"/>
      <c r="LKC26" s="28"/>
      <c r="LKD26" s="28"/>
      <c r="LLB26" s="5"/>
      <c r="LLD26" s="28"/>
      <c r="LLE26" s="28"/>
      <c r="LMC26" s="5"/>
      <c r="LME26" s="28"/>
      <c r="LMF26" s="28"/>
      <c r="LND26" s="5"/>
      <c r="LNF26" s="28"/>
      <c r="LNG26" s="28"/>
      <c r="LOE26" s="5"/>
      <c r="LOG26" s="28"/>
      <c r="LOH26" s="28"/>
      <c r="LPF26" s="5"/>
      <c r="LPH26" s="28"/>
      <c r="LPI26" s="28"/>
      <c r="LQG26" s="5"/>
      <c r="LQI26" s="28"/>
      <c r="LQJ26" s="28"/>
      <c r="LRH26" s="5"/>
      <c r="LRJ26" s="28"/>
      <c r="LRK26" s="28"/>
      <c r="LSI26" s="5"/>
      <c r="LSK26" s="28"/>
      <c r="LSL26" s="28"/>
      <c r="LTJ26" s="5"/>
      <c r="LTL26" s="28"/>
      <c r="LTM26" s="28"/>
      <c r="LUK26" s="5"/>
      <c r="LUM26" s="28"/>
      <c r="LUN26" s="28"/>
      <c r="LVL26" s="5"/>
      <c r="LVN26" s="28"/>
      <c r="LVO26" s="28"/>
      <c r="LWM26" s="5"/>
      <c r="LWO26" s="28"/>
      <c r="LWP26" s="28"/>
      <c r="LXN26" s="5"/>
      <c r="LXP26" s="28"/>
      <c r="LXQ26" s="28"/>
      <c r="LYO26" s="5"/>
      <c r="LYQ26" s="28"/>
      <c r="LYR26" s="28"/>
      <c r="LZP26" s="5"/>
      <c r="LZR26" s="28"/>
      <c r="LZS26" s="28"/>
      <c r="MAQ26" s="5"/>
      <c r="MAS26" s="28"/>
      <c r="MAT26" s="28"/>
      <c r="MBR26" s="5"/>
      <c r="MBT26" s="28"/>
      <c r="MBU26" s="28"/>
      <c r="MCS26" s="5"/>
      <c r="MCU26" s="28"/>
      <c r="MCV26" s="28"/>
      <c r="MDT26" s="5"/>
      <c r="MDV26" s="28"/>
      <c r="MDW26" s="28"/>
      <c r="MEU26" s="5"/>
      <c r="MEW26" s="28"/>
      <c r="MEX26" s="28"/>
      <c r="MFV26" s="5"/>
      <c r="MFX26" s="28"/>
      <c r="MFY26" s="28"/>
      <c r="MGW26" s="5"/>
      <c r="MGY26" s="28"/>
      <c r="MGZ26" s="28"/>
      <c r="MHX26" s="5"/>
      <c r="MHZ26" s="28"/>
      <c r="MIA26" s="28"/>
      <c r="MIY26" s="5"/>
      <c r="MJA26" s="28"/>
      <c r="MJB26" s="28"/>
      <c r="MJZ26" s="5"/>
      <c r="MKB26" s="28"/>
      <c r="MKC26" s="28"/>
      <c r="MLA26" s="5"/>
      <c r="MLC26" s="28"/>
      <c r="MLD26" s="28"/>
      <c r="MMB26" s="5"/>
      <c r="MMD26" s="28"/>
      <c r="MME26" s="28"/>
      <c r="MNC26" s="5"/>
      <c r="MNE26" s="28"/>
      <c r="MNF26" s="28"/>
      <c r="MOD26" s="5"/>
      <c r="MOF26" s="28"/>
      <c r="MOG26" s="28"/>
      <c r="MPE26" s="5"/>
      <c r="MPG26" s="28"/>
      <c r="MPH26" s="28"/>
      <c r="MQF26" s="5"/>
      <c r="MQH26" s="28"/>
      <c r="MQI26" s="28"/>
      <c r="MRG26" s="5"/>
      <c r="MRI26" s="28"/>
      <c r="MRJ26" s="28"/>
      <c r="MSH26" s="5"/>
      <c r="MSJ26" s="28"/>
      <c r="MSK26" s="28"/>
      <c r="MTI26" s="5"/>
      <c r="MTK26" s="28"/>
      <c r="MTL26" s="28"/>
      <c r="MUJ26" s="5"/>
      <c r="MUL26" s="28"/>
      <c r="MUM26" s="28"/>
      <c r="MVK26" s="5"/>
      <c r="MVM26" s="28"/>
      <c r="MVN26" s="28"/>
      <c r="MWL26" s="5"/>
      <c r="MWN26" s="28"/>
      <c r="MWO26" s="28"/>
      <c r="MXM26" s="5"/>
      <c r="MXO26" s="28"/>
      <c r="MXP26" s="28"/>
      <c r="MYN26" s="5"/>
      <c r="MYP26" s="28"/>
      <c r="MYQ26" s="28"/>
      <c r="MZO26" s="5"/>
      <c r="MZQ26" s="28"/>
      <c r="MZR26" s="28"/>
      <c r="NAP26" s="5"/>
      <c r="NAR26" s="28"/>
      <c r="NAS26" s="28"/>
      <c r="NBQ26" s="5"/>
      <c r="NBS26" s="28"/>
      <c r="NBT26" s="28"/>
      <c r="NCR26" s="5"/>
      <c r="NCT26" s="28"/>
      <c r="NCU26" s="28"/>
      <c r="NDS26" s="5"/>
      <c r="NDU26" s="28"/>
      <c r="NDV26" s="28"/>
      <c r="NET26" s="5"/>
      <c r="NEV26" s="28"/>
      <c r="NEW26" s="28"/>
      <c r="NFU26" s="5"/>
      <c r="NFW26" s="28"/>
      <c r="NFX26" s="28"/>
      <c r="NGV26" s="5"/>
      <c r="NGX26" s="28"/>
      <c r="NGY26" s="28"/>
      <c r="NHW26" s="5"/>
      <c r="NHY26" s="28"/>
      <c r="NHZ26" s="28"/>
      <c r="NIX26" s="5"/>
      <c r="NIZ26" s="28"/>
      <c r="NJA26" s="28"/>
      <c r="NJY26" s="5"/>
      <c r="NKA26" s="28"/>
      <c r="NKB26" s="28"/>
      <c r="NKZ26" s="5"/>
      <c r="NLB26" s="28"/>
      <c r="NLC26" s="28"/>
      <c r="NMA26" s="5"/>
      <c r="NMC26" s="28"/>
      <c r="NMD26" s="28"/>
      <c r="NNB26" s="5"/>
      <c r="NND26" s="28"/>
      <c r="NNE26" s="28"/>
      <c r="NOC26" s="5"/>
      <c r="NOE26" s="28"/>
      <c r="NOF26" s="28"/>
      <c r="NPD26" s="5"/>
      <c r="NPF26" s="28"/>
      <c r="NPG26" s="28"/>
      <c r="NQE26" s="5"/>
      <c r="NQG26" s="28"/>
      <c r="NQH26" s="28"/>
      <c r="NRF26" s="5"/>
      <c r="NRH26" s="28"/>
      <c r="NRI26" s="28"/>
      <c r="NSG26" s="5"/>
      <c r="NSI26" s="28"/>
      <c r="NSJ26" s="28"/>
      <c r="NTH26" s="5"/>
      <c r="NTJ26" s="28"/>
      <c r="NTK26" s="28"/>
      <c r="NUI26" s="5"/>
      <c r="NUK26" s="28"/>
      <c r="NUL26" s="28"/>
      <c r="NVJ26" s="5"/>
      <c r="NVL26" s="28"/>
      <c r="NVM26" s="28"/>
      <c r="NWK26" s="5"/>
      <c r="NWM26" s="28"/>
      <c r="NWN26" s="28"/>
      <c r="NXL26" s="5"/>
      <c r="NXN26" s="28"/>
      <c r="NXO26" s="28"/>
      <c r="NYM26" s="5"/>
      <c r="NYO26" s="28"/>
      <c r="NYP26" s="28"/>
      <c r="NZN26" s="5"/>
      <c r="NZP26" s="28"/>
      <c r="NZQ26" s="28"/>
      <c r="OAO26" s="5"/>
      <c r="OAQ26" s="28"/>
      <c r="OAR26" s="28"/>
      <c r="OBP26" s="5"/>
      <c r="OBR26" s="28"/>
      <c r="OBS26" s="28"/>
      <c r="OCQ26" s="5"/>
      <c r="OCS26" s="28"/>
      <c r="OCT26" s="28"/>
      <c r="ODR26" s="5"/>
      <c r="ODT26" s="28"/>
      <c r="ODU26" s="28"/>
      <c r="OES26" s="5"/>
      <c r="OEU26" s="28"/>
      <c r="OEV26" s="28"/>
      <c r="OFT26" s="5"/>
      <c r="OFV26" s="28"/>
      <c r="OFW26" s="28"/>
      <c r="OGU26" s="5"/>
      <c r="OGW26" s="28"/>
      <c r="OGX26" s="28"/>
      <c r="OHV26" s="5"/>
      <c r="OHX26" s="28"/>
      <c r="OHY26" s="28"/>
      <c r="OIW26" s="5"/>
      <c r="OIY26" s="28"/>
      <c r="OIZ26" s="28"/>
      <c r="OJX26" s="5"/>
      <c r="OJZ26" s="28"/>
      <c r="OKA26" s="28"/>
      <c r="OKY26" s="5"/>
      <c r="OLA26" s="28"/>
      <c r="OLB26" s="28"/>
      <c r="OLZ26" s="5"/>
      <c r="OMB26" s="28"/>
      <c r="OMC26" s="28"/>
      <c r="ONA26" s="5"/>
      <c r="ONC26" s="28"/>
      <c r="OND26" s="28"/>
      <c r="OOB26" s="5"/>
      <c r="OOD26" s="28"/>
      <c r="OOE26" s="28"/>
      <c r="OPC26" s="5"/>
      <c r="OPE26" s="28"/>
      <c r="OPF26" s="28"/>
      <c r="OQD26" s="5"/>
      <c r="OQF26" s="28"/>
      <c r="OQG26" s="28"/>
      <c r="ORE26" s="5"/>
      <c r="ORG26" s="28"/>
      <c r="ORH26" s="28"/>
      <c r="OSF26" s="5"/>
      <c r="OSH26" s="28"/>
      <c r="OSI26" s="28"/>
      <c r="OTG26" s="5"/>
      <c r="OTI26" s="28"/>
      <c r="OTJ26" s="28"/>
      <c r="OUH26" s="5"/>
      <c r="OUJ26" s="28"/>
      <c r="OUK26" s="28"/>
      <c r="OVI26" s="5"/>
      <c r="OVK26" s="28"/>
      <c r="OVL26" s="28"/>
      <c r="OWJ26" s="5"/>
      <c r="OWL26" s="28"/>
      <c r="OWM26" s="28"/>
      <c r="OXK26" s="5"/>
      <c r="OXM26" s="28"/>
      <c r="OXN26" s="28"/>
      <c r="OYL26" s="5"/>
      <c r="OYN26" s="28"/>
      <c r="OYO26" s="28"/>
      <c r="OZM26" s="5"/>
      <c r="OZO26" s="28"/>
      <c r="OZP26" s="28"/>
      <c r="PAN26" s="5"/>
      <c r="PAP26" s="28"/>
      <c r="PAQ26" s="28"/>
      <c r="PBO26" s="5"/>
      <c r="PBQ26" s="28"/>
      <c r="PBR26" s="28"/>
      <c r="PCP26" s="5"/>
      <c r="PCR26" s="28"/>
      <c r="PCS26" s="28"/>
      <c r="PDQ26" s="5"/>
      <c r="PDS26" s="28"/>
      <c r="PDT26" s="28"/>
      <c r="PER26" s="5"/>
      <c r="PET26" s="28"/>
      <c r="PEU26" s="28"/>
      <c r="PFS26" s="5"/>
      <c r="PFU26" s="28"/>
      <c r="PFV26" s="28"/>
      <c r="PGT26" s="5"/>
      <c r="PGV26" s="28"/>
      <c r="PGW26" s="28"/>
      <c r="PHU26" s="5"/>
      <c r="PHW26" s="28"/>
      <c r="PHX26" s="28"/>
      <c r="PIV26" s="5"/>
      <c r="PIX26" s="28"/>
      <c r="PIY26" s="28"/>
      <c r="PJW26" s="5"/>
      <c r="PJY26" s="28"/>
      <c r="PJZ26" s="28"/>
      <c r="PKX26" s="5"/>
      <c r="PKZ26" s="28"/>
      <c r="PLA26" s="28"/>
      <c r="PLY26" s="5"/>
      <c r="PMA26" s="28"/>
      <c r="PMB26" s="28"/>
      <c r="PMZ26" s="5"/>
      <c r="PNB26" s="28"/>
      <c r="PNC26" s="28"/>
      <c r="POA26" s="5"/>
      <c r="POC26" s="28"/>
      <c r="POD26" s="28"/>
      <c r="PPB26" s="5"/>
      <c r="PPD26" s="28"/>
      <c r="PPE26" s="28"/>
      <c r="PQC26" s="5"/>
      <c r="PQE26" s="28"/>
      <c r="PQF26" s="28"/>
      <c r="PRD26" s="5"/>
      <c r="PRF26" s="28"/>
      <c r="PRG26" s="28"/>
      <c r="PSE26" s="5"/>
      <c r="PSG26" s="28"/>
      <c r="PSH26" s="28"/>
      <c r="PTF26" s="5"/>
      <c r="PTH26" s="28"/>
      <c r="PTI26" s="28"/>
      <c r="PUG26" s="5"/>
      <c r="PUI26" s="28"/>
      <c r="PUJ26" s="28"/>
      <c r="PVH26" s="5"/>
      <c r="PVJ26" s="28"/>
      <c r="PVK26" s="28"/>
      <c r="PWI26" s="5"/>
      <c r="PWK26" s="28"/>
      <c r="PWL26" s="28"/>
      <c r="PXJ26" s="5"/>
      <c r="PXL26" s="28"/>
      <c r="PXM26" s="28"/>
      <c r="PYK26" s="5"/>
      <c r="PYM26" s="28"/>
      <c r="PYN26" s="28"/>
      <c r="PZL26" s="5"/>
      <c r="PZN26" s="28"/>
      <c r="PZO26" s="28"/>
      <c r="QAM26" s="5"/>
      <c r="QAO26" s="28"/>
      <c r="QAP26" s="28"/>
      <c r="QBN26" s="5"/>
      <c r="QBP26" s="28"/>
      <c r="QBQ26" s="28"/>
      <c r="QCO26" s="5"/>
      <c r="QCQ26" s="28"/>
      <c r="QCR26" s="28"/>
      <c r="QDP26" s="5"/>
      <c r="QDR26" s="28"/>
      <c r="QDS26" s="28"/>
      <c r="QEQ26" s="5"/>
      <c r="QES26" s="28"/>
      <c r="QET26" s="28"/>
      <c r="QFR26" s="5"/>
      <c r="QFT26" s="28"/>
      <c r="QFU26" s="28"/>
      <c r="QGS26" s="5"/>
      <c r="QGU26" s="28"/>
      <c r="QGV26" s="28"/>
      <c r="QHT26" s="5"/>
      <c r="QHV26" s="28"/>
      <c r="QHW26" s="28"/>
      <c r="QIU26" s="5"/>
      <c r="QIW26" s="28"/>
      <c r="QIX26" s="28"/>
      <c r="QJV26" s="5"/>
      <c r="QJX26" s="28"/>
      <c r="QJY26" s="28"/>
      <c r="QKW26" s="5"/>
      <c r="QKY26" s="28"/>
      <c r="QKZ26" s="28"/>
      <c r="QLX26" s="5"/>
      <c r="QLZ26" s="28"/>
      <c r="QMA26" s="28"/>
      <c r="QMY26" s="5"/>
      <c r="QNA26" s="28"/>
      <c r="QNB26" s="28"/>
      <c r="QNZ26" s="5"/>
      <c r="QOB26" s="28"/>
      <c r="QOC26" s="28"/>
      <c r="QPA26" s="5"/>
      <c r="QPC26" s="28"/>
      <c r="QPD26" s="28"/>
      <c r="QQB26" s="5"/>
      <c r="QQD26" s="28"/>
      <c r="QQE26" s="28"/>
      <c r="QRC26" s="5"/>
      <c r="QRE26" s="28"/>
      <c r="QRF26" s="28"/>
      <c r="QSD26" s="5"/>
      <c r="QSF26" s="28"/>
      <c r="QSG26" s="28"/>
      <c r="QTE26" s="5"/>
      <c r="QTG26" s="28"/>
      <c r="QTH26" s="28"/>
      <c r="QUF26" s="5"/>
      <c r="QUH26" s="28"/>
      <c r="QUI26" s="28"/>
      <c r="QVG26" s="5"/>
      <c r="QVI26" s="28"/>
      <c r="QVJ26" s="28"/>
      <c r="QWH26" s="5"/>
      <c r="QWJ26" s="28"/>
      <c r="QWK26" s="28"/>
      <c r="QXI26" s="5"/>
      <c r="QXK26" s="28"/>
      <c r="QXL26" s="28"/>
      <c r="QYJ26" s="5"/>
      <c r="QYL26" s="28"/>
      <c r="QYM26" s="28"/>
      <c r="QZK26" s="5"/>
      <c r="QZM26" s="28"/>
      <c r="QZN26" s="28"/>
      <c r="RAL26" s="5"/>
      <c r="RAN26" s="28"/>
      <c r="RAO26" s="28"/>
      <c r="RBM26" s="5"/>
      <c r="RBO26" s="28"/>
      <c r="RBP26" s="28"/>
      <c r="RCN26" s="5"/>
      <c r="RCP26" s="28"/>
      <c r="RCQ26" s="28"/>
      <c r="RDO26" s="5"/>
      <c r="RDQ26" s="28"/>
      <c r="RDR26" s="28"/>
      <c r="REP26" s="5"/>
      <c r="RER26" s="28"/>
      <c r="RES26" s="28"/>
      <c r="RFQ26" s="5"/>
      <c r="RFS26" s="28"/>
      <c r="RFT26" s="28"/>
      <c r="RGR26" s="5"/>
      <c r="RGT26" s="28"/>
      <c r="RGU26" s="28"/>
      <c r="RHS26" s="5"/>
      <c r="RHU26" s="28"/>
      <c r="RHV26" s="28"/>
      <c r="RIT26" s="5"/>
      <c r="RIV26" s="28"/>
      <c r="RIW26" s="28"/>
      <c r="RJU26" s="5"/>
      <c r="RJW26" s="28"/>
      <c r="RJX26" s="28"/>
      <c r="RKV26" s="5"/>
      <c r="RKX26" s="28"/>
      <c r="RKY26" s="28"/>
      <c r="RLW26" s="5"/>
      <c r="RLY26" s="28"/>
      <c r="RLZ26" s="28"/>
      <c r="RMX26" s="5"/>
      <c r="RMZ26" s="28"/>
      <c r="RNA26" s="28"/>
      <c r="RNY26" s="5"/>
      <c r="ROA26" s="28"/>
      <c r="ROB26" s="28"/>
      <c r="ROZ26" s="5"/>
      <c r="RPB26" s="28"/>
      <c r="RPC26" s="28"/>
      <c r="RQA26" s="5"/>
      <c r="RQC26" s="28"/>
      <c r="RQD26" s="28"/>
      <c r="RRB26" s="5"/>
      <c r="RRD26" s="28"/>
      <c r="RRE26" s="28"/>
      <c r="RSC26" s="5"/>
      <c r="RSE26" s="28"/>
      <c r="RSF26" s="28"/>
      <c r="RTD26" s="5"/>
      <c r="RTF26" s="28"/>
      <c r="RTG26" s="28"/>
      <c r="RUE26" s="5"/>
      <c r="RUG26" s="28"/>
      <c r="RUH26" s="28"/>
      <c r="RVF26" s="5"/>
      <c r="RVH26" s="28"/>
      <c r="RVI26" s="28"/>
      <c r="RWG26" s="5"/>
      <c r="RWI26" s="28"/>
      <c r="RWJ26" s="28"/>
      <c r="RXH26" s="5"/>
      <c r="RXJ26" s="28"/>
      <c r="RXK26" s="28"/>
      <c r="RYI26" s="5"/>
      <c r="RYK26" s="28"/>
      <c r="RYL26" s="28"/>
      <c r="RZJ26" s="5"/>
      <c r="RZL26" s="28"/>
      <c r="RZM26" s="28"/>
      <c r="SAK26" s="5"/>
      <c r="SAM26" s="28"/>
      <c r="SAN26" s="28"/>
      <c r="SBL26" s="5"/>
      <c r="SBN26" s="28"/>
      <c r="SBO26" s="28"/>
      <c r="SCM26" s="5"/>
      <c r="SCO26" s="28"/>
      <c r="SCP26" s="28"/>
      <c r="SDN26" s="5"/>
      <c r="SDP26" s="28"/>
      <c r="SDQ26" s="28"/>
      <c r="SEO26" s="5"/>
      <c r="SEQ26" s="28"/>
      <c r="SER26" s="28"/>
      <c r="SFP26" s="5"/>
      <c r="SFR26" s="28"/>
      <c r="SFS26" s="28"/>
      <c r="SGQ26" s="5"/>
      <c r="SGS26" s="28"/>
      <c r="SGT26" s="28"/>
      <c r="SHR26" s="5"/>
      <c r="SHT26" s="28"/>
      <c r="SHU26" s="28"/>
      <c r="SIS26" s="5"/>
      <c r="SIU26" s="28"/>
      <c r="SIV26" s="28"/>
      <c r="SJT26" s="5"/>
      <c r="SJV26" s="28"/>
      <c r="SJW26" s="28"/>
      <c r="SKU26" s="5"/>
      <c r="SKW26" s="28"/>
      <c r="SKX26" s="28"/>
      <c r="SLV26" s="5"/>
      <c r="SLX26" s="28"/>
      <c r="SLY26" s="28"/>
      <c r="SMW26" s="5"/>
      <c r="SMY26" s="28"/>
      <c r="SMZ26" s="28"/>
      <c r="SNX26" s="5"/>
      <c r="SNZ26" s="28"/>
      <c r="SOA26" s="28"/>
      <c r="SOY26" s="5"/>
      <c r="SPA26" s="28"/>
      <c r="SPB26" s="28"/>
      <c r="SPZ26" s="5"/>
      <c r="SQB26" s="28"/>
      <c r="SQC26" s="28"/>
      <c r="SRA26" s="5"/>
      <c r="SRC26" s="28"/>
      <c r="SRD26" s="28"/>
      <c r="SSB26" s="5"/>
      <c r="SSD26" s="28"/>
      <c r="SSE26" s="28"/>
      <c r="STC26" s="5"/>
      <c r="STE26" s="28"/>
      <c r="STF26" s="28"/>
      <c r="SUD26" s="5"/>
      <c r="SUF26" s="28"/>
      <c r="SUG26" s="28"/>
      <c r="SVE26" s="5"/>
      <c r="SVG26" s="28"/>
      <c r="SVH26" s="28"/>
      <c r="SWF26" s="5"/>
      <c r="SWH26" s="28"/>
      <c r="SWI26" s="28"/>
      <c r="SXG26" s="5"/>
      <c r="SXI26" s="28"/>
      <c r="SXJ26" s="28"/>
      <c r="SYH26" s="5"/>
      <c r="SYJ26" s="28"/>
      <c r="SYK26" s="28"/>
      <c r="SZI26" s="5"/>
      <c r="SZK26" s="28"/>
      <c r="SZL26" s="28"/>
      <c r="TAJ26" s="5"/>
      <c r="TAL26" s="28"/>
      <c r="TAM26" s="28"/>
      <c r="TBK26" s="5"/>
      <c r="TBM26" s="28"/>
      <c r="TBN26" s="28"/>
      <c r="TCL26" s="5"/>
      <c r="TCN26" s="28"/>
      <c r="TCO26" s="28"/>
      <c r="TDM26" s="5"/>
      <c r="TDO26" s="28"/>
      <c r="TDP26" s="28"/>
      <c r="TEN26" s="5"/>
      <c r="TEP26" s="28"/>
      <c r="TEQ26" s="28"/>
      <c r="TFO26" s="5"/>
      <c r="TFQ26" s="28"/>
      <c r="TFR26" s="28"/>
      <c r="TGP26" s="5"/>
      <c r="TGR26" s="28"/>
      <c r="TGS26" s="28"/>
      <c r="THQ26" s="5"/>
      <c r="THS26" s="28"/>
      <c r="THT26" s="28"/>
      <c r="TIR26" s="5"/>
      <c r="TIT26" s="28"/>
      <c r="TIU26" s="28"/>
      <c r="TJS26" s="5"/>
      <c r="TJU26" s="28"/>
      <c r="TJV26" s="28"/>
      <c r="TKT26" s="5"/>
      <c r="TKV26" s="28"/>
      <c r="TKW26" s="28"/>
      <c r="TLU26" s="5"/>
      <c r="TLW26" s="28"/>
      <c r="TLX26" s="28"/>
      <c r="TMV26" s="5"/>
      <c r="TMX26" s="28"/>
      <c r="TMY26" s="28"/>
      <c r="TNW26" s="5"/>
      <c r="TNY26" s="28"/>
      <c r="TNZ26" s="28"/>
      <c r="TOX26" s="5"/>
      <c r="TOZ26" s="28"/>
      <c r="TPA26" s="28"/>
      <c r="TPY26" s="5"/>
      <c r="TQA26" s="28"/>
      <c r="TQB26" s="28"/>
      <c r="TQZ26" s="5"/>
      <c r="TRB26" s="28"/>
      <c r="TRC26" s="28"/>
      <c r="TSA26" s="5"/>
      <c r="TSC26" s="28"/>
      <c r="TSD26" s="28"/>
      <c r="TTB26" s="5"/>
      <c r="TTD26" s="28"/>
      <c r="TTE26" s="28"/>
      <c r="TUC26" s="5"/>
      <c r="TUE26" s="28"/>
      <c r="TUF26" s="28"/>
      <c r="TVD26" s="5"/>
      <c r="TVF26" s="28"/>
      <c r="TVG26" s="28"/>
      <c r="TWE26" s="5"/>
      <c r="TWG26" s="28"/>
      <c r="TWH26" s="28"/>
      <c r="TXF26" s="5"/>
      <c r="TXH26" s="28"/>
      <c r="TXI26" s="28"/>
      <c r="TYG26" s="5"/>
      <c r="TYI26" s="28"/>
      <c r="TYJ26" s="28"/>
      <c r="TZH26" s="5"/>
      <c r="TZJ26" s="28"/>
      <c r="TZK26" s="28"/>
      <c r="UAI26" s="5"/>
      <c r="UAK26" s="28"/>
      <c r="UAL26" s="28"/>
      <c r="UBJ26" s="5"/>
      <c r="UBL26" s="28"/>
      <c r="UBM26" s="28"/>
      <c r="UCK26" s="5"/>
      <c r="UCM26" s="28"/>
      <c r="UCN26" s="28"/>
      <c r="UDL26" s="5"/>
      <c r="UDN26" s="28"/>
      <c r="UDO26" s="28"/>
      <c r="UEM26" s="5"/>
      <c r="UEO26" s="28"/>
      <c r="UEP26" s="28"/>
      <c r="UFN26" s="5"/>
      <c r="UFP26" s="28"/>
      <c r="UFQ26" s="28"/>
      <c r="UGO26" s="5"/>
      <c r="UGQ26" s="28"/>
      <c r="UGR26" s="28"/>
      <c r="UHP26" s="5"/>
      <c r="UHR26" s="28"/>
      <c r="UHS26" s="28"/>
      <c r="UIQ26" s="5"/>
      <c r="UIS26" s="28"/>
      <c r="UIT26" s="28"/>
      <c r="UJR26" s="5"/>
      <c r="UJT26" s="28"/>
      <c r="UJU26" s="28"/>
      <c r="UKS26" s="5"/>
      <c r="UKU26" s="28"/>
      <c r="UKV26" s="28"/>
      <c r="ULT26" s="5"/>
      <c r="ULV26" s="28"/>
      <c r="ULW26" s="28"/>
      <c r="UMU26" s="5"/>
      <c r="UMW26" s="28"/>
      <c r="UMX26" s="28"/>
      <c r="UNV26" s="5"/>
      <c r="UNX26" s="28"/>
      <c r="UNY26" s="28"/>
      <c r="UOW26" s="5"/>
      <c r="UOY26" s="28"/>
      <c r="UOZ26" s="28"/>
      <c r="UPX26" s="5"/>
      <c r="UPZ26" s="28"/>
      <c r="UQA26" s="28"/>
      <c r="UQY26" s="5"/>
      <c r="URA26" s="28"/>
      <c r="URB26" s="28"/>
      <c r="URZ26" s="5"/>
      <c r="USB26" s="28"/>
      <c r="USC26" s="28"/>
      <c r="UTA26" s="5"/>
      <c r="UTC26" s="28"/>
      <c r="UTD26" s="28"/>
      <c r="UUB26" s="5"/>
      <c r="UUD26" s="28"/>
      <c r="UUE26" s="28"/>
      <c r="UVC26" s="5"/>
      <c r="UVE26" s="28"/>
      <c r="UVF26" s="28"/>
      <c r="UWD26" s="5"/>
      <c r="UWF26" s="28"/>
      <c r="UWG26" s="28"/>
      <c r="UXE26" s="5"/>
      <c r="UXG26" s="28"/>
      <c r="UXH26" s="28"/>
      <c r="UYF26" s="5"/>
      <c r="UYH26" s="28"/>
      <c r="UYI26" s="28"/>
      <c r="UZG26" s="5"/>
      <c r="UZI26" s="28"/>
      <c r="UZJ26" s="28"/>
      <c r="VAH26" s="5"/>
      <c r="VAJ26" s="28"/>
      <c r="VAK26" s="28"/>
      <c r="VBI26" s="5"/>
      <c r="VBK26" s="28"/>
      <c r="VBL26" s="28"/>
      <c r="VCJ26" s="5"/>
      <c r="VCL26" s="28"/>
      <c r="VCM26" s="28"/>
      <c r="VDK26" s="5"/>
      <c r="VDM26" s="28"/>
      <c r="VDN26" s="28"/>
      <c r="VEL26" s="5"/>
      <c r="VEN26" s="28"/>
      <c r="VEO26" s="28"/>
      <c r="VFM26" s="5"/>
      <c r="VFO26" s="28"/>
      <c r="VFP26" s="28"/>
      <c r="VGN26" s="5"/>
      <c r="VGP26" s="28"/>
      <c r="VGQ26" s="28"/>
      <c r="VHO26" s="5"/>
      <c r="VHQ26" s="28"/>
      <c r="VHR26" s="28"/>
      <c r="VIP26" s="5"/>
      <c r="VIR26" s="28"/>
      <c r="VIS26" s="28"/>
      <c r="VJQ26" s="5"/>
      <c r="VJS26" s="28"/>
      <c r="VJT26" s="28"/>
      <c r="VKR26" s="5"/>
      <c r="VKT26" s="28"/>
      <c r="VKU26" s="28"/>
      <c r="VLS26" s="5"/>
      <c r="VLU26" s="28"/>
      <c r="VLV26" s="28"/>
      <c r="VMT26" s="5"/>
      <c r="VMV26" s="28"/>
      <c r="VMW26" s="28"/>
      <c r="VNU26" s="5"/>
      <c r="VNW26" s="28"/>
      <c r="VNX26" s="28"/>
      <c r="VOV26" s="5"/>
      <c r="VOX26" s="28"/>
      <c r="VOY26" s="28"/>
      <c r="VPW26" s="5"/>
      <c r="VPY26" s="28"/>
      <c r="VPZ26" s="28"/>
      <c r="VQX26" s="5"/>
      <c r="VQZ26" s="28"/>
      <c r="VRA26" s="28"/>
      <c r="VRY26" s="5"/>
      <c r="VSA26" s="28"/>
      <c r="VSB26" s="28"/>
      <c r="VSZ26" s="5"/>
      <c r="VTB26" s="28"/>
      <c r="VTC26" s="28"/>
      <c r="VUA26" s="5"/>
      <c r="VUC26" s="28"/>
      <c r="VUD26" s="28"/>
      <c r="VVB26" s="5"/>
      <c r="VVD26" s="28"/>
      <c r="VVE26" s="28"/>
      <c r="VWC26" s="5"/>
      <c r="VWE26" s="28"/>
      <c r="VWF26" s="28"/>
      <c r="VXD26" s="5"/>
      <c r="VXF26" s="28"/>
      <c r="VXG26" s="28"/>
      <c r="VYE26" s="5"/>
      <c r="VYG26" s="28"/>
      <c r="VYH26" s="28"/>
      <c r="VZF26" s="5"/>
      <c r="VZH26" s="28"/>
      <c r="VZI26" s="28"/>
      <c r="WAG26" s="5"/>
      <c r="WAI26" s="28"/>
      <c r="WAJ26" s="28"/>
      <c r="WBH26" s="5"/>
      <c r="WBJ26" s="28"/>
      <c r="WBK26" s="28"/>
      <c r="WCI26" s="5"/>
      <c r="WCK26" s="28"/>
      <c r="WCL26" s="28"/>
      <c r="WDJ26" s="5"/>
      <c r="WDL26" s="28"/>
      <c r="WDM26" s="28"/>
      <c r="WEK26" s="5"/>
      <c r="WEM26" s="28"/>
      <c r="WEN26" s="28"/>
      <c r="WFL26" s="5"/>
      <c r="WFN26" s="28"/>
      <c r="WFO26" s="28"/>
      <c r="WGM26" s="5"/>
      <c r="WGO26" s="28"/>
      <c r="WGP26" s="28"/>
      <c r="WHN26" s="5"/>
      <c r="WHP26" s="28"/>
      <c r="WHQ26" s="28"/>
      <c r="WIO26" s="5"/>
      <c r="WIQ26" s="28"/>
      <c r="WIR26" s="28"/>
      <c r="WJP26" s="5"/>
      <c r="WJR26" s="28"/>
      <c r="WJS26" s="28"/>
      <c r="WKQ26" s="5"/>
      <c r="WKS26" s="28"/>
      <c r="WKT26" s="28"/>
      <c r="WLR26" s="5"/>
      <c r="WLT26" s="28"/>
      <c r="WLU26" s="28"/>
      <c r="WMS26" s="5"/>
      <c r="WMU26" s="28"/>
      <c r="WMV26" s="28"/>
      <c r="WNT26" s="5"/>
      <c r="WNV26" s="28"/>
      <c r="WNW26" s="28"/>
      <c r="WOU26" s="5"/>
      <c r="WOW26" s="28"/>
      <c r="WOX26" s="28"/>
      <c r="WPV26" s="5"/>
      <c r="WPX26" s="28"/>
      <c r="WPY26" s="28"/>
      <c r="WQW26" s="5"/>
      <c r="WQY26" s="28"/>
      <c r="WQZ26" s="28"/>
      <c r="WRX26" s="5"/>
      <c r="WRZ26" s="28"/>
      <c r="WSA26" s="28"/>
      <c r="WSY26" s="5"/>
      <c r="WTA26" s="28"/>
      <c r="WTB26" s="28"/>
      <c r="WTZ26" s="5"/>
      <c r="WUB26" s="28"/>
      <c r="WUC26" s="28"/>
      <c r="WVA26" s="5"/>
      <c r="WVC26" s="28"/>
      <c r="WVD26" s="28"/>
      <c r="WWB26" s="5"/>
      <c r="WWD26" s="28"/>
      <c r="WWE26" s="28"/>
      <c r="WXC26" s="5"/>
      <c r="WXE26" s="28"/>
      <c r="WXF26" s="28"/>
      <c r="WYD26" s="5"/>
      <c r="WYF26" s="28"/>
      <c r="WYG26" s="28"/>
      <c r="WZE26" s="5"/>
      <c r="WZG26" s="28"/>
      <c r="WZH26" s="28"/>
      <c r="XAF26" s="5"/>
      <c r="XAH26" s="28"/>
      <c r="XAI26" s="28"/>
      <c r="XBG26" s="5"/>
      <c r="XBI26" s="28"/>
      <c r="XBJ26" s="28"/>
      <c r="XCH26" s="5"/>
      <c r="XCJ26" s="28"/>
      <c r="XCK26" s="28"/>
      <c r="XDI26" s="5"/>
      <c r="XDK26" s="28"/>
      <c r="XDL26" s="28"/>
      <c r="XEJ26" s="5"/>
      <c r="XEL26" s="28"/>
      <c r="XEM26" s="28"/>
    </row>
    <row r="27" spans="1:1004 1028:2030 2054:3056 3080:4082 4106:5108 5132:6134 6158:7160 7184:8186 8210:9212 9236:10238 10262:11264 11288:12287 12289:13289 13313:14315 14339:15341 15365:16367" ht="60.95" customHeight="1" x14ac:dyDescent="0.25">
      <c r="F27" s="17">
        <f t="shared" si="59"/>
        <v>18</v>
      </c>
      <c r="G27" s="31" t="s">
        <v>93</v>
      </c>
      <c r="H27" s="105" t="s">
        <v>94</v>
      </c>
      <c r="I27" s="106" t="s">
        <v>95</v>
      </c>
      <c r="J27" s="103" t="s">
        <v>96</v>
      </c>
      <c r="K27" s="104" t="s">
        <v>97</v>
      </c>
      <c r="M27" s="4"/>
      <c r="BR27" s="100" t="s">
        <v>98</v>
      </c>
    </row>
    <row r="28" spans="1:1004 1028:2030 2054:3056 3080:4082 4106:5108 5132:6134 6158:7160 7184:8186 8210:9212 9236:10238 10262:11264 11288:12287 12289:13289 13313:14315 14339:15341 15365:16367" x14ac:dyDescent="0.25">
      <c r="F28" s="17">
        <f t="shared" si="59"/>
        <v>19</v>
      </c>
      <c r="G28" s="12" t="s">
        <v>99</v>
      </c>
      <c r="H28" s="13">
        <v>0</v>
      </c>
      <c r="I28" s="13">
        <v>0</v>
      </c>
      <c r="J28" s="117">
        <v>0</v>
      </c>
      <c r="K28" s="189">
        <f>H66</f>
        <v>7511.3865939046736</v>
      </c>
      <c r="L28" s="189">
        <f t="shared" ref="L28:V28" si="65">$K$28</f>
        <v>7511.3865939046736</v>
      </c>
      <c r="M28" s="189">
        <f t="shared" si="65"/>
        <v>7511.3865939046736</v>
      </c>
      <c r="N28" s="189">
        <f t="shared" si="65"/>
        <v>7511.3865939046736</v>
      </c>
      <c r="O28" s="189">
        <f t="shared" si="65"/>
        <v>7511.3865939046736</v>
      </c>
      <c r="P28" s="189">
        <f t="shared" si="65"/>
        <v>7511.3865939046736</v>
      </c>
      <c r="Q28" s="189">
        <f t="shared" si="65"/>
        <v>7511.3865939046736</v>
      </c>
      <c r="R28" s="189">
        <f t="shared" si="65"/>
        <v>7511.3865939046736</v>
      </c>
      <c r="S28" s="189">
        <f t="shared" si="65"/>
        <v>7511.3865939046736</v>
      </c>
      <c r="T28" s="189">
        <f t="shared" si="65"/>
        <v>7511.3865939046736</v>
      </c>
      <c r="U28" s="189">
        <f t="shared" si="65"/>
        <v>7511.3865939046736</v>
      </c>
      <c r="V28" s="189">
        <f t="shared" si="65"/>
        <v>7511.3865939046736</v>
      </c>
      <c r="W28" s="189">
        <f>$K$28*(1+Dados!$C$22)</f>
        <v>7736.7281917218143</v>
      </c>
      <c r="X28" s="189">
        <f>$K$28*(1+Dados!$C$22)</f>
        <v>7736.7281917218143</v>
      </c>
      <c r="Y28" s="189">
        <f>$K$28*(1+Dados!$C$22)</f>
        <v>7736.7281917218143</v>
      </c>
      <c r="Z28" s="189">
        <f>$K$28*(1+Dados!$C$22)</f>
        <v>7736.7281917218143</v>
      </c>
      <c r="AA28" s="189">
        <f>$K$28*(1+Dados!$C$22)</f>
        <v>7736.7281917218143</v>
      </c>
      <c r="AB28" s="189">
        <f>$K$28*(1+Dados!$C$22)</f>
        <v>7736.7281917218143</v>
      </c>
      <c r="AC28" s="189">
        <f>$K$28*(1+Dados!$C$22)</f>
        <v>7736.7281917218143</v>
      </c>
      <c r="AD28" s="189">
        <f>$K$28*(1+Dados!$C$22)</f>
        <v>7736.7281917218143</v>
      </c>
      <c r="AE28" s="189">
        <f>$K$28*(1+Dados!$C$22)</f>
        <v>7736.7281917218143</v>
      </c>
      <c r="AF28" s="189">
        <f>$K$28*(1+Dados!$C$22)</f>
        <v>7736.7281917218143</v>
      </c>
      <c r="AG28" s="189">
        <f>$K$28*(1+Dados!$C$22)</f>
        <v>7736.7281917218143</v>
      </c>
      <c r="AH28" s="189">
        <f>$K$28*(1+Dados!$C$22)</f>
        <v>7736.7281917218143</v>
      </c>
      <c r="AI28" s="189">
        <f>$AH$28*(1+Dados!$C$22)</f>
        <v>7968.830037473469</v>
      </c>
      <c r="AJ28" s="189">
        <f>$AH$28*(1+Dados!$C$22)</f>
        <v>7968.830037473469</v>
      </c>
      <c r="AK28" s="189">
        <f>$AH$28*(1+Dados!$C$22)</f>
        <v>7968.830037473469</v>
      </c>
      <c r="AL28" s="189">
        <f>$AH$28*(1+Dados!$C$22)</f>
        <v>7968.830037473469</v>
      </c>
      <c r="AM28" s="189">
        <f>$AH$28*(1+Dados!$C$22)</f>
        <v>7968.830037473469</v>
      </c>
      <c r="AN28" s="189">
        <f>$AH$28*(1+Dados!$C$22)</f>
        <v>7968.830037473469</v>
      </c>
      <c r="AO28" s="189">
        <f>$AH$28*(1+Dados!$C$22)</f>
        <v>7968.830037473469</v>
      </c>
      <c r="AP28" s="189">
        <f>$AH$28*(1+Dados!$C$22)</f>
        <v>7968.830037473469</v>
      </c>
      <c r="AQ28" s="189">
        <f>$AH$28*(1+Dados!$C$22)</f>
        <v>7968.830037473469</v>
      </c>
      <c r="AR28" s="189">
        <f>$AH$28*(1+Dados!$C$22)</f>
        <v>7968.830037473469</v>
      </c>
      <c r="AS28" s="189">
        <f>$AH$28*(1+Dados!$C$22)</f>
        <v>7968.830037473469</v>
      </c>
      <c r="AT28" s="189">
        <f>$AH$28*(1+Dados!$C$22)</f>
        <v>7968.830037473469</v>
      </c>
      <c r="AU28" s="189">
        <f>$AS$28*(1+Dados!$C$22)</f>
        <v>8207.8949385976739</v>
      </c>
      <c r="AV28" s="189">
        <f>$AS$28*(1+Dados!$C$22)</f>
        <v>8207.8949385976739</v>
      </c>
      <c r="AW28" s="189">
        <f>$AS$28*(1+Dados!$C$22)</f>
        <v>8207.8949385976739</v>
      </c>
      <c r="AX28" s="189">
        <f>$AS$28*(1+Dados!$C$22)</f>
        <v>8207.8949385976739</v>
      </c>
      <c r="AY28" s="189">
        <f>$AS$28*(1+Dados!$C$22)</f>
        <v>8207.8949385976739</v>
      </c>
      <c r="AZ28" s="189">
        <f>$AS$28*(1+Dados!$C$22)</f>
        <v>8207.8949385976739</v>
      </c>
      <c r="BA28" s="189">
        <f>$AS$28*(1+Dados!$C$22)</f>
        <v>8207.8949385976739</v>
      </c>
      <c r="BB28" s="189">
        <f>$AS$28*(1+Dados!$C$22)</f>
        <v>8207.8949385976739</v>
      </c>
      <c r="BC28" s="189">
        <f>$AS$28*(1+Dados!$C$22)</f>
        <v>8207.8949385976739</v>
      </c>
      <c r="BD28" s="189">
        <f>$AS$28*(1+Dados!$C$22)</f>
        <v>8207.8949385976739</v>
      </c>
      <c r="BE28" s="189">
        <f>$AS$28*(1+Dados!$C$22)</f>
        <v>8207.8949385976739</v>
      </c>
      <c r="BF28" s="189">
        <f>$AS$28*(1+Dados!$C$22)</f>
        <v>8207.8949385976739</v>
      </c>
      <c r="BG28" s="189">
        <f>$BF$28*(1+Dados!$C$22)</f>
        <v>8454.1317867556045</v>
      </c>
      <c r="BH28" s="189">
        <f>$BF$28*(1+Dados!$C$22)</f>
        <v>8454.1317867556045</v>
      </c>
      <c r="BI28" s="189">
        <f>$BF$28*(1+Dados!$C$22)</f>
        <v>8454.1317867556045</v>
      </c>
      <c r="BJ28" s="189">
        <f>$BF$28*(1+Dados!$C$22)</f>
        <v>8454.1317867556045</v>
      </c>
      <c r="BK28" s="189">
        <f>$BF$28*(1+Dados!$C$22)</f>
        <v>8454.1317867556045</v>
      </c>
      <c r="BL28" s="189">
        <f>$BF$28*(1+Dados!$C$22)</f>
        <v>8454.1317867556045</v>
      </c>
      <c r="BM28" s="189">
        <f>$BF$28*(1+Dados!$C$22)</f>
        <v>8454.1317867556045</v>
      </c>
      <c r="BN28" s="189">
        <f>$BF$28*(1+Dados!$C$22)</f>
        <v>8454.1317867556045</v>
      </c>
      <c r="BO28" s="189">
        <f>$BF$28*(1+Dados!$C$22)</f>
        <v>8454.1317867556045</v>
      </c>
      <c r="BP28" s="189">
        <f>$BF$28*(1+Dados!$C$22)</f>
        <v>8454.1317867556045</v>
      </c>
      <c r="BQ28" s="189">
        <f>$BF$28*(1+Dados!$C$22)</f>
        <v>8454.1317867556045</v>
      </c>
      <c r="BR28" s="189">
        <f>$BF$28*(1+Dados!$C$22)</f>
        <v>8454.1317867556045</v>
      </c>
      <c r="BS28" s="13"/>
      <c r="BT28" s="13"/>
    </row>
    <row r="29" spans="1:1004 1028:2030 2054:3056 3080:4082 4106:5108 5132:6134 6158:7160 7184:8186 8210:9212 9236:10238 10262:11264 11288:12287 12289:13289 13313:14315 14339:15341 15365:16367" x14ac:dyDescent="0.25">
      <c r="F29" s="17">
        <f t="shared" si="59"/>
        <v>20</v>
      </c>
      <c r="G29" s="5"/>
      <c r="H29" s="4"/>
      <c r="I29" s="4"/>
      <c r="J29" s="1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1004 1028:2030 2054:3056 3080:4082 4106:5108 5132:6134 6158:7160 7184:8186 8210:9212 9236:10238 10262:11264 11288:12287 12289:13289 13313:14315 14339:15341 15365:16367" ht="47.25" x14ac:dyDescent="0.25">
      <c r="F30" s="17">
        <f t="shared" si="59"/>
        <v>21</v>
      </c>
      <c r="G30" s="31" t="s">
        <v>100</v>
      </c>
      <c r="H30" s="4"/>
      <c r="I30" s="4"/>
      <c r="J30" s="1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100" t="s">
        <v>101</v>
      </c>
    </row>
    <row r="31" spans="1:1004 1028:2030 2054:3056 3080:4082 4106:5108 5132:6134 6158:7160 7184:8186 8210:9212 9236:10238 10262:11264 11288:12287 12289:13289 13313:14315 14339:15341 15365:16367" x14ac:dyDescent="0.25">
      <c r="F31" s="17">
        <f t="shared" si="59"/>
        <v>22</v>
      </c>
      <c r="G31" s="12" t="s">
        <v>102</v>
      </c>
      <c r="H31" s="25"/>
      <c r="I31" s="25"/>
      <c r="J31" s="1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114">
        <v>0</v>
      </c>
    </row>
    <row r="32" spans="1:1004 1028:2030 2054:3056 3080:4082 4106:5108 5132:6134 6158:7160 7184:8186 8210:9212 9236:10238 10262:11264 11288:12287 12289:13289 13313:14315 14339:15341 15365:16367" x14ac:dyDescent="0.25">
      <c r="F32" s="17">
        <f t="shared" si="59"/>
        <v>23</v>
      </c>
      <c r="G32" s="12" t="s">
        <v>103</v>
      </c>
      <c r="H32" s="25"/>
      <c r="I32" s="25"/>
      <c r="J32" s="1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114">
        <f>H96</f>
        <v>98915.975221646324</v>
      </c>
    </row>
    <row r="33" spans="6:72" x14ac:dyDescent="0.25">
      <c r="F33" s="17">
        <f t="shared" si="59"/>
        <v>24</v>
      </c>
    </row>
    <row r="34" spans="6:72" x14ac:dyDescent="0.25">
      <c r="F34" s="17">
        <f t="shared" si="59"/>
        <v>25</v>
      </c>
      <c r="G34" s="33" t="s">
        <v>104</v>
      </c>
    </row>
    <row r="35" spans="6:72" x14ac:dyDescent="0.25">
      <c r="F35" s="17">
        <f t="shared" si="59"/>
        <v>26</v>
      </c>
      <c r="G35" s="156" t="s">
        <v>105</v>
      </c>
    </row>
    <row r="36" spans="6:72" x14ac:dyDescent="0.25">
      <c r="F36" s="17">
        <f t="shared" si="59"/>
        <v>27</v>
      </c>
      <c r="G36" s="12" t="s">
        <v>106</v>
      </c>
      <c r="H36" s="13">
        <f>Tributos!$B$5*SUM(H28)</f>
        <v>0</v>
      </c>
      <c r="I36" s="13">
        <f>Tributos!$B$5*SUM(I28)</f>
        <v>0</v>
      </c>
      <c r="J36" s="13">
        <f>Tributos!$B$5*SUM(J28)</f>
        <v>0</v>
      </c>
      <c r="K36" s="13">
        <f>Tributos!$B$5*SUM(K28)</f>
        <v>274.16561067752059</v>
      </c>
      <c r="L36" s="13">
        <f>Tributos!$B$5*SUM(L28)</f>
        <v>274.16561067752059</v>
      </c>
      <c r="M36" s="13">
        <f>Tributos!$B$5*SUM(M28)</f>
        <v>274.16561067752059</v>
      </c>
      <c r="N36" s="13">
        <f>Tributos!$B$5*SUM(N28)</f>
        <v>274.16561067752059</v>
      </c>
      <c r="O36" s="13">
        <f>Tributos!$B$5*SUM(O28)</f>
        <v>274.16561067752059</v>
      </c>
      <c r="P36" s="13">
        <f>Tributos!$B$5*SUM(P28)</f>
        <v>274.16561067752059</v>
      </c>
      <c r="Q36" s="13">
        <f>Tributos!$B$5*SUM(Q28)</f>
        <v>274.16561067752059</v>
      </c>
      <c r="R36" s="13">
        <f>Tributos!$B$5*SUM(R28)</f>
        <v>274.16561067752059</v>
      </c>
      <c r="S36" s="13">
        <f>Tributos!$B$5*SUM(S28)</f>
        <v>274.16561067752059</v>
      </c>
      <c r="T36" s="13">
        <f>Tributos!$B$5*SUM(T28)</f>
        <v>274.16561067752059</v>
      </c>
      <c r="U36" s="13">
        <f>Tributos!$B$5*SUM(U28)</f>
        <v>274.16561067752059</v>
      </c>
      <c r="V36" s="13">
        <f>Tributos!$B$5*SUM(V28)</f>
        <v>274.16561067752059</v>
      </c>
      <c r="W36" s="13">
        <f>Tributos!$B$5*SUM(W28)</f>
        <v>282.39057899784621</v>
      </c>
      <c r="X36" s="13">
        <f>Tributos!$B$5*SUM(X28)</f>
        <v>282.39057899784621</v>
      </c>
      <c r="Y36" s="13">
        <f>Tributos!$B$5*SUM(Y28)</f>
        <v>282.39057899784621</v>
      </c>
      <c r="Z36" s="13">
        <f>Tributos!$B$5*SUM(Z28)</f>
        <v>282.39057899784621</v>
      </c>
      <c r="AA36" s="13">
        <f>Tributos!$B$5*SUM(AA28)</f>
        <v>282.39057899784621</v>
      </c>
      <c r="AB36" s="13">
        <f>Tributos!$B$5*SUM(AB28)</f>
        <v>282.39057899784621</v>
      </c>
      <c r="AC36" s="13">
        <f>Tributos!$B$5*SUM(AC28)</f>
        <v>282.39057899784621</v>
      </c>
      <c r="AD36" s="13">
        <f>Tributos!$B$5*SUM(AD28)</f>
        <v>282.39057899784621</v>
      </c>
      <c r="AE36" s="13">
        <f>Tributos!$B$5*SUM(AE28)</f>
        <v>282.39057899784621</v>
      </c>
      <c r="AF36" s="13">
        <f>Tributos!$B$5*SUM(AF28)</f>
        <v>282.39057899784621</v>
      </c>
      <c r="AG36" s="13">
        <f>Tributos!$B$5*SUM(AG28)</f>
        <v>282.39057899784621</v>
      </c>
      <c r="AH36" s="13">
        <f>Tributos!$B$5*SUM(AH28)</f>
        <v>282.39057899784621</v>
      </c>
      <c r="AI36" s="13">
        <f>Tributos!$B$5*SUM(AI28)</f>
        <v>290.8622963677816</v>
      </c>
      <c r="AJ36" s="13">
        <f>Tributos!$B$5*SUM(AJ28)</f>
        <v>290.8622963677816</v>
      </c>
      <c r="AK36" s="13">
        <f>Tributos!$B$5*SUM(AK28)</f>
        <v>290.8622963677816</v>
      </c>
      <c r="AL36" s="13">
        <f>Tributos!$B$5*SUM(AL28)</f>
        <v>290.8622963677816</v>
      </c>
      <c r="AM36" s="13">
        <f>Tributos!$B$5*SUM(AM28)</f>
        <v>290.8622963677816</v>
      </c>
      <c r="AN36" s="13">
        <f>Tributos!$B$5*SUM(AN28)</f>
        <v>290.8622963677816</v>
      </c>
      <c r="AO36" s="13">
        <f>Tributos!$B$5*SUM(AO28)</f>
        <v>290.8622963677816</v>
      </c>
      <c r="AP36" s="13">
        <f>Tributos!$B$5*SUM(AP28)</f>
        <v>290.8622963677816</v>
      </c>
      <c r="AQ36" s="13">
        <f>Tributos!$B$5*SUM(AQ28)</f>
        <v>290.8622963677816</v>
      </c>
      <c r="AR36" s="13">
        <f>Tributos!$B$5*SUM(AR28)</f>
        <v>290.8622963677816</v>
      </c>
      <c r="AS36" s="13">
        <f>Tributos!$B$5*SUM(AS28)</f>
        <v>290.8622963677816</v>
      </c>
      <c r="AT36" s="13">
        <f>Tributos!$B$5*SUM(AT28)</f>
        <v>290.8622963677816</v>
      </c>
      <c r="AU36" s="13">
        <f>Tributos!$B$5*SUM(AU28)</f>
        <v>299.58816525881508</v>
      </c>
      <c r="AV36" s="13">
        <f>Tributos!$B$5*SUM(AV28)</f>
        <v>299.58816525881508</v>
      </c>
      <c r="AW36" s="13">
        <f>Tributos!$B$5*SUM(AW28)</f>
        <v>299.58816525881508</v>
      </c>
      <c r="AX36" s="13">
        <f>Tributos!$B$5*SUM(AX28)</f>
        <v>299.58816525881508</v>
      </c>
      <c r="AY36" s="13">
        <f>Tributos!$B$5*SUM(AY28)</f>
        <v>299.58816525881508</v>
      </c>
      <c r="AZ36" s="13">
        <f>Tributos!$B$5*SUM(AZ28)</f>
        <v>299.58816525881508</v>
      </c>
      <c r="BA36" s="13">
        <f>Tributos!$B$5*SUM(BA28)</f>
        <v>299.58816525881508</v>
      </c>
      <c r="BB36" s="13">
        <f>Tributos!$B$5*SUM(BB28)</f>
        <v>299.58816525881508</v>
      </c>
      <c r="BC36" s="13">
        <f>Tributos!$B$5*SUM(BC28)</f>
        <v>299.58816525881508</v>
      </c>
      <c r="BD36" s="13">
        <f>Tributos!$B$5*SUM(BD28)</f>
        <v>299.58816525881508</v>
      </c>
      <c r="BE36" s="13">
        <f>Tributos!$B$5*SUM(BE28)</f>
        <v>299.58816525881508</v>
      </c>
      <c r="BF36" s="13">
        <f>Tributos!$B$5*SUM(BF28)</f>
        <v>299.58816525881508</v>
      </c>
      <c r="BG36" s="13">
        <f>Tributos!$B$5*SUM(BG28)</f>
        <v>308.57581021657955</v>
      </c>
      <c r="BH36" s="13">
        <f>Tributos!$B$5*SUM(BH28)</f>
        <v>308.57581021657955</v>
      </c>
      <c r="BI36" s="13">
        <f>Tributos!$B$5*SUM(BI28)</f>
        <v>308.57581021657955</v>
      </c>
      <c r="BJ36" s="13">
        <f>Tributos!$B$5*SUM(BJ28)</f>
        <v>308.57581021657955</v>
      </c>
      <c r="BK36" s="13">
        <f>Tributos!$B$5*SUM(BK28)</f>
        <v>308.57581021657955</v>
      </c>
      <c r="BL36" s="13">
        <f>Tributos!$B$5*SUM(BL28)</f>
        <v>308.57581021657955</v>
      </c>
      <c r="BM36" s="13">
        <f>Tributos!$B$5*SUM(BM28)</f>
        <v>308.57581021657955</v>
      </c>
      <c r="BN36" s="13">
        <f>Tributos!$B$5*SUM(BN28)</f>
        <v>308.57581021657955</v>
      </c>
      <c r="BO36" s="13">
        <f>Tributos!$B$5*SUM(BO28)</f>
        <v>308.57581021657955</v>
      </c>
      <c r="BP36" s="13">
        <f>Tributos!$B$5*SUM(BP28)</f>
        <v>308.57581021657955</v>
      </c>
      <c r="BQ36" s="13">
        <f>Tributos!$B$5*SUM(BQ28)</f>
        <v>308.57581021657955</v>
      </c>
      <c r="BR36" s="13">
        <f>Tributos!$B$5*SUM(BR28)</f>
        <v>308.57581021657955</v>
      </c>
      <c r="BS36" s="13">
        <f>Tributos!$B$5*SUM(BS28)</f>
        <v>0</v>
      </c>
      <c r="BT36" s="13">
        <f>Tributos!$B$5*SUM(BT28)</f>
        <v>0</v>
      </c>
    </row>
    <row r="37" spans="6:72" x14ac:dyDescent="0.25">
      <c r="F37" s="17">
        <f t="shared" si="59"/>
        <v>28</v>
      </c>
    </row>
    <row r="38" spans="6:72" x14ac:dyDescent="0.25">
      <c r="F38" s="17">
        <f t="shared" si="59"/>
        <v>29</v>
      </c>
      <c r="G38" s="160" t="s">
        <v>107</v>
      </c>
    </row>
    <row r="39" spans="6:72" x14ac:dyDescent="0.25">
      <c r="F39" s="17">
        <f t="shared" si="59"/>
        <v>30</v>
      </c>
      <c r="G39" s="31" t="s">
        <v>108</v>
      </c>
    </row>
    <row r="40" spans="6:72" x14ac:dyDescent="0.25">
      <c r="F40" s="17">
        <f t="shared" si="59"/>
        <v>31</v>
      </c>
      <c r="G40" s="12"/>
      <c r="H40" s="25">
        <f t="shared" ref="H40:AS40" si="66">SUM(H28)-H36</f>
        <v>0</v>
      </c>
      <c r="I40" s="25">
        <f t="shared" si="66"/>
        <v>0</v>
      </c>
      <c r="J40" s="25">
        <f t="shared" si="66"/>
        <v>0</v>
      </c>
      <c r="K40" s="25">
        <f t="shared" si="66"/>
        <v>7237.2209832271528</v>
      </c>
      <c r="L40" s="25">
        <f t="shared" si="66"/>
        <v>7237.2209832271528</v>
      </c>
      <c r="M40" s="25">
        <f t="shared" si="66"/>
        <v>7237.2209832271528</v>
      </c>
      <c r="N40" s="25">
        <f t="shared" si="66"/>
        <v>7237.2209832271528</v>
      </c>
      <c r="O40" s="25">
        <f t="shared" si="66"/>
        <v>7237.2209832271528</v>
      </c>
      <c r="P40" s="25">
        <f t="shared" si="66"/>
        <v>7237.2209832271528</v>
      </c>
      <c r="Q40" s="25">
        <f t="shared" si="66"/>
        <v>7237.2209832271528</v>
      </c>
      <c r="R40" s="25">
        <f t="shared" si="66"/>
        <v>7237.2209832271528</v>
      </c>
      <c r="S40" s="25">
        <f t="shared" si="66"/>
        <v>7237.2209832271528</v>
      </c>
      <c r="T40" s="25">
        <f t="shared" si="66"/>
        <v>7237.2209832271528</v>
      </c>
      <c r="U40" s="25">
        <f t="shared" si="66"/>
        <v>7237.2209832271528</v>
      </c>
      <c r="V40" s="25">
        <f t="shared" si="66"/>
        <v>7237.2209832271528</v>
      </c>
      <c r="W40" s="25">
        <f t="shared" si="66"/>
        <v>7454.337612723968</v>
      </c>
      <c r="X40" s="25">
        <f t="shared" si="66"/>
        <v>7454.337612723968</v>
      </c>
      <c r="Y40" s="25">
        <f t="shared" si="66"/>
        <v>7454.337612723968</v>
      </c>
      <c r="Z40" s="25">
        <f t="shared" si="66"/>
        <v>7454.337612723968</v>
      </c>
      <c r="AA40" s="25">
        <f t="shared" si="66"/>
        <v>7454.337612723968</v>
      </c>
      <c r="AB40" s="25">
        <f t="shared" si="66"/>
        <v>7454.337612723968</v>
      </c>
      <c r="AC40" s="25">
        <f t="shared" si="66"/>
        <v>7454.337612723968</v>
      </c>
      <c r="AD40" s="25">
        <f t="shared" si="66"/>
        <v>7454.337612723968</v>
      </c>
      <c r="AE40" s="25">
        <f t="shared" si="66"/>
        <v>7454.337612723968</v>
      </c>
      <c r="AF40" s="25">
        <f t="shared" si="66"/>
        <v>7454.337612723968</v>
      </c>
      <c r="AG40" s="25">
        <f t="shared" si="66"/>
        <v>7454.337612723968</v>
      </c>
      <c r="AH40" s="25">
        <f t="shared" si="66"/>
        <v>7454.337612723968</v>
      </c>
      <c r="AI40" s="25">
        <f t="shared" ref="AI40:AN40" si="67">SUM(AI28)-AI36</f>
        <v>7677.9677411056873</v>
      </c>
      <c r="AJ40" s="25">
        <f t="shared" si="67"/>
        <v>7677.9677411056873</v>
      </c>
      <c r="AK40" s="25">
        <f t="shared" si="67"/>
        <v>7677.9677411056873</v>
      </c>
      <c r="AL40" s="25">
        <f t="shared" si="67"/>
        <v>7677.9677411056873</v>
      </c>
      <c r="AM40" s="25">
        <f t="shared" si="67"/>
        <v>7677.9677411056873</v>
      </c>
      <c r="AN40" s="25">
        <f t="shared" si="67"/>
        <v>7677.9677411056873</v>
      </c>
      <c r="AO40" s="25">
        <f t="shared" si="66"/>
        <v>7677.9677411056873</v>
      </c>
      <c r="AP40" s="25">
        <f t="shared" si="66"/>
        <v>7677.9677411056873</v>
      </c>
      <c r="AQ40" s="25">
        <f t="shared" si="66"/>
        <v>7677.9677411056873</v>
      </c>
      <c r="AR40" s="25">
        <f t="shared" si="66"/>
        <v>7677.9677411056873</v>
      </c>
      <c r="AS40" s="25">
        <f t="shared" si="66"/>
        <v>7677.9677411056873</v>
      </c>
      <c r="AT40" s="25">
        <f t="shared" ref="AT40" si="68">SUM(AT28)-AT36</f>
        <v>7677.9677411056873</v>
      </c>
      <c r="AU40" s="25">
        <f t="shared" ref="AU40:AZ40" si="69">SUM(AU28)-AU36</f>
        <v>7908.3067733388589</v>
      </c>
      <c r="AV40" s="25">
        <f t="shared" si="69"/>
        <v>7908.3067733388589</v>
      </c>
      <c r="AW40" s="25">
        <f t="shared" si="69"/>
        <v>7908.3067733388589</v>
      </c>
      <c r="AX40" s="25">
        <f t="shared" si="69"/>
        <v>7908.3067733388589</v>
      </c>
      <c r="AY40" s="25">
        <f t="shared" si="69"/>
        <v>7908.3067733388589</v>
      </c>
      <c r="AZ40" s="25">
        <f t="shared" si="69"/>
        <v>7908.3067733388589</v>
      </c>
      <c r="BA40" s="25">
        <f t="shared" ref="BA40:BF40" si="70">SUM(BA28)-BA36</f>
        <v>7908.3067733388589</v>
      </c>
      <c r="BB40" s="25">
        <f t="shared" si="70"/>
        <v>7908.3067733388589</v>
      </c>
      <c r="BC40" s="25">
        <f t="shared" si="70"/>
        <v>7908.3067733388589</v>
      </c>
      <c r="BD40" s="25">
        <f t="shared" si="70"/>
        <v>7908.3067733388589</v>
      </c>
      <c r="BE40" s="25">
        <f t="shared" si="70"/>
        <v>7908.3067733388589</v>
      </c>
      <c r="BF40" s="25">
        <f t="shared" si="70"/>
        <v>7908.3067733388589</v>
      </c>
      <c r="BG40" s="25">
        <f t="shared" ref="BG40:BL40" si="71">SUM(BG28)-BG36</f>
        <v>8145.5559765390253</v>
      </c>
      <c r="BH40" s="25">
        <f t="shared" si="71"/>
        <v>8145.5559765390253</v>
      </c>
      <c r="BI40" s="25">
        <f t="shared" si="71"/>
        <v>8145.5559765390253</v>
      </c>
      <c r="BJ40" s="25">
        <f t="shared" si="71"/>
        <v>8145.5559765390253</v>
      </c>
      <c r="BK40" s="25">
        <f t="shared" si="71"/>
        <v>8145.5559765390253</v>
      </c>
      <c r="BL40" s="25">
        <f t="shared" si="71"/>
        <v>8145.5559765390253</v>
      </c>
      <c r="BM40" s="25">
        <f t="shared" ref="BM40:BQ40" si="72">SUM(BM28)-BM36</f>
        <v>8145.5559765390253</v>
      </c>
      <c r="BN40" s="25">
        <f t="shared" si="72"/>
        <v>8145.5559765390253</v>
      </c>
      <c r="BO40" s="25">
        <f t="shared" si="72"/>
        <v>8145.5559765390253</v>
      </c>
      <c r="BP40" s="25">
        <f t="shared" si="72"/>
        <v>8145.5559765390253</v>
      </c>
      <c r="BQ40" s="25">
        <f t="shared" si="72"/>
        <v>8145.5559765390253</v>
      </c>
      <c r="BR40" s="25">
        <f>SUM(BR28)-BR36</f>
        <v>8145.5559765390253</v>
      </c>
      <c r="BS40" s="25">
        <f>SUM(BS28)-BS36</f>
        <v>0</v>
      </c>
      <c r="BT40" s="25">
        <f>SUM(BT28)-BT36</f>
        <v>0</v>
      </c>
    </row>
    <row r="41" spans="6:72" x14ac:dyDescent="0.25">
      <c r="F41" s="17">
        <f t="shared" si="59"/>
        <v>32</v>
      </c>
      <c r="G41" s="31" t="s">
        <v>109</v>
      </c>
    </row>
    <row r="42" spans="6:72" x14ac:dyDescent="0.25">
      <c r="F42" s="17">
        <f t="shared" si="59"/>
        <v>33</v>
      </c>
      <c r="G42" s="12"/>
      <c r="H42" s="25">
        <f>SUM(H31:H32)</f>
        <v>0</v>
      </c>
      <c r="I42" s="25">
        <f t="shared" ref="I42:AS42" si="73">SUM(I31:I32)</f>
        <v>0</v>
      </c>
      <c r="J42" s="25">
        <f t="shared" si="73"/>
        <v>0</v>
      </c>
      <c r="K42" s="25">
        <f t="shared" si="73"/>
        <v>0</v>
      </c>
      <c r="L42" s="25">
        <f t="shared" si="73"/>
        <v>0</v>
      </c>
      <c r="M42" s="25">
        <f t="shared" si="73"/>
        <v>0</v>
      </c>
      <c r="N42" s="25">
        <f t="shared" si="73"/>
        <v>0</v>
      </c>
      <c r="O42" s="25">
        <f t="shared" si="73"/>
        <v>0</v>
      </c>
      <c r="P42" s="25">
        <f t="shared" si="73"/>
        <v>0</v>
      </c>
      <c r="Q42" s="25">
        <f t="shared" si="73"/>
        <v>0</v>
      </c>
      <c r="R42" s="25">
        <f t="shared" si="73"/>
        <v>0</v>
      </c>
      <c r="S42" s="25">
        <f t="shared" si="73"/>
        <v>0</v>
      </c>
      <c r="T42" s="25">
        <f t="shared" si="73"/>
        <v>0</v>
      </c>
      <c r="U42" s="25">
        <f t="shared" si="73"/>
        <v>0</v>
      </c>
      <c r="V42" s="25">
        <f t="shared" si="73"/>
        <v>0</v>
      </c>
      <c r="W42" s="25">
        <f t="shared" si="73"/>
        <v>0</v>
      </c>
      <c r="X42" s="25">
        <f t="shared" si="73"/>
        <v>0</v>
      </c>
      <c r="Y42" s="25">
        <f t="shared" si="73"/>
        <v>0</v>
      </c>
      <c r="Z42" s="25">
        <f t="shared" si="73"/>
        <v>0</v>
      </c>
      <c r="AA42" s="25">
        <f t="shared" si="73"/>
        <v>0</v>
      </c>
      <c r="AB42" s="25">
        <f t="shared" si="73"/>
        <v>0</v>
      </c>
      <c r="AC42" s="25">
        <f t="shared" si="73"/>
        <v>0</v>
      </c>
      <c r="AD42" s="25">
        <f t="shared" si="73"/>
        <v>0</v>
      </c>
      <c r="AE42" s="25">
        <f t="shared" si="73"/>
        <v>0</v>
      </c>
      <c r="AF42" s="25">
        <f t="shared" si="73"/>
        <v>0</v>
      </c>
      <c r="AG42" s="25">
        <f t="shared" si="73"/>
        <v>0</v>
      </c>
      <c r="AH42" s="25">
        <f t="shared" si="73"/>
        <v>0</v>
      </c>
      <c r="AI42" s="25">
        <f t="shared" ref="AI42:AN42" si="74">SUM(AI31:AI32)</f>
        <v>0</v>
      </c>
      <c r="AJ42" s="25">
        <f t="shared" si="74"/>
        <v>0</v>
      </c>
      <c r="AK42" s="25">
        <f t="shared" si="74"/>
        <v>0</v>
      </c>
      <c r="AL42" s="25">
        <f t="shared" si="74"/>
        <v>0</v>
      </c>
      <c r="AM42" s="25">
        <f t="shared" si="74"/>
        <v>0</v>
      </c>
      <c r="AN42" s="25">
        <f t="shared" si="74"/>
        <v>0</v>
      </c>
      <c r="AO42" s="25">
        <f t="shared" si="73"/>
        <v>0</v>
      </c>
      <c r="AP42" s="25">
        <f t="shared" si="73"/>
        <v>0</v>
      </c>
      <c r="AQ42" s="25">
        <f t="shared" si="73"/>
        <v>0</v>
      </c>
      <c r="AR42" s="25">
        <f t="shared" si="73"/>
        <v>0</v>
      </c>
      <c r="AS42" s="25">
        <f t="shared" si="73"/>
        <v>0</v>
      </c>
      <c r="AT42" s="25">
        <f t="shared" ref="AT42:BE42" si="75">SUM(AT31:AT32)</f>
        <v>0</v>
      </c>
      <c r="AU42" s="25">
        <f t="shared" si="75"/>
        <v>0</v>
      </c>
      <c r="AV42" s="25">
        <f t="shared" si="75"/>
        <v>0</v>
      </c>
      <c r="AW42" s="25">
        <f t="shared" si="75"/>
        <v>0</v>
      </c>
      <c r="AX42" s="25">
        <f t="shared" si="75"/>
        <v>0</v>
      </c>
      <c r="AY42" s="25">
        <f t="shared" si="75"/>
        <v>0</v>
      </c>
      <c r="AZ42" s="25">
        <f t="shared" si="75"/>
        <v>0</v>
      </c>
      <c r="BA42" s="25">
        <f t="shared" si="75"/>
        <v>0</v>
      </c>
      <c r="BB42" s="25">
        <f t="shared" si="75"/>
        <v>0</v>
      </c>
      <c r="BC42" s="25">
        <f t="shared" si="75"/>
        <v>0</v>
      </c>
      <c r="BD42" s="25">
        <f t="shared" si="75"/>
        <v>0</v>
      </c>
      <c r="BE42" s="25">
        <f t="shared" si="75"/>
        <v>0</v>
      </c>
      <c r="BF42" s="25">
        <f t="shared" ref="BF42:BQ42" si="76">SUM(BF31:BF32)</f>
        <v>0</v>
      </c>
      <c r="BG42" s="25">
        <f t="shared" si="76"/>
        <v>0</v>
      </c>
      <c r="BH42" s="25">
        <f t="shared" si="76"/>
        <v>0</v>
      </c>
      <c r="BI42" s="25">
        <f t="shared" si="76"/>
        <v>0</v>
      </c>
      <c r="BJ42" s="25">
        <f t="shared" si="76"/>
        <v>0</v>
      </c>
      <c r="BK42" s="25">
        <f t="shared" si="76"/>
        <v>0</v>
      </c>
      <c r="BL42" s="25">
        <f t="shared" si="76"/>
        <v>0</v>
      </c>
      <c r="BM42" s="25">
        <f t="shared" si="76"/>
        <v>0</v>
      </c>
      <c r="BN42" s="25">
        <f t="shared" si="76"/>
        <v>0</v>
      </c>
      <c r="BO42" s="25">
        <f t="shared" si="76"/>
        <v>0</v>
      </c>
      <c r="BP42" s="25">
        <f t="shared" si="76"/>
        <v>0</v>
      </c>
      <c r="BQ42" s="25">
        <f t="shared" si="76"/>
        <v>0</v>
      </c>
      <c r="BR42" s="25">
        <f>SUM(BR31:BR32)</f>
        <v>0</v>
      </c>
      <c r="BS42" s="25">
        <f>SUM(BS31:BS32)</f>
        <v>0</v>
      </c>
      <c r="BT42" s="25">
        <f>SUM(BT31:BT32)</f>
        <v>98915.975221646324</v>
      </c>
    </row>
    <row r="43" spans="6:72" x14ac:dyDescent="0.25">
      <c r="F43" s="17">
        <f t="shared" si="59"/>
        <v>34</v>
      </c>
    </row>
    <row r="44" spans="6:72" x14ac:dyDescent="0.25">
      <c r="F44" s="17">
        <f t="shared" si="59"/>
        <v>35</v>
      </c>
      <c r="G44" s="32" t="s">
        <v>110</v>
      </c>
    </row>
    <row r="45" spans="6:72" x14ac:dyDescent="0.25">
      <c r="F45" s="17">
        <f t="shared" si="59"/>
        <v>36</v>
      </c>
      <c r="G45" s="27"/>
      <c r="H45" s="27">
        <f>H28-H13-H11</f>
        <v>0</v>
      </c>
      <c r="I45" s="27">
        <f t="shared" ref="I45:AS45" si="77">I28-I13-I11</f>
        <v>-9822.3181824202584</v>
      </c>
      <c r="J45" s="27">
        <f t="shared" si="77"/>
        <v>-7251.3994324202577</v>
      </c>
      <c r="K45" s="27">
        <f t="shared" si="77"/>
        <v>259.98716148441599</v>
      </c>
      <c r="L45" s="27">
        <f t="shared" si="77"/>
        <v>259.98716148441599</v>
      </c>
      <c r="M45" s="27">
        <f t="shared" si="77"/>
        <v>259.98716148441599</v>
      </c>
      <c r="N45" s="27">
        <f t="shared" si="77"/>
        <v>259.98716148441599</v>
      </c>
      <c r="O45" s="27">
        <f t="shared" si="77"/>
        <v>259.98716148441599</v>
      </c>
      <c r="P45" s="27">
        <f t="shared" si="77"/>
        <v>259.98716148441599</v>
      </c>
      <c r="Q45" s="27">
        <f t="shared" si="77"/>
        <v>259.98716148441599</v>
      </c>
      <c r="R45" s="27">
        <f t="shared" si="77"/>
        <v>259.98716148441599</v>
      </c>
      <c r="S45" s="27">
        <f t="shared" si="77"/>
        <v>259.98716148441599</v>
      </c>
      <c r="T45" s="27">
        <f t="shared" si="77"/>
        <v>259.98716148441599</v>
      </c>
      <c r="U45" s="27">
        <f t="shared" si="77"/>
        <v>-4620.2178385155839</v>
      </c>
      <c r="V45" s="27">
        <f t="shared" si="77"/>
        <v>259.98716148441599</v>
      </c>
      <c r="W45" s="27">
        <f t="shared" si="77"/>
        <v>485.3287593015566</v>
      </c>
      <c r="X45" s="27">
        <f t="shared" si="77"/>
        <v>485.3287593015566</v>
      </c>
      <c r="Y45" s="27">
        <f t="shared" si="77"/>
        <v>485.3287593015566</v>
      </c>
      <c r="Z45" s="27">
        <f t="shared" si="77"/>
        <v>485.3287593015566</v>
      </c>
      <c r="AA45" s="27">
        <f t="shared" si="77"/>
        <v>485.3287593015566</v>
      </c>
      <c r="AB45" s="27">
        <f t="shared" si="77"/>
        <v>485.3287593015566</v>
      </c>
      <c r="AC45" s="27">
        <f t="shared" si="77"/>
        <v>485.3287593015566</v>
      </c>
      <c r="AD45" s="27">
        <f t="shared" si="77"/>
        <v>485.3287593015566</v>
      </c>
      <c r="AE45" s="27">
        <f t="shared" si="77"/>
        <v>485.3287593015566</v>
      </c>
      <c r="AF45" s="27">
        <f t="shared" si="77"/>
        <v>485.3287593015566</v>
      </c>
      <c r="AG45" s="27">
        <f t="shared" si="77"/>
        <v>-3685.3454906984434</v>
      </c>
      <c r="AH45" s="27">
        <f t="shared" si="77"/>
        <v>485.3287593015566</v>
      </c>
      <c r="AI45" s="27">
        <f t="shared" ref="AI45:AN45" si="78">AI28-AI13-AI11</f>
        <v>717.43060505321137</v>
      </c>
      <c r="AJ45" s="27">
        <f t="shared" si="78"/>
        <v>717.43060505321137</v>
      </c>
      <c r="AK45" s="27">
        <f t="shared" si="78"/>
        <v>717.43060505321137</v>
      </c>
      <c r="AL45" s="27">
        <f t="shared" si="78"/>
        <v>717.43060505321137</v>
      </c>
      <c r="AM45" s="27">
        <f t="shared" si="78"/>
        <v>717.43060505321137</v>
      </c>
      <c r="AN45" s="27">
        <f t="shared" si="78"/>
        <v>717.43060505321137</v>
      </c>
      <c r="AO45" s="27">
        <f t="shared" si="77"/>
        <v>717.43060505321137</v>
      </c>
      <c r="AP45" s="27">
        <f t="shared" si="77"/>
        <v>717.43060505321137</v>
      </c>
      <c r="AQ45" s="27">
        <f t="shared" si="77"/>
        <v>717.43060505321137</v>
      </c>
      <c r="AR45" s="27">
        <f t="shared" si="77"/>
        <v>717.43060505321137</v>
      </c>
      <c r="AS45" s="27">
        <f t="shared" si="77"/>
        <v>-2850.1425074467879</v>
      </c>
      <c r="AT45" s="27">
        <f t="shared" ref="AT45:BE45" si="79">AT28-AT13-AT11</f>
        <v>717.43060505321137</v>
      </c>
      <c r="AU45" s="27">
        <f t="shared" si="79"/>
        <v>956.49550617741625</v>
      </c>
      <c r="AV45" s="27">
        <f t="shared" si="79"/>
        <v>956.49550617741625</v>
      </c>
      <c r="AW45" s="27">
        <f t="shared" si="79"/>
        <v>956.49550617741625</v>
      </c>
      <c r="AX45" s="27">
        <f t="shared" si="79"/>
        <v>956.49550617741625</v>
      </c>
      <c r="AY45" s="27">
        <f t="shared" si="79"/>
        <v>956.49550617741625</v>
      </c>
      <c r="AZ45" s="27">
        <f t="shared" si="79"/>
        <v>956.49550617741625</v>
      </c>
      <c r="BA45" s="27">
        <f t="shared" si="79"/>
        <v>956.49550617741625</v>
      </c>
      <c r="BB45" s="27">
        <f t="shared" si="79"/>
        <v>956.49550617741625</v>
      </c>
      <c r="BC45" s="27">
        <f t="shared" si="79"/>
        <v>956.49550617741625</v>
      </c>
      <c r="BD45" s="27">
        <f t="shared" si="79"/>
        <v>956.49550617741625</v>
      </c>
      <c r="BE45" s="27">
        <f t="shared" si="79"/>
        <v>-1662.7010676038335</v>
      </c>
      <c r="BF45" s="27">
        <f t="shared" ref="BF45:BQ45" si="80">BF28-BF13-BF11</f>
        <v>956.49550617741625</v>
      </c>
      <c r="BG45" s="27">
        <f t="shared" si="80"/>
        <v>1202.7323543353468</v>
      </c>
      <c r="BH45" s="27">
        <f t="shared" si="80"/>
        <v>1202.7323543353468</v>
      </c>
      <c r="BI45" s="27">
        <f t="shared" si="80"/>
        <v>1202.7323543353468</v>
      </c>
      <c r="BJ45" s="27">
        <f t="shared" si="80"/>
        <v>1202.7323543353468</v>
      </c>
      <c r="BK45" s="27">
        <f t="shared" si="80"/>
        <v>1202.7323543353468</v>
      </c>
      <c r="BL45" s="27">
        <f t="shared" si="80"/>
        <v>1202.7323543353468</v>
      </c>
      <c r="BM45" s="27">
        <f t="shared" si="80"/>
        <v>1202.7323543353468</v>
      </c>
      <c r="BN45" s="27">
        <f t="shared" si="80"/>
        <v>1202.7323543353468</v>
      </c>
      <c r="BO45" s="27">
        <f t="shared" si="80"/>
        <v>1202.7323543353468</v>
      </c>
      <c r="BP45" s="27">
        <f t="shared" si="80"/>
        <v>1202.7323543353468</v>
      </c>
      <c r="BQ45" s="27">
        <f t="shared" si="80"/>
        <v>6205.3146990415426</v>
      </c>
      <c r="BR45" s="27">
        <f>BR28-BR13-BR11</f>
        <v>8454.1317867556045</v>
      </c>
      <c r="BS45" s="27">
        <f>BS28-BS13-BS11</f>
        <v>0</v>
      </c>
      <c r="BT45" s="27">
        <f>BT28-BT13-BT11</f>
        <v>0</v>
      </c>
    </row>
    <row r="46" spans="6:72" x14ac:dyDescent="0.25">
      <c r="F46" s="17">
        <f t="shared" si="59"/>
        <v>37</v>
      </c>
    </row>
    <row r="47" spans="6:72" x14ac:dyDescent="0.25">
      <c r="F47" s="17">
        <f t="shared" si="59"/>
        <v>38</v>
      </c>
    </row>
    <row r="48" spans="6:72" x14ac:dyDescent="0.25">
      <c r="F48" s="17">
        <f t="shared" si="59"/>
        <v>39</v>
      </c>
      <c r="G48" s="33" t="s">
        <v>111</v>
      </c>
    </row>
    <row r="49" spans="6:74" x14ac:dyDescent="0.25">
      <c r="F49" s="17">
        <f t="shared" si="59"/>
        <v>40</v>
      </c>
      <c r="G49" s="33" t="s">
        <v>112</v>
      </c>
    </row>
    <row r="50" spans="6:74" x14ac:dyDescent="0.25">
      <c r="F50" s="17">
        <f t="shared" si="59"/>
        <v>41</v>
      </c>
      <c r="G50" s="27" t="s">
        <v>113</v>
      </c>
      <c r="H50" s="27">
        <f>Tributos!$B$8*SUM(Cashflow!H28)*32%</f>
        <v>0</v>
      </c>
      <c r="I50" s="27">
        <f>Tributos!$B$8*SUM(Cashflow!I28)*32%</f>
        <v>0</v>
      </c>
      <c r="J50" s="27">
        <f>Tributos!$B$8*SUM(Cashflow!J28)*32%</f>
        <v>0</v>
      </c>
      <c r="K50" s="27">
        <f>Tributos!$B$8*SUM(Cashflow!K28)*32%</f>
        <v>360.54655650742433</v>
      </c>
      <c r="L50" s="27">
        <f>Tributos!$B$8*SUM(Cashflow!L28)*32%</f>
        <v>360.54655650742433</v>
      </c>
      <c r="M50" s="27">
        <f>Tributos!$B$8*SUM(Cashflow!M28)*32%</f>
        <v>360.54655650742433</v>
      </c>
      <c r="N50" s="27">
        <f>Tributos!$B$8*SUM(Cashflow!N28)*32%</f>
        <v>360.54655650742433</v>
      </c>
      <c r="O50" s="27">
        <f>Tributos!$B$8*SUM(Cashflow!O28)*32%</f>
        <v>360.54655650742433</v>
      </c>
      <c r="P50" s="27">
        <f>Tributos!$B$8*SUM(Cashflow!P28)*32%</f>
        <v>360.54655650742433</v>
      </c>
      <c r="Q50" s="27">
        <f>Tributos!$B$8*SUM(Cashflow!Q28)*32%</f>
        <v>360.54655650742433</v>
      </c>
      <c r="R50" s="27">
        <f>Tributos!$B$8*SUM(Cashflow!R28)*32%</f>
        <v>360.54655650742433</v>
      </c>
      <c r="S50" s="27">
        <f>Tributos!$B$8*SUM(Cashflow!S28)*32%</f>
        <v>360.54655650742433</v>
      </c>
      <c r="T50" s="27">
        <f>Tributos!$B$8*SUM(Cashflow!T28)*32%</f>
        <v>360.54655650742433</v>
      </c>
      <c r="U50" s="27">
        <f>Tributos!$B$8*SUM(Cashflow!U28)*32%</f>
        <v>360.54655650742433</v>
      </c>
      <c r="V50" s="27">
        <f>Tributos!$B$8*SUM(Cashflow!V28)*32%</f>
        <v>360.54655650742433</v>
      </c>
      <c r="W50" s="27">
        <f>Tributos!$B$8*SUM(Cashflow!W28)*32%</f>
        <v>371.36295320264702</v>
      </c>
      <c r="X50" s="27">
        <f>Tributos!$B$8*SUM(Cashflow!X28)*32%</f>
        <v>371.36295320264702</v>
      </c>
      <c r="Y50" s="27">
        <f>Tributos!$B$8*SUM(Cashflow!Y28)*32%</f>
        <v>371.36295320264702</v>
      </c>
      <c r="Z50" s="27">
        <f>Tributos!$B$8*SUM(Cashflow!Z28)*32%</f>
        <v>371.36295320264702</v>
      </c>
      <c r="AA50" s="27">
        <f>Tributos!$B$8*SUM(Cashflow!AA28)*32%</f>
        <v>371.36295320264702</v>
      </c>
      <c r="AB50" s="27">
        <f>Tributos!$B$8*SUM(Cashflow!AB28)*32%</f>
        <v>371.36295320264702</v>
      </c>
      <c r="AC50" s="27">
        <f>Tributos!$B$8*SUM(Cashflow!AC28)*32%</f>
        <v>371.36295320264702</v>
      </c>
      <c r="AD50" s="27">
        <f>Tributos!$B$8*SUM(Cashflow!AD28)*32%</f>
        <v>371.36295320264702</v>
      </c>
      <c r="AE50" s="27">
        <f>Tributos!$B$8*SUM(Cashflow!AE28)*32%</f>
        <v>371.36295320264702</v>
      </c>
      <c r="AF50" s="27">
        <f>Tributos!$B$8*SUM(Cashflow!AF28)*32%</f>
        <v>371.36295320264702</v>
      </c>
      <c r="AG50" s="27">
        <f>Tributos!$B$8*SUM(Cashflow!AG28)*32%</f>
        <v>371.36295320264702</v>
      </c>
      <c r="AH50" s="27">
        <f>Tributos!$B$8*SUM(Cashflow!AH28)*32%</f>
        <v>371.36295320264702</v>
      </c>
      <c r="AI50" s="27">
        <f>Tributos!$B$8*SUM(Cashflow!AI28)*32%</f>
        <v>382.50384179872651</v>
      </c>
      <c r="AJ50" s="27">
        <f>Tributos!$B$8*SUM(Cashflow!AJ28)*32%</f>
        <v>382.50384179872651</v>
      </c>
      <c r="AK50" s="27">
        <f>Tributos!$B$8*SUM(Cashflow!AK28)*32%</f>
        <v>382.50384179872651</v>
      </c>
      <c r="AL50" s="27">
        <f>Tributos!$B$8*SUM(Cashflow!AL28)*32%</f>
        <v>382.50384179872651</v>
      </c>
      <c r="AM50" s="27">
        <f>Tributos!$B$8*SUM(Cashflow!AM28)*32%</f>
        <v>382.50384179872651</v>
      </c>
      <c r="AN50" s="27">
        <f>Tributos!$B$8*SUM(Cashflow!AN28)*32%</f>
        <v>382.50384179872651</v>
      </c>
      <c r="AO50" s="27">
        <f>Tributos!$B$8*SUM(Cashflow!AO28)*32%</f>
        <v>382.50384179872651</v>
      </c>
      <c r="AP50" s="27">
        <f>Tributos!$B$8*SUM(Cashflow!AP28)*32%</f>
        <v>382.50384179872651</v>
      </c>
      <c r="AQ50" s="27">
        <f>Tributos!$B$8*SUM(Cashflow!AQ28)*32%</f>
        <v>382.50384179872651</v>
      </c>
      <c r="AR50" s="27">
        <f>Tributos!$B$8*SUM(Cashflow!AR28)*32%</f>
        <v>382.50384179872651</v>
      </c>
      <c r="AS50" s="27">
        <f>Tributos!$B$8*SUM(Cashflow!AS28)*32%</f>
        <v>382.50384179872651</v>
      </c>
      <c r="AT50" s="27">
        <f>Tributos!$B$8*SUM(Cashflow!AT28)*32%</f>
        <v>382.50384179872651</v>
      </c>
      <c r="AU50" s="27">
        <f>Tributos!$B$8*SUM(Cashflow!AU28)*32%</f>
        <v>393.97895705268837</v>
      </c>
      <c r="AV50" s="27">
        <f>Tributos!$B$8*SUM(Cashflow!AV28)*32%</f>
        <v>393.97895705268837</v>
      </c>
      <c r="AW50" s="27">
        <f>Tributos!$B$8*SUM(Cashflow!AW28)*32%</f>
        <v>393.97895705268837</v>
      </c>
      <c r="AX50" s="27">
        <f>Tributos!$B$8*SUM(Cashflow!AX28)*32%</f>
        <v>393.97895705268837</v>
      </c>
      <c r="AY50" s="27">
        <f>Tributos!$B$8*SUM(Cashflow!AY28)*32%</f>
        <v>393.97895705268837</v>
      </c>
      <c r="AZ50" s="27">
        <f>Tributos!$B$8*SUM(Cashflow!AZ28)*32%</f>
        <v>393.97895705268837</v>
      </c>
      <c r="BA50" s="27">
        <f>Tributos!$B$8*SUM(Cashflow!BA28)*32%</f>
        <v>393.97895705268837</v>
      </c>
      <c r="BB50" s="27">
        <f>Tributos!$B$8*SUM(Cashflow!BB28)*32%</f>
        <v>393.97895705268837</v>
      </c>
      <c r="BC50" s="27">
        <f>Tributos!$B$8*SUM(Cashflow!BC28)*32%</f>
        <v>393.97895705268837</v>
      </c>
      <c r="BD50" s="27">
        <f>Tributos!$B$8*SUM(Cashflow!BD28)*32%</f>
        <v>393.97895705268837</v>
      </c>
      <c r="BE50" s="27">
        <f>Tributos!$B$8*SUM(Cashflow!BE28)*32%</f>
        <v>393.97895705268837</v>
      </c>
      <c r="BF50" s="27">
        <f>Tributos!$B$8*SUM(Cashflow!BF28)*32%</f>
        <v>393.97895705268837</v>
      </c>
      <c r="BG50" s="27">
        <f>Tributos!$B$8*SUM(Cashflow!BG28)*32%</f>
        <v>405.79832576426907</v>
      </c>
      <c r="BH50" s="27">
        <f>Tributos!$B$8*SUM(Cashflow!BH28)*32%</f>
        <v>405.79832576426907</v>
      </c>
      <c r="BI50" s="27">
        <f>Tributos!$B$8*SUM(Cashflow!BI28)*32%</f>
        <v>405.79832576426907</v>
      </c>
      <c r="BJ50" s="27">
        <f>Tributos!$B$8*SUM(Cashflow!BJ28)*32%</f>
        <v>405.79832576426907</v>
      </c>
      <c r="BK50" s="27">
        <f>Tributos!$B$8*SUM(Cashflow!BK28)*32%</f>
        <v>405.79832576426907</v>
      </c>
      <c r="BL50" s="27">
        <f>Tributos!$B$8*SUM(Cashflow!BL28)*32%</f>
        <v>405.79832576426907</v>
      </c>
      <c r="BM50" s="27">
        <f>Tributos!$B$8*SUM(Cashflow!BM28)*32%</f>
        <v>405.79832576426907</v>
      </c>
      <c r="BN50" s="27">
        <f>Tributos!$B$8*SUM(Cashflow!BN28)*32%</f>
        <v>405.79832576426907</v>
      </c>
      <c r="BO50" s="27">
        <f>Tributos!$B$8*SUM(Cashflow!BO28)*32%</f>
        <v>405.79832576426907</v>
      </c>
      <c r="BP50" s="27">
        <f>Tributos!$B$8*SUM(Cashflow!BP28)*32%</f>
        <v>405.79832576426907</v>
      </c>
      <c r="BQ50" s="27">
        <f>Tributos!$B$8*SUM(Cashflow!BQ28)*32%</f>
        <v>405.79832576426907</v>
      </c>
      <c r="BR50" s="27">
        <f>Tributos!$B$8*SUM(Cashflow!BR28)*32%</f>
        <v>405.79832576426907</v>
      </c>
      <c r="BS50" s="27">
        <f>Tributos!$B$8*SUM(Cashflow!BS28)*32%</f>
        <v>0</v>
      </c>
      <c r="BT50" s="27">
        <f>Tributos!$B$8*SUM(Cashflow!BT28)*32%</f>
        <v>0</v>
      </c>
    </row>
    <row r="51" spans="6:74" x14ac:dyDescent="0.25">
      <c r="F51" s="17">
        <f t="shared" si="59"/>
        <v>42</v>
      </c>
      <c r="G51" s="27" t="s">
        <v>114</v>
      </c>
      <c r="H51" s="27">
        <f>Tributos!$B$9*SUM(Cashflow!H28)*32%</f>
        <v>0</v>
      </c>
      <c r="I51" s="27">
        <f>Tributos!$B$9*SUM(Cashflow!I28)*32%</f>
        <v>0</v>
      </c>
      <c r="J51" s="27">
        <f>Tributos!$B$9*SUM(Cashflow!J28)*32%</f>
        <v>0</v>
      </c>
      <c r="K51" s="27">
        <f>Tributos!$B$9*SUM(Cashflow!K28)*32%</f>
        <v>216.3279339044546</v>
      </c>
      <c r="L51" s="27">
        <f>Tributos!$B$9*SUM(Cashflow!L28)*32%</f>
        <v>216.3279339044546</v>
      </c>
      <c r="M51" s="27">
        <f>Tributos!$B$9*SUM(Cashflow!M28)*32%</f>
        <v>216.3279339044546</v>
      </c>
      <c r="N51" s="27">
        <f>Tributos!$B$9*SUM(Cashflow!N28)*32%</f>
        <v>216.3279339044546</v>
      </c>
      <c r="O51" s="27">
        <f>Tributos!$B$9*SUM(Cashflow!O28)*32%</f>
        <v>216.3279339044546</v>
      </c>
      <c r="P51" s="27">
        <f>Tributos!$B$9*SUM(Cashflow!P28)*32%</f>
        <v>216.3279339044546</v>
      </c>
      <c r="Q51" s="27">
        <f>Tributos!$B$9*SUM(Cashflow!Q28)*32%</f>
        <v>216.3279339044546</v>
      </c>
      <c r="R51" s="27">
        <f>Tributos!$B$9*SUM(Cashflow!R28)*32%</f>
        <v>216.3279339044546</v>
      </c>
      <c r="S51" s="27">
        <f>Tributos!$B$9*SUM(Cashflow!S28)*32%</f>
        <v>216.3279339044546</v>
      </c>
      <c r="T51" s="27">
        <f>Tributos!$B$9*SUM(Cashflow!T28)*32%</f>
        <v>216.3279339044546</v>
      </c>
      <c r="U51" s="27">
        <f>Tributos!$B$9*SUM(Cashflow!U28)*32%</f>
        <v>216.3279339044546</v>
      </c>
      <c r="V51" s="27">
        <f>Tributos!$B$9*SUM(Cashflow!V28)*32%</f>
        <v>216.3279339044546</v>
      </c>
      <c r="W51" s="27">
        <f>Tributos!$B$9*SUM(Cashflow!W28)*32%</f>
        <v>222.81777192158825</v>
      </c>
      <c r="X51" s="27">
        <f>Tributos!$B$9*SUM(Cashflow!X28)*32%</f>
        <v>222.81777192158825</v>
      </c>
      <c r="Y51" s="27">
        <f>Tributos!$B$9*SUM(Cashflow!Y28)*32%</f>
        <v>222.81777192158825</v>
      </c>
      <c r="Z51" s="27">
        <f>Tributos!$B$9*SUM(Cashflow!Z28)*32%</f>
        <v>222.81777192158825</v>
      </c>
      <c r="AA51" s="27">
        <f>Tributos!$B$9*SUM(Cashflow!AA28)*32%</f>
        <v>222.81777192158825</v>
      </c>
      <c r="AB51" s="27">
        <f>Tributos!$B$9*SUM(Cashflow!AB28)*32%</f>
        <v>222.81777192158825</v>
      </c>
      <c r="AC51" s="27">
        <f>Tributos!$B$9*SUM(Cashflow!AC28)*32%</f>
        <v>222.81777192158825</v>
      </c>
      <c r="AD51" s="27">
        <f>Tributos!$B$9*SUM(Cashflow!AD28)*32%</f>
        <v>222.81777192158825</v>
      </c>
      <c r="AE51" s="27">
        <f>Tributos!$B$9*SUM(Cashflow!AE28)*32%</f>
        <v>222.81777192158825</v>
      </c>
      <c r="AF51" s="27">
        <f>Tributos!$B$9*SUM(Cashflow!AF28)*32%</f>
        <v>222.81777192158825</v>
      </c>
      <c r="AG51" s="27">
        <f>Tributos!$B$9*SUM(Cashflow!AG28)*32%</f>
        <v>222.81777192158825</v>
      </c>
      <c r="AH51" s="27">
        <f>Tributos!$B$9*SUM(Cashflow!AH28)*32%</f>
        <v>222.81777192158825</v>
      </c>
      <c r="AI51" s="27">
        <f>Tributos!$B$9*SUM(Cashflow!AI28)*32%</f>
        <v>229.5023050792359</v>
      </c>
      <c r="AJ51" s="27">
        <f>Tributos!$B$9*SUM(Cashflow!AJ28)*32%</f>
        <v>229.5023050792359</v>
      </c>
      <c r="AK51" s="27">
        <f>Tributos!$B$9*SUM(Cashflow!AK28)*32%</f>
        <v>229.5023050792359</v>
      </c>
      <c r="AL51" s="27">
        <f>Tributos!$B$9*SUM(Cashflow!AL28)*32%</f>
        <v>229.5023050792359</v>
      </c>
      <c r="AM51" s="27">
        <f>Tributos!$B$9*SUM(Cashflow!AM28)*32%</f>
        <v>229.5023050792359</v>
      </c>
      <c r="AN51" s="27">
        <f>Tributos!$B$9*SUM(Cashflow!AN28)*32%</f>
        <v>229.5023050792359</v>
      </c>
      <c r="AO51" s="27">
        <f>Tributos!$B$9*SUM(Cashflow!AO28)*32%</f>
        <v>229.5023050792359</v>
      </c>
      <c r="AP51" s="27">
        <f>Tributos!$B$9*SUM(Cashflow!AP28)*32%</f>
        <v>229.5023050792359</v>
      </c>
      <c r="AQ51" s="27">
        <f>Tributos!$B$9*SUM(Cashflow!AQ28)*32%</f>
        <v>229.5023050792359</v>
      </c>
      <c r="AR51" s="27">
        <f>Tributos!$B$9*SUM(Cashflow!AR28)*32%</f>
        <v>229.5023050792359</v>
      </c>
      <c r="AS51" s="27">
        <f>Tributos!$B$9*SUM(Cashflow!AS28)*32%</f>
        <v>229.5023050792359</v>
      </c>
      <c r="AT51" s="27">
        <f>Tributos!$B$9*SUM(Cashflow!AT28)*32%</f>
        <v>229.5023050792359</v>
      </c>
      <c r="AU51" s="27">
        <f>Tributos!$B$9*SUM(Cashflow!AU28)*32%</f>
        <v>236.38737423161299</v>
      </c>
      <c r="AV51" s="27">
        <f>Tributos!$B$9*SUM(Cashflow!AV28)*32%</f>
        <v>236.38737423161299</v>
      </c>
      <c r="AW51" s="27">
        <f>Tributos!$B$9*SUM(Cashflow!AW28)*32%</f>
        <v>236.38737423161299</v>
      </c>
      <c r="AX51" s="27">
        <f>Tributos!$B$9*SUM(Cashflow!AX28)*32%</f>
        <v>236.38737423161299</v>
      </c>
      <c r="AY51" s="27">
        <f>Tributos!$B$9*SUM(Cashflow!AY28)*32%</f>
        <v>236.38737423161299</v>
      </c>
      <c r="AZ51" s="27">
        <f>Tributos!$B$9*SUM(Cashflow!AZ28)*32%</f>
        <v>236.38737423161299</v>
      </c>
      <c r="BA51" s="27">
        <f>Tributos!$B$9*SUM(Cashflow!BA28)*32%</f>
        <v>236.38737423161299</v>
      </c>
      <c r="BB51" s="27">
        <f>Tributos!$B$9*SUM(Cashflow!BB28)*32%</f>
        <v>236.38737423161299</v>
      </c>
      <c r="BC51" s="27">
        <f>Tributos!$B$9*SUM(Cashflow!BC28)*32%</f>
        <v>236.38737423161299</v>
      </c>
      <c r="BD51" s="27">
        <f>Tributos!$B$9*SUM(Cashflow!BD28)*32%</f>
        <v>236.38737423161299</v>
      </c>
      <c r="BE51" s="27">
        <f>Tributos!$B$9*SUM(Cashflow!BE28)*32%</f>
        <v>236.38737423161299</v>
      </c>
      <c r="BF51" s="27">
        <f>Tributos!$B$9*SUM(Cashflow!BF28)*32%</f>
        <v>236.38737423161299</v>
      </c>
      <c r="BG51" s="27">
        <f>Tributos!$B$9*SUM(Cashflow!BG28)*32%</f>
        <v>243.4789954585614</v>
      </c>
      <c r="BH51" s="27">
        <f>Tributos!$B$9*SUM(Cashflow!BH28)*32%</f>
        <v>243.4789954585614</v>
      </c>
      <c r="BI51" s="27">
        <f>Tributos!$B$9*SUM(Cashflow!BI28)*32%</f>
        <v>243.4789954585614</v>
      </c>
      <c r="BJ51" s="27">
        <f>Tributos!$B$9*SUM(Cashflow!BJ28)*32%</f>
        <v>243.4789954585614</v>
      </c>
      <c r="BK51" s="27">
        <f>Tributos!$B$9*SUM(Cashflow!BK28)*32%</f>
        <v>243.4789954585614</v>
      </c>
      <c r="BL51" s="27">
        <f>Tributos!$B$9*SUM(Cashflow!BL28)*32%</f>
        <v>243.4789954585614</v>
      </c>
      <c r="BM51" s="27">
        <f>Tributos!$B$9*SUM(Cashflow!BM28)*32%</f>
        <v>243.4789954585614</v>
      </c>
      <c r="BN51" s="27">
        <f>Tributos!$B$9*SUM(Cashflow!BN28)*32%</f>
        <v>243.4789954585614</v>
      </c>
      <c r="BO51" s="27">
        <f>Tributos!$B$9*SUM(Cashflow!BO28)*32%</f>
        <v>243.4789954585614</v>
      </c>
      <c r="BP51" s="27">
        <f>Tributos!$B$9*SUM(Cashflow!BP28)*32%</f>
        <v>243.4789954585614</v>
      </c>
      <c r="BQ51" s="27">
        <f>Tributos!$B$9*SUM(Cashflow!BQ28)*32%</f>
        <v>243.4789954585614</v>
      </c>
      <c r="BR51" s="27">
        <f>Tributos!$B$9*SUM(Cashflow!BR28)*32%</f>
        <v>243.4789954585614</v>
      </c>
      <c r="BS51" s="27">
        <f>Tributos!$B$9*SUM(Cashflow!BS28)*32%</f>
        <v>0</v>
      </c>
      <c r="BT51" s="27">
        <f>Tributos!$B$9*SUM(Cashflow!BT28)*32%</f>
        <v>0</v>
      </c>
    </row>
    <row r="52" spans="6:74" x14ac:dyDescent="0.25">
      <c r="F52" s="17">
        <f t="shared" si="59"/>
        <v>43</v>
      </c>
      <c r="G52" s="33" t="s">
        <v>115</v>
      </c>
    </row>
    <row r="53" spans="6:74" x14ac:dyDescent="0.25">
      <c r="F53" s="17">
        <f t="shared" si="59"/>
        <v>44</v>
      </c>
      <c r="G53" s="27" t="s">
        <v>116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0</v>
      </c>
      <c r="BB53" s="27">
        <v>0</v>
      </c>
      <c r="BC53" s="27">
        <v>0</v>
      </c>
      <c r="BD53" s="27">
        <v>0</v>
      </c>
      <c r="BE53" s="27">
        <v>0</v>
      </c>
      <c r="BF53" s="27">
        <v>0</v>
      </c>
      <c r="BG53" s="27">
        <v>0</v>
      </c>
      <c r="BH53" s="27">
        <v>0</v>
      </c>
      <c r="BI53" s="27">
        <v>0</v>
      </c>
      <c r="BJ53" s="27">
        <v>0</v>
      </c>
      <c r="BK53" s="27">
        <v>0</v>
      </c>
      <c r="BL53" s="27">
        <v>0</v>
      </c>
      <c r="BM53" s="27">
        <v>0</v>
      </c>
      <c r="BN53" s="27">
        <v>0</v>
      </c>
      <c r="BO53" s="27">
        <v>0</v>
      </c>
      <c r="BP53" s="27">
        <v>0</v>
      </c>
      <c r="BQ53" s="27">
        <v>0</v>
      </c>
      <c r="BR53" s="27">
        <v>0</v>
      </c>
      <c r="BS53" s="27">
        <v>0</v>
      </c>
      <c r="BT53" s="196"/>
    </row>
    <row r="54" spans="6:74" x14ac:dyDescent="0.25">
      <c r="F54" s="17">
        <f t="shared" si="59"/>
        <v>45</v>
      </c>
      <c r="G54" s="27" t="s">
        <v>117</v>
      </c>
      <c r="H54" s="27">
        <f>H28*3.2%</f>
        <v>0</v>
      </c>
      <c r="I54" s="27">
        <f t="shared" ref="I54:AS54" si="81">I28*3.2%</f>
        <v>0</v>
      </c>
      <c r="J54" s="27">
        <f t="shared" si="81"/>
        <v>0</v>
      </c>
      <c r="K54" s="27">
        <f t="shared" si="81"/>
        <v>240.36437100494956</v>
      </c>
      <c r="L54" s="27">
        <f t="shared" si="81"/>
        <v>240.36437100494956</v>
      </c>
      <c r="M54" s="27">
        <f t="shared" si="81"/>
        <v>240.36437100494956</v>
      </c>
      <c r="N54" s="27">
        <f t="shared" si="81"/>
        <v>240.36437100494956</v>
      </c>
      <c r="O54" s="27">
        <f t="shared" si="81"/>
        <v>240.36437100494956</v>
      </c>
      <c r="P54" s="27">
        <f t="shared" si="81"/>
        <v>240.36437100494956</v>
      </c>
      <c r="Q54" s="27">
        <f t="shared" si="81"/>
        <v>240.36437100494956</v>
      </c>
      <c r="R54" s="27">
        <f t="shared" si="81"/>
        <v>240.36437100494956</v>
      </c>
      <c r="S54" s="27">
        <f t="shared" si="81"/>
        <v>240.36437100494956</v>
      </c>
      <c r="T54" s="27">
        <f t="shared" si="81"/>
        <v>240.36437100494956</v>
      </c>
      <c r="U54" s="27">
        <f t="shared" si="81"/>
        <v>240.36437100494956</v>
      </c>
      <c r="V54" s="27">
        <f t="shared" si="81"/>
        <v>240.36437100494956</v>
      </c>
      <c r="W54" s="27">
        <f t="shared" si="81"/>
        <v>247.57530213509807</v>
      </c>
      <c r="X54" s="27">
        <f t="shared" si="81"/>
        <v>247.57530213509807</v>
      </c>
      <c r="Y54" s="27">
        <f t="shared" si="81"/>
        <v>247.57530213509807</v>
      </c>
      <c r="Z54" s="27">
        <f t="shared" si="81"/>
        <v>247.57530213509807</v>
      </c>
      <c r="AA54" s="27">
        <f t="shared" si="81"/>
        <v>247.57530213509807</v>
      </c>
      <c r="AB54" s="27">
        <f t="shared" si="81"/>
        <v>247.57530213509807</v>
      </c>
      <c r="AC54" s="27">
        <f t="shared" si="81"/>
        <v>247.57530213509807</v>
      </c>
      <c r="AD54" s="27">
        <f t="shared" si="81"/>
        <v>247.57530213509807</v>
      </c>
      <c r="AE54" s="27">
        <f t="shared" si="81"/>
        <v>247.57530213509807</v>
      </c>
      <c r="AF54" s="27">
        <f t="shared" si="81"/>
        <v>247.57530213509807</v>
      </c>
      <c r="AG54" s="27">
        <f t="shared" si="81"/>
        <v>247.57530213509807</v>
      </c>
      <c r="AH54" s="27">
        <f t="shared" si="81"/>
        <v>247.57530213509807</v>
      </c>
      <c r="AI54" s="27">
        <f t="shared" si="81"/>
        <v>255.00256119915102</v>
      </c>
      <c r="AJ54" s="27">
        <f t="shared" si="81"/>
        <v>255.00256119915102</v>
      </c>
      <c r="AK54" s="27">
        <f t="shared" si="81"/>
        <v>255.00256119915102</v>
      </c>
      <c r="AL54" s="27">
        <f t="shared" si="81"/>
        <v>255.00256119915102</v>
      </c>
      <c r="AM54" s="27">
        <f t="shared" si="81"/>
        <v>255.00256119915102</v>
      </c>
      <c r="AN54" s="27">
        <f t="shared" si="81"/>
        <v>255.00256119915102</v>
      </c>
      <c r="AO54" s="27">
        <f t="shared" si="81"/>
        <v>255.00256119915102</v>
      </c>
      <c r="AP54" s="27">
        <f t="shared" si="81"/>
        <v>255.00256119915102</v>
      </c>
      <c r="AQ54" s="27">
        <f t="shared" si="81"/>
        <v>255.00256119915102</v>
      </c>
      <c r="AR54" s="27">
        <f t="shared" si="81"/>
        <v>255.00256119915102</v>
      </c>
      <c r="AS54" s="27">
        <f t="shared" si="81"/>
        <v>255.00256119915102</v>
      </c>
      <c r="AT54" s="27">
        <f t="shared" ref="AT54:BE54" si="82">AT28*3.2%</f>
        <v>255.00256119915102</v>
      </c>
      <c r="AU54" s="27">
        <f t="shared" si="82"/>
        <v>262.65263803512556</v>
      </c>
      <c r="AV54" s="27">
        <f t="shared" si="82"/>
        <v>262.65263803512556</v>
      </c>
      <c r="AW54" s="27">
        <f t="shared" si="82"/>
        <v>262.65263803512556</v>
      </c>
      <c r="AX54" s="27">
        <f t="shared" si="82"/>
        <v>262.65263803512556</v>
      </c>
      <c r="AY54" s="27">
        <f t="shared" si="82"/>
        <v>262.65263803512556</v>
      </c>
      <c r="AZ54" s="27">
        <f t="shared" si="82"/>
        <v>262.65263803512556</v>
      </c>
      <c r="BA54" s="27">
        <f t="shared" si="82"/>
        <v>262.65263803512556</v>
      </c>
      <c r="BB54" s="27">
        <f t="shared" si="82"/>
        <v>262.65263803512556</v>
      </c>
      <c r="BC54" s="27">
        <f t="shared" si="82"/>
        <v>262.65263803512556</v>
      </c>
      <c r="BD54" s="27">
        <f t="shared" si="82"/>
        <v>262.65263803512556</v>
      </c>
      <c r="BE54" s="27">
        <f t="shared" si="82"/>
        <v>262.65263803512556</v>
      </c>
      <c r="BF54" s="27">
        <f t="shared" ref="BF54:BQ54" si="83">BF28*3.2%</f>
        <v>262.65263803512556</v>
      </c>
      <c r="BG54" s="27">
        <f t="shared" si="83"/>
        <v>270.53221717617936</v>
      </c>
      <c r="BH54" s="27">
        <f t="shared" si="83"/>
        <v>270.53221717617936</v>
      </c>
      <c r="BI54" s="27">
        <f t="shared" si="83"/>
        <v>270.53221717617936</v>
      </c>
      <c r="BJ54" s="27">
        <f t="shared" si="83"/>
        <v>270.53221717617936</v>
      </c>
      <c r="BK54" s="27">
        <f t="shared" si="83"/>
        <v>270.53221717617936</v>
      </c>
      <c r="BL54" s="27">
        <f t="shared" si="83"/>
        <v>270.53221717617936</v>
      </c>
      <c r="BM54" s="27">
        <f t="shared" si="83"/>
        <v>270.53221717617936</v>
      </c>
      <c r="BN54" s="27">
        <f t="shared" si="83"/>
        <v>270.53221717617936</v>
      </c>
      <c r="BO54" s="27">
        <f t="shared" si="83"/>
        <v>270.53221717617936</v>
      </c>
      <c r="BP54" s="27">
        <f t="shared" si="83"/>
        <v>270.53221717617936</v>
      </c>
      <c r="BQ54" s="27">
        <f t="shared" si="83"/>
        <v>270.53221717617936</v>
      </c>
      <c r="BR54" s="27">
        <f>BR28*3.2%</f>
        <v>270.53221717617936</v>
      </c>
      <c r="BS54" s="27">
        <f>BS28*3.2%</f>
        <v>0</v>
      </c>
      <c r="BT54" s="196"/>
    </row>
    <row r="55" spans="6:74" x14ac:dyDescent="0.25">
      <c r="F55" s="17"/>
      <c r="G55" s="27" t="s">
        <v>106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0</v>
      </c>
      <c r="BB55" s="27">
        <v>0</v>
      </c>
      <c r="BC55" s="27">
        <v>0</v>
      </c>
      <c r="BD55" s="27">
        <v>0</v>
      </c>
      <c r="BE55" s="27">
        <v>0</v>
      </c>
      <c r="BF55" s="27">
        <v>0</v>
      </c>
      <c r="BG55" s="27">
        <v>0</v>
      </c>
      <c r="BH55" s="27">
        <v>0</v>
      </c>
      <c r="BI55" s="27">
        <v>0</v>
      </c>
      <c r="BJ55" s="27">
        <v>0</v>
      </c>
      <c r="BK55" s="27">
        <v>0</v>
      </c>
      <c r="BL55" s="27">
        <v>0</v>
      </c>
      <c r="BM55" s="27">
        <v>0</v>
      </c>
      <c r="BN55" s="27">
        <v>0</v>
      </c>
      <c r="BO55" s="27">
        <v>0</v>
      </c>
      <c r="BP55" s="27">
        <v>0</v>
      </c>
      <c r="BQ55" s="27">
        <v>0</v>
      </c>
      <c r="BR55" s="27">
        <v>0</v>
      </c>
      <c r="BS55" s="27">
        <v>0</v>
      </c>
      <c r="BT55" s="196"/>
    </row>
    <row r="56" spans="6:74" x14ac:dyDescent="0.25">
      <c r="F56" s="17">
        <f>F54+1</f>
        <v>46</v>
      </c>
      <c r="G56" s="27" t="s">
        <v>118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</v>
      </c>
      <c r="BR56" s="27">
        <v>0</v>
      </c>
      <c r="BS56" s="27">
        <v>0</v>
      </c>
      <c r="BT56" s="196"/>
    </row>
    <row r="57" spans="6:74" x14ac:dyDescent="0.25">
      <c r="F57" s="17">
        <f>F56+1</f>
        <v>47</v>
      </c>
    </row>
    <row r="58" spans="6:74" x14ac:dyDescent="0.25">
      <c r="F58" s="17">
        <f t="shared" si="59"/>
        <v>48</v>
      </c>
      <c r="G58" s="165" t="s">
        <v>119</v>
      </c>
    </row>
    <row r="59" spans="6:74" x14ac:dyDescent="0.25">
      <c r="F59" s="17">
        <f t="shared" si="59"/>
        <v>49</v>
      </c>
      <c r="G59" s="27" t="s">
        <v>120</v>
      </c>
      <c r="H59" s="27">
        <f>H45-H50-H51-H54</f>
        <v>0</v>
      </c>
      <c r="I59" s="27">
        <f t="shared" ref="I59:AS59" si="84">I45-I50-I51-I54</f>
        <v>-9822.3181824202584</v>
      </c>
      <c r="J59" s="27">
        <f t="shared" si="84"/>
        <v>-7251.3994324202577</v>
      </c>
      <c r="K59" s="27">
        <f t="shared" si="84"/>
        <v>-557.25169993241252</v>
      </c>
      <c r="L59" s="27">
        <f t="shared" si="84"/>
        <v>-557.25169993241252</v>
      </c>
      <c r="M59" s="27">
        <f t="shared" si="84"/>
        <v>-557.25169993241252</v>
      </c>
      <c r="N59" s="27">
        <f t="shared" si="84"/>
        <v>-557.25169993241252</v>
      </c>
      <c r="O59" s="27">
        <f t="shared" si="84"/>
        <v>-557.25169993241252</v>
      </c>
      <c r="P59" s="27">
        <f t="shared" si="84"/>
        <v>-557.25169993241252</v>
      </c>
      <c r="Q59" s="27">
        <f t="shared" si="84"/>
        <v>-557.25169993241252</v>
      </c>
      <c r="R59" s="27">
        <f t="shared" si="84"/>
        <v>-557.25169993241252</v>
      </c>
      <c r="S59" s="27">
        <f t="shared" si="84"/>
        <v>-557.25169993241252</v>
      </c>
      <c r="T59" s="27">
        <f t="shared" si="84"/>
        <v>-557.25169993241252</v>
      </c>
      <c r="U59" s="27">
        <f t="shared" si="84"/>
        <v>-5437.4566999324124</v>
      </c>
      <c r="V59" s="27">
        <f t="shared" si="84"/>
        <v>-557.25169993241252</v>
      </c>
      <c r="W59" s="27">
        <f t="shared" si="84"/>
        <v>-356.42726795777673</v>
      </c>
      <c r="X59" s="27">
        <f t="shared" si="84"/>
        <v>-356.42726795777673</v>
      </c>
      <c r="Y59" s="27">
        <f t="shared" si="84"/>
        <v>-356.42726795777673</v>
      </c>
      <c r="Z59" s="27">
        <f t="shared" si="84"/>
        <v>-356.42726795777673</v>
      </c>
      <c r="AA59" s="27">
        <f t="shared" si="84"/>
        <v>-356.42726795777673</v>
      </c>
      <c r="AB59" s="27">
        <f t="shared" si="84"/>
        <v>-356.42726795777673</v>
      </c>
      <c r="AC59" s="27">
        <f t="shared" si="84"/>
        <v>-356.42726795777673</v>
      </c>
      <c r="AD59" s="27">
        <f t="shared" si="84"/>
        <v>-356.42726795777673</v>
      </c>
      <c r="AE59" s="27">
        <f t="shared" si="84"/>
        <v>-356.42726795777673</v>
      </c>
      <c r="AF59" s="27">
        <f t="shared" si="84"/>
        <v>-356.42726795777673</v>
      </c>
      <c r="AG59" s="27">
        <f t="shared" si="84"/>
        <v>-4527.1015179577771</v>
      </c>
      <c r="AH59" s="27">
        <f t="shared" si="84"/>
        <v>-356.42726795777673</v>
      </c>
      <c r="AI59" s="27">
        <f t="shared" si="84"/>
        <v>-149.57810302390206</v>
      </c>
      <c r="AJ59" s="27">
        <f t="shared" si="84"/>
        <v>-149.57810302390206</v>
      </c>
      <c r="AK59" s="27">
        <f t="shared" si="84"/>
        <v>-149.57810302390206</v>
      </c>
      <c r="AL59" s="27">
        <f t="shared" si="84"/>
        <v>-149.57810302390206</v>
      </c>
      <c r="AM59" s="27">
        <f t="shared" si="84"/>
        <v>-149.57810302390206</v>
      </c>
      <c r="AN59" s="27">
        <f t="shared" si="84"/>
        <v>-149.57810302390206</v>
      </c>
      <c r="AO59" s="27">
        <f t="shared" si="84"/>
        <v>-149.57810302390206</v>
      </c>
      <c r="AP59" s="27">
        <f t="shared" si="84"/>
        <v>-149.57810302390206</v>
      </c>
      <c r="AQ59" s="27">
        <f t="shared" si="84"/>
        <v>-149.57810302390206</v>
      </c>
      <c r="AR59" s="27">
        <f t="shared" si="84"/>
        <v>-149.57810302390206</v>
      </c>
      <c r="AS59" s="27">
        <f t="shared" si="84"/>
        <v>-3717.1512155239016</v>
      </c>
      <c r="AT59" s="27">
        <f t="shared" ref="AT59:BE59" si="85">AT45-AT50-AT51-AT54</f>
        <v>-149.57810302390206</v>
      </c>
      <c r="AU59" s="27">
        <f t="shared" si="85"/>
        <v>63.476536857989288</v>
      </c>
      <c r="AV59" s="27">
        <f t="shared" si="85"/>
        <v>63.476536857989288</v>
      </c>
      <c r="AW59" s="27">
        <f t="shared" si="85"/>
        <v>63.476536857989288</v>
      </c>
      <c r="AX59" s="27">
        <f t="shared" si="85"/>
        <v>63.476536857989288</v>
      </c>
      <c r="AY59" s="27">
        <f t="shared" si="85"/>
        <v>63.476536857989288</v>
      </c>
      <c r="AZ59" s="27">
        <f t="shared" si="85"/>
        <v>63.476536857989288</v>
      </c>
      <c r="BA59" s="27">
        <f t="shared" si="85"/>
        <v>63.476536857989288</v>
      </c>
      <c r="BB59" s="27">
        <f t="shared" si="85"/>
        <v>63.476536857989288</v>
      </c>
      <c r="BC59" s="27">
        <f t="shared" si="85"/>
        <v>63.476536857989288</v>
      </c>
      <c r="BD59" s="27">
        <f t="shared" si="85"/>
        <v>63.476536857989288</v>
      </c>
      <c r="BE59" s="27">
        <f t="shared" si="85"/>
        <v>-2555.7200369232605</v>
      </c>
      <c r="BF59" s="27">
        <f t="shared" ref="BF59:BQ59" si="86">BF45-BF50-BF51-BF54</f>
        <v>63.476536857989288</v>
      </c>
      <c r="BG59" s="27">
        <f t="shared" si="86"/>
        <v>282.92281593633703</v>
      </c>
      <c r="BH59" s="27">
        <f t="shared" si="86"/>
        <v>282.92281593633703</v>
      </c>
      <c r="BI59" s="27">
        <f t="shared" si="86"/>
        <v>282.92281593633703</v>
      </c>
      <c r="BJ59" s="27">
        <f t="shared" si="86"/>
        <v>282.92281593633703</v>
      </c>
      <c r="BK59" s="27">
        <f t="shared" si="86"/>
        <v>282.92281593633703</v>
      </c>
      <c r="BL59" s="27">
        <f t="shared" si="86"/>
        <v>282.92281593633703</v>
      </c>
      <c r="BM59" s="27">
        <f t="shared" si="86"/>
        <v>282.92281593633703</v>
      </c>
      <c r="BN59" s="27">
        <f t="shared" si="86"/>
        <v>282.92281593633703</v>
      </c>
      <c r="BO59" s="27">
        <f t="shared" si="86"/>
        <v>282.92281593633703</v>
      </c>
      <c r="BP59" s="27">
        <f t="shared" si="86"/>
        <v>282.92281593633703</v>
      </c>
      <c r="BQ59" s="27">
        <f t="shared" si="86"/>
        <v>5285.5051606425332</v>
      </c>
      <c r="BR59" s="27">
        <f>BR45-BR50-BR51-BR54</f>
        <v>7534.3222483565951</v>
      </c>
      <c r="BS59" s="27">
        <f>BS45-BS50-BS51-BS54</f>
        <v>0</v>
      </c>
      <c r="BT59" s="27">
        <f>BT45-BT50-BT51-BT54</f>
        <v>0</v>
      </c>
    </row>
    <row r="60" spans="6:74" x14ac:dyDescent="0.25">
      <c r="F60" s="17">
        <f t="shared" si="59"/>
        <v>50</v>
      </c>
      <c r="G60" s="27" t="s">
        <v>121</v>
      </c>
      <c r="H60" s="27">
        <f t="shared" ref="H60:U60" si="87">H42-H53-H54-H56</f>
        <v>0</v>
      </c>
      <c r="I60" s="27">
        <f t="shared" si="87"/>
        <v>0</v>
      </c>
      <c r="J60" s="27">
        <f t="shared" si="87"/>
        <v>0</v>
      </c>
      <c r="K60" s="27">
        <f t="shared" si="87"/>
        <v>-240.36437100494956</v>
      </c>
      <c r="L60" s="27">
        <f t="shared" si="87"/>
        <v>-240.36437100494956</v>
      </c>
      <c r="M60" s="27">
        <f t="shared" si="87"/>
        <v>-240.36437100494956</v>
      </c>
      <c r="N60" s="27">
        <f t="shared" si="87"/>
        <v>-240.36437100494956</v>
      </c>
      <c r="O60" s="27">
        <f t="shared" si="87"/>
        <v>-240.36437100494956</v>
      </c>
      <c r="P60" s="27">
        <f t="shared" si="87"/>
        <v>-240.36437100494956</v>
      </c>
      <c r="Q60" s="27">
        <f t="shared" si="87"/>
        <v>-240.36437100494956</v>
      </c>
      <c r="R60" s="27">
        <f t="shared" si="87"/>
        <v>-240.36437100494956</v>
      </c>
      <c r="S60" s="27">
        <f t="shared" si="87"/>
        <v>-240.36437100494956</v>
      </c>
      <c r="T60" s="27">
        <f t="shared" si="87"/>
        <v>-240.36437100494956</v>
      </c>
      <c r="U60" s="27">
        <f t="shared" si="87"/>
        <v>-240.36437100494956</v>
      </c>
      <c r="V60" s="27">
        <f t="shared" ref="V60:AS60" si="88">V42-V53-V54-V56</f>
        <v>-240.36437100494956</v>
      </c>
      <c r="W60" s="27">
        <f t="shared" si="88"/>
        <v>-247.57530213509807</v>
      </c>
      <c r="X60" s="27">
        <f t="shared" si="88"/>
        <v>-247.57530213509807</v>
      </c>
      <c r="Y60" s="27">
        <f t="shared" si="88"/>
        <v>-247.57530213509807</v>
      </c>
      <c r="Z60" s="27">
        <f t="shared" si="88"/>
        <v>-247.57530213509807</v>
      </c>
      <c r="AA60" s="27">
        <f t="shared" si="88"/>
        <v>-247.57530213509807</v>
      </c>
      <c r="AB60" s="27">
        <f t="shared" si="88"/>
        <v>-247.57530213509807</v>
      </c>
      <c r="AC60" s="27">
        <f t="shared" si="88"/>
        <v>-247.57530213509807</v>
      </c>
      <c r="AD60" s="27">
        <f t="shared" si="88"/>
        <v>-247.57530213509807</v>
      </c>
      <c r="AE60" s="27">
        <f t="shared" si="88"/>
        <v>-247.57530213509807</v>
      </c>
      <c r="AF60" s="27">
        <f t="shared" si="88"/>
        <v>-247.57530213509807</v>
      </c>
      <c r="AG60" s="27">
        <f t="shared" si="88"/>
        <v>-247.57530213509807</v>
      </c>
      <c r="AH60" s="27">
        <f t="shared" si="88"/>
        <v>-247.57530213509807</v>
      </c>
      <c r="AI60" s="27">
        <f t="shared" ref="AI60:AN60" si="89">AI42-AI53-AI54-AI56</f>
        <v>-255.00256119915102</v>
      </c>
      <c r="AJ60" s="27">
        <f t="shared" si="89"/>
        <v>-255.00256119915102</v>
      </c>
      <c r="AK60" s="27">
        <f t="shared" si="89"/>
        <v>-255.00256119915102</v>
      </c>
      <c r="AL60" s="27">
        <f t="shared" si="89"/>
        <v>-255.00256119915102</v>
      </c>
      <c r="AM60" s="27">
        <f t="shared" si="89"/>
        <v>-255.00256119915102</v>
      </c>
      <c r="AN60" s="27">
        <f t="shared" si="89"/>
        <v>-255.00256119915102</v>
      </c>
      <c r="AO60" s="27">
        <f t="shared" si="88"/>
        <v>-255.00256119915102</v>
      </c>
      <c r="AP60" s="27">
        <f t="shared" si="88"/>
        <v>-255.00256119915102</v>
      </c>
      <c r="AQ60" s="27">
        <f t="shared" si="88"/>
        <v>-255.00256119915102</v>
      </c>
      <c r="AR60" s="27">
        <f t="shared" si="88"/>
        <v>-255.00256119915102</v>
      </c>
      <c r="AS60" s="27">
        <f t="shared" si="88"/>
        <v>-255.00256119915102</v>
      </c>
      <c r="AT60" s="27">
        <f t="shared" ref="AT60:BE60" si="90">AT42-AT53-AT54-AT56</f>
        <v>-255.00256119915102</v>
      </c>
      <c r="AU60" s="27">
        <f t="shared" si="90"/>
        <v>-262.65263803512556</v>
      </c>
      <c r="AV60" s="27">
        <f t="shared" si="90"/>
        <v>-262.65263803512556</v>
      </c>
      <c r="AW60" s="27">
        <f t="shared" si="90"/>
        <v>-262.65263803512556</v>
      </c>
      <c r="AX60" s="27">
        <f t="shared" si="90"/>
        <v>-262.65263803512556</v>
      </c>
      <c r="AY60" s="27">
        <f t="shared" si="90"/>
        <v>-262.65263803512556</v>
      </c>
      <c r="AZ60" s="27">
        <f t="shared" si="90"/>
        <v>-262.65263803512556</v>
      </c>
      <c r="BA60" s="27">
        <f t="shared" si="90"/>
        <v>-262.65263803512556</v>
      </c>
      <c r="BB60" s="27">
        <f t="shared" si="90"/>
        <v>-262.65263803512556</v>
      </c>
      <c r="BC60" s="27">
        <f t="shared" si="90"/>
        <v>-262.65263803512556</v>
      </c>
      <c r="BD60" s="27">
        <f t="shared" si="90"/>
        <v>-262.65263803512556</v>
      </c>
      <c r="BE60" s="27">
        <f t="shared" si="90"/>
        <v>-262.65263803512556</v>
      </c>
      <c r="BF60" s="27">
        <f t="shared" ref="BF60:BQ60" si="91">BF42-BF53-BF54-BF56</f>
        <v>-262.65263803512556</v>
      </c>
      <c r="BG60" s="27">
        <f t="shared" si="91"/>
        <v>-270.53221717617936</v>
      </c>
      <c r="BH60" s="27">
        <f t="shared" si="91"/>
        <v>-270.53221717617936</v>
      </c>
      <c r="BI60" s="27">
        <f t="shared" si="91"/>
        <v>-270.53221717617936</v>
      </c>
      <c r="BJ60" s="27">
        <f t="shared" si="91"/>
        <v>-270.53221717617936</v>
      </c>
      <c r="BK60" s="27">
        <f t="shared" si="91"/>
        <v>-270.53221717617936</v>
      </c>
      <c r="BL60" s="27">
        <f t="shared" si="91"/>
        <v>-270.53221717617936</v>
      </c>
      <c r="BM60" s="27">
        <f t="shared" si="91"/>
        <v>-270.53221717617936</v>
      </c>
      <c r="BN60" s="27">
        <f t="shared" si="91"/>
        <v>-270.53221717617936</v>
      </c>
      <c r="BO60" s="27">
        <f t="shared" si="91"/>
        <v>-270.53221717617936</v>
      </c>
      <c r="BP60" s="27">
        <f t="shared" si="91"/>
        <v>-270.53221717617936</v>
      </c>
      <c r="BQ60" s="27">
        <f t="shared" si="91"/>
        <v>-270.53221717617936</v>
      </c>
      <c r="BR60" s="27">
        <f>BR42-BR53-BR54-BR56</f>
        <v>-270.53221717617936</v>
      </c>
      <c r="BS60" s="27">
        <f>BS42-BS53-BS54-BS56</f>
        <v>0</v>
      </c>
      <c r="BT60" s="27">
        <f>BT42-BT53-BT54-BT56</f>
        <v>98915.975221646324</v>
      </c>
    </row>
    <row r="61" spans="6:74" x14ac:dyDescent="0.25">
      <c r="F61" s="17">
        <f t="shared" si="59"/>
        <v>51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</row>
    <row r="62" spans="6:74" x14ac:dyDescent="0.25">
      <c r="F62" s="17">
        <f t="shared" si="59"/>
        <v>52</v>
      </c>
      <c r="G62" s="32" t="s">
        <v>122</v>
      </c>
    </row>
    <row r="63" spans="6:74" x14ac:dyDescent="0.25">
      <c r="F63" s="17">
        <f t="shared" si="59"/>
        <v>53</v>
      </c>
      <c r="G63" s="27"/>
      <c r="H63" s="27">
        <f t="shared" ref="H63:BS63" si="92">H59+H31+H32</f>
        <v>0</v>
      </c>
      <c r="I63" s="27">
        <f t="shared" si="92"/>
        <v>-9822.3181824202584</v>
      </c>
      <c r="J63" s="27">
        <f t="shared" si="92"/>
        <v>-7251.3994324202577</v>
      </c>
      <c r="K63" s="27">
        <f t="shared" si="92"/>
        <v>-557.25169993241252</v>
      </c>
      <c r="L63" s="27">
        <f t="shared" si="92"/>
        <v>-557.25169993241252</v>
      </c>
      <c r="M63" s="27">
        <f t="shared" si="92"/>
        <v>-557.25169993241252</v>
      </c>
      <c r="N63" s="27">
        <f t="shared" si="92"/>
        <v>-557.25169993241252</v>
      </c>
      <c r="O63" s="27">
        <f t="shared" si="92"/>
        <v>-557.25169993241252</v>
      </c>
      <c r="P63" s="27">
        <f t="shared" si="92"/>
        <v>-557.25169993241252</v>
      </c>
      <c r="Q63" s="27">
        <f t="shared" si="92"/>
        <v>-557.25169993241252</v>
      </c>
      <c r="R63" s="27">
        <f t="shared" si="92"/>
        <v>-557.25169993241252</v>
      </c>
      <c r="S63" s="27">
        <f t="shared" si="92"/>
        <v>-557.25169993241252</v>
      </c>
      <c r="T63" s="27">
        <f t="shared" si="92"/>
        <v>-557.25169993241252</v>
      </c>
      <c r="U63" s="27">
        <f t="shared" si="92"/>
        <v>-5437.4566999324124</v>
      </c>
      <c r="V63" s="27">
        <f t="shared" si="92"/>
        <v>-557.25169993241252</v>
      </c>
      <c r="W63" s="27">
        <f t="shared" si="92"/>
        <v>-356.42726795777673</v>
      </c>
      <c r="X63" s="27">
        <f t="shared" si="92"/>
        <v>-356.42726795777673</v>
      </c>
      <c r="Y63" s="27">
        <f t="shared" si="92"/>
        <v>-356.42726795777673</v>
      </c>
      <c r="Z63" s="27">
        <f t="shared" si="92"/>
        <v>-356.42726795777673</v>
      </c>
      <c r="AA63" s="27">
        <f t="shared" si="92"/>
        <v>-356.42726795777673</v>
      </c>
      <c r="AB63" s="27">
        <f t="shared" si="92"/>
        <v>-356.42726795777673</v>
      </c>
      <c r="AC63" s="27">
        <f t="shared" si="92"/>
        <v>-356.42726795777673</v>
      </c>
      <c r="AD63" s="27">
        <f t="shared" si="92"/>
        <v>-356.42726795777673</v>
      </c>
      <c r="AE63" s="27">
        <f t="shared" si="92"/>
        <v>-356.42726795777673</v>
      </c>
      <c r="AF63" s="27">
        <f t="shared" si="92"/>
        <v>-356.42726795777673</v>
      </c>
      <c r="AG63" s="27">
        <f t="shared" si="92"/>
        <v>-4527.1015179577771</v>
      </c>
      <c r="AH63" s="27">
        <f t="shared" si="92"/>
        <v>-356.42726795777673</v>
      </c>
      <c r="AI63" s="27">
        <f t="shared" si="92"/>
        <v>-149.57810302390206</v>
      </c>
      <c r="AJ63" s="27">
        <f t="shared" si="92"/>
        <v>-149.57810302390206</v>
      </c>
      <c r="AK63" s="27">
        <f t="shared" si="92"/>
        <v>-149.57810302390206</v>
      </c>
      <c r="AL63" s="27">
        <f t="shared" si="92"/>
        <v>-149.57810302390206</v>
      </c>
      <c r="AM63" s="27">
        <f t="shared" si="92"/>
        <v>-149.57810302390206</v>
      </c>
      <c r="AN63" s="27">
        <f t="shared" si="92"/>
        <v>-149.57810302390206</v>
      </c>
      <c r="AO63" s="27">
        <f t="shared" si="92"/>
        <v>-149.57810302390206</v>
      </c>
      <c r="AP63" s="27">
        <f t="shared" si="92"/>
        <v>-149.57810302390206</v>
      </c>
      <c r="AQ63" s="27">
        <f t="shared" si="92"/>
        <v>-149.57810302390206</v>
      </c>
      <c r="AR63" s="27">
        <f t="shared" si="92"/>
        <v>-149.57810302390206</v>
      </c>
      <c r="AS63" s="27">
        <f t="shared" si="92"/>
        <v>-3717.1512155239016</v>
      </c>
      <c r="AT63" s="27">
        <f t="shared" si="92"/>
        <v>-149.57810302390206</v>
      </c>
      <c r="AU63" s="27">
        <f t="shared" si="92"/>
        <v>63.476536857989288</v>
      </c>
      <c r="AV63" s="27">
        <f t="shared" si="92"/>
        <v>63.476536857989288</v>
      </c>
      <c r="AW63" s="27">
        <f t="shared" si="92"/>
        <v>63.476536857989288</v>
      </c>
      <c r="AX63" s="27">
        <f t="shared" si="92"/>
        <v>63.476536857989288</v>
      </c>
      <c r="AY63" s="27">
        <f t="shared" si="92"/>
        <v>63.476536857989288</v>
      </c>
      <c r="AZ63" s="27">
        <f t="shared" si="92"/>
        <v>63.476536857989288</v>
      </c>
      <c r="BA63" s="27">
        <f t="shared" si="92"/>
        <v>63.476536857989288</v>
      </c>
      <c r="BB63" s="27">
        <f t="shared" si="92"/>
        <v>63.476536857989288</v>
      </c>
      <c r="BC63" s="27">
        <f t="shared" si="92"/>
        <v>63.476536857989288</v>
      </c>
      <c r="BD63" s="27">
        <f t="shared" si="92"/>
        <v>63.476536857989288</v>
      </c>
      <c r="BE63" s="27">
        <f t="shared" si="92"/>
        <v>-2555.7200369232605</v>
      </c>
      <c r="BF63" s="27">
        <f t="shared" si="92"/>
        <v>63.476536857989288</v>
      </c>
      <c r="BG63" s="27">
        <f t="shared" si="92"/>
        <v>282.92281593633703</v>
      </c>
      <c r="BH63" s="27">
        <f t="shared" si="92"/>
        <v>282.92281593633703</v>
      </c>
      <c r="BI63" s="27">
        <f t="shared" si="92"/>
        <v>282.92281593633703</v>
      </c>
      <c r="BJ63" s="27">
        <f t="shared" si="92"/>
        <v>282.92281593633703</v>
      </c>
      <c r="BK63" s="27">
        <f t="shared" si="92"/>
        <v>282.92281593633703</v>
      </c>
      <c r="BL63" s="27">
        <f t="shared" si="92"/>
        <v>282.92281593633703</v>
      </c>
      <c r="BM63" s="27">
        <f t="shared" si="92"/>
        <v>282.92281593633703</v>
      </c>
      <c r="BN63" s="27">
        <f t="shared" si="92"/>
        <v>282.92281593633703</v>
      </c>
      <c r="BO63" s="27">
        <f t="shared" si="92"/>
        <v>282.92281593633703</v>
      </c>
      <c r="BP63" s="27">
        <f t="shared" si="92"/>
        <v>282.92281593633703</v>
      </c>
      <c r="BQ63" s="27">
        <f t="shared" si="92"/>
        <v>5285.5051606425332</v>
      </c>
      <c r="BR63" s="27">
        <f t="shared" si="92"/>
        <v>7534.3222483565951</v>
      </c>
      <c r="BS63" s="27">
        <f t="shared" si="92"/>
        <v>0</v>
      </c>
      <c r="BT63" s="27">
        <f t="shared" ref="BT63" si="93">BT59+BT31+BT32</f>
        <v>98915.975221646324</v>
      </c>
      <c r="BV63" s="28">
        <f>SUM(H63:BT63)</f>
        <v>70256.297830213807</v>
      </c>
    </row>
    <row r="64" spans="6:74" x14ac:dyDescent="0.25">
      <c r="F64" s="17">
        <f t="shared" si="59"/>
        <v>54</v>
      </c>
    </row>
    <row r="65" spans="6:10" x14ac:dyDescent="0.25">
      <c r="F65" s="17">
        <f t="shared" si="59"/>
        <v>55</v>
      </c>
    </row>
    <row r="66" spans="6:10" x14ac:dyDescent="0.25">
      <c r="F66" s="17">
        <f t="shared" si="59"/>
        <v>56</v>
      </c>
      <c r="G66" s="16" t="s">
        <v>123</v>
      </c>
      <c r="H66" s="190">
        <v>7511.3865939046736</v>
      </c>
      <c r="I66">
        <f>3300/3150</f>
        <v>1.0476190476190477</v>
      </c>
      <c r="J66">
        <f>3200*I66</f>
        <v>3352.3809523809527</v>
      </c>
    </row>
    <row r="67" spans="6:10" x14ac:dyDescent="0.25">
      <c r="F67" s="17">
        <f t="shared" si="59"/>
        <v>57</v>
      </c>
    </row>
    <row r="68" spans="6:10" x14ac:dyDescent="0.25">
      <c r="F68" s="17">
        <f t="shared" si="59"/>
        <v>58</v>
      </c>
      <c r="G68" s="16" t="s">
        <v>124</v>
      </c>
      <c r="H68" s="46">
        <v>0.3</v>
      </c>
    </row>
    <row r="69" spans="6:10" x14ac:dyDescent="0.25">
      <c r="F69" s="17">
        <f t="shared" si="59"/>
        <v>59</v>
      </c>
      <c r="J69">
        <f>3540/3570</f>
        <v>0.99159663865546221</v>
      </c>
    </row>
    <row r="70" spans="6:10" x14ac:dyDescent="0.25">
      <c r="F70" s="17">
        <f t="shared" si="59"/>
        <v>60</v>
      </c>
      <c r="G70" s="16" t="s">
        <v>125</v>
      </c>
      <c r="H70" s="46">
        <f>(1+H68)^(1/12)-1</f>
        <v>2.2104450593615876E-2</v>
      </c>
      <c r="J70">
        <v>3530</v>
      </c>
    </row>
    <row r="71" spans="6:10" x14ac:dyDescent="0.25">
      <c r="F71" s="17">
        <f t="shared" si="59"/>
        <v>61</v>
      </c>
      <c r="J71">
        <f>3530/3570</f>
        <v>0.98879551820728295</v>
      </c>
    </row>
    <row r="72" spans="6:10" x14ac:dyDescent="0.25">
      <c r="F72" s="17">
        <f t="shared" si="59"/>
        <v>62</v>
      </c>
      <c r="G72" s="16" t="s">
        <v>126</v>
      </c>
      <c r="H72" s="34">
        <f>NPV(H70,H63:BT63)</f>
        <v>-5323.414785359807</v>
      </c>
    </row>
    <row r="73" spans="6:10" x14ac:dyDescent="0.25">
      <c r="F73" s="17">
        <f t="shared" si="59"/>
        <v>63</v>
      </c>
    </row>
    <row r="74" spans="6:10" x14ac:dyDescent="0.25">
      <c r="F74" s="17">
        <f t="shared" si="59"/>
        <v>64</v>
      </c>
      <c r="G74" s="16" t="s">
        <v>127</v>
      </c>
      <c r="H74" s="204">
        <f>IRR(H63:BT63,0.1)</f>
        <v>1.8743697602968901E-2</v>
      </c>
    </row>
    <row r="75" spans="6:10" x14ac:dyDescent="0.25">
      <c r="F75" s="17">
        <f t="shared" si="59"/>
        <v>65</v>
      </c>
    </row>
    <row r="76" spans="6:10" x14ac:dyDescent="0.25">
      <c r="F76" s="17">
        <f t="shared" si="59"/>
        <v>66</v>
      </c>
      <c r="G76" s="228" t="s">
        <v>128</v>
      </c>
      <c r="H76">
        <v>36</v>
      </c>
      <c r="I76">
        <v>48</v>
      </c>
    </row>
    <row r="77" spans="6:10" x14ac:dyDescent="0.25">
      <c r="F77" s="17">
        <f t="shared" ref="F77" si="94">F76+1</f>
        <v>67</v>
      </c>
      <c r="G77" s="43" t="s">
        <v>129</v>
      </c>
      <c r="H77">
        <v>3950</v>
      </c>
      <c r="I77">
        <v>3570</v>
      </c>
    </row>
    <row r="78" spans="6:10" x14ac:dyDescent="0.25">
      <c r="H78" s="176">
        <v>3570</v>
      </c>
      <c r="I78" s="176">
        <f>H77-H78</f>
        <v>380</v>
      </c>
      <c r="J78" s="176">
        <f>I78*43</f>
        <v>16340</v>
      </c>
    </row>
    <row r="79" spans="6:10" x14ac:dyDescent="0.25">
      <c r="H79" s="26">
        <f>(H78/H77)-1</f>
        <v>-9.6202531645569578E-2</v>
      </c>
      <c r="J79" s="176">
        <f>J78*12</f>
        <v>196080</v>
      </c>
    </row>
    <row r="80" spans="6:10" x14ac:dyDescent="0.25">
      <c r="G80" s="244" t="s">
        <v>130</v>
      </c>
      <c r="H80" s="244"/>
      <c r="J80" s="176">
        <f>J79*3</f>
        <v>588240</v>
      </c>
    </row>
    <row r="81" spans="7:8" x14ac:dyDescent="0.25">
      <c r="G81" t="s">
        <v>131</v>
      </c>
      <c r="H81" s="126">
        <f>SUM(H21:CH21)</f>
        <v>325100.00000000006</v>
      </c>
    </row>
    <row r="82" spans="7:8" x14ac:dyDescent="0.25">
      <c r="G82" s="242" t="s">
        <v>132</v>
      </c>
      <c r="H82" s="243"/>
    </row>
    <row r="83" spans="7:8" x14ac:dyDescent="0.25">
      <c r="G83" s="161" t="s">
        <v>133</v>
      </c>
      <c r="H83" s="162">
        <f>Dados!C32</f>
        <v>325100</v>
      </c>
    </row>
    <row r="84" spans="7:8" x14ac:dyDescent="0.25">
      <c r="G84" s="161" t="s">
        <v>134</v>
      </c>
      <c r="H84" s="162">
        <f>SUM(H21:ED21)</f>
        <v>325100.00000000006</v>
      </c>
    </row>
    <row r="85" spans="7:8" x14ac:dyDescent="0.25">
      <c r="G85" t="s">
        <v>135</v>
      </c>
      <c r="H85" s="126">
        <f>IF(H83-H84&lt;0,0,H83-H85)</f>
        <v>0</v>
      </c>
    </row>
    <row r="86" spans="7:8" x14ac:dyDescent="0.25">
      <c r="H86" s="126"/>
    </row>
    <row r="87" spans="7:8" x14ac:dyDescent="0.25">
      <c r="G87" s="161" t="s">
        <v>136</v>
      </c>
      <c r="H87" s="162">
        <f>Dados!C36</f>
        <v>149872.68972976715</v>
      </c>
    </row>
    <row r="88" spans="7:8" x14ac:dyDescent="0.25">
      <c r="H88" s="126"/>
    </row>
    <row r="89" spans="7:8" ht="29.1" customHeight="1" x14ac:dyDescent="0.25">
      <c r="G89" t="s">
        <v>137</v>
      </c>
      <c r="H89" s="126">
        <f>H87-H85</f>
        <v>149872.68972976715</v>
      </c>
    </row>
    <row r="90" spans="7:8" ht="31.5" x14ac:dyDescent="0.25">
      <c r="G90" s="163" t="s">
        <v>138</v>
      </c>
      <c r="H90" s="164">
        <f>IF(H89&gt;0,H89,0)</f>
        <v>149872.68972976715</v>
      </c>
    </row>
    <row r="91" spans="7:8" x14ac:dyDescent="0.25">
      <c r="G91" s="240" t="s">
        <v>139</v>
      </c>
      <c r="H91" s="241"/>
    </row>
    <row r="92" spans="7:8" x14ac:dyDescent="0.25">
      <c r="G92" s="27" t="s">
        <v>116</v>
      </c>
      <c r="H92" s="202">
        <f>$H$90*15%</f>
        <v>22480.903459465073</v>
      </c>
    </row>
    <row r="93" spans="7:8" x14ac:dyDescent="0.25">
      <c r="G93" s="27" t="s">
        <v>117</v>
      </c>
      <c r="H93" s="202">
        <f>H90*10%</f>
        <v>14987.268972976715</v>
      </c>
    </row>
    <row r="94" spans="7:8" x14ac:dyDescent="0.25">
      <c r="G94" s="27" t="s">
        <v>118</v>
      </c>
      <c r="H94" s="202">
        <f>H90*9%</f>
        <v>13488.542075679043</v>
      </c>
    </row>
    <row r="95" spans="7:8" x14ac:dyDescent="0.25">
      <c r="G95" s="203" t="s">
        <v>140</v>
      </c>
      <c r="H95" s="202">
        <f>SUM(H92:H94)</f>
        <v>50956.714508120829</v>
      </c>
    </row>
    <row r="96" spans="7:8" x14ac:dyDescent="0.25">
      <c r="G96" s="203" t="s">
        <v>141</v>
      </c>
      <c r="H96" s="202">
        <f>H87-H95</f>
        <v>98915.975221646324</v>
      </c>
    </row>
  </sheetData>
  <mergeCells count="10">
    <mergeCell ref="G1:H1"/>
    <mergeCell ref="G5:H5"/>
    <mergeCell ref="J5:U5"/>
    <mergeCell ref="V5:AG5"/>
    <mergeCell ref="AH5:AS5"/>
    <mergeCell ref="BF5:BQ5"/>
    <mergeCell ref="AT5:BE5"/>
    <mergeCell ref="G91:H91"/>
    <mergeCell ref="G82:H82"/>
    <mergeCell ref="G80:H80"/>
  </mergeCells>
  <dataValidations disablePrompts="1" count="1">
    <dataValidation type="list" allowBlank="1" showInputMessage="1" showErrorMessage="1" sqref="H6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88"/>
  <sheetViews>
    <sheetView showGridLines="0" topLeftCell="A24" workbookViewId="0">
      <selection activeCell="C41" sqref="C41"/>
    </sheetView>
  </sheetViews>
  <sheetFormatPr defaultColWidth="11" defaultRowHeight="15.75" x14ac:dyDescent="0.25"/>
  <cols>
    <col min="1" max="1" width="44.125" bestFit="1" customWidth="1"/>
    <col min="2" max="2" width="13.625" bestFit="1" customWidth="1"/>
    <col min="3" max="3" width="13.125" customWidth="1"/>
    <col min="4" max="4" width="14.625" customWidth="1"/>
    <col min="5" max="5" width="11" customWidth="1"/>
    <col min="6" max="6" width="10.875" customWidth="1"/>
    <col min="8" max="8" width="11.625" bestFit="1" customWidth="1"/>
    <col min="10" max="10" width="11" bestFit="1" customWidth="1"/>
    <col min="11" max="11" width="11.875" bestFit="1" customWidth="1"/>
    <col min="12" max="12" width="11.5" bestFit="1" customWidth="1"/>
    <col min="34" max="34" width="11.875" bestFit="1" customWidth="1"/>
  </cols>
  <sheetData>
    <row r="1" spans="1:34" ht="39" customHeight="1" x14ac:dyDescent="0.25">
      <c r="A1" s="260" t="s">
        <v>142</v>
      </c>
      <c r="B1" s="260"/>
      <c r="C1" s="260"/>
      <c r="D1" s="260"/>
      <c r="E1" s="260"/>
      <c r="F1" s="260"/>
    </row>
    <row r="2" spans="1:34" ht="20.100000000000001" customHeight="1" x14ac:dyDescent="0.25">
      <c r="A2" s="260"/>
      <c r="B2" s="260"/>
      <c r="C2" s="260"/>
      <c r="D2" s="260"/>
      <c r="E2" s="260"/>
      <c r="F2" s="260"/>
    </row>
    <row r="3" spans="1:34" hidden="1" x14ac:dyDescent="0.25">
      <c r="A3" s="257" t="s">
        <v>143</v>
      </c>
      <c r="B3" s="257"/>
      <c r="C3" s="261" t="s">
        <v>144</v>
      </c>
      <c r="D3" s="262">
        <v>12</v>
      </c>
    </row>
    <row r="4" spans="1:34" ht="30.95" hidden="1" customHeight="1" x14ac:dyDescent="0.25">
      <c r="A4" s="257"/>
      <c r="B4" s="257"/>
      <c r="C4" s="261"/>
      <c r="D4" s="262"/>
    </row>
    <row r="5" spans="1:34" ht="30" hidden="1" customHeight="1" x14ac:dyDescent="0.25">
      <c r="A5" s="257"/>
      <c r="B5" s="257"/>
      <c r="C5" s="123" t="s">
        <v>14</v>
      </c>
      <c r="D5" s="124">
        <v>3</v>
      </c>
    </row>
    <row r="6" spans="1:34" ht="44.1" hidden="1" customHeight="1" x14ac:dyDescent="0.25">
      <c r="A6" s="257"/>
      <c r="B6" s="257"/>
      <c r="C6" s="125" t="s">
        <v>145</v>
      </c>
      <c r="D6" s="124">
        <f>D3+D5</f>
        <v>15</v>
      </c>
    </row>
    <row r="7" spans="1:34" ht="30" hidden="1" customHeight="1" thickBot="1" x14ac:dyDescent="0.3"/>
    <row r="8" spans="1:34" hidden="1" x14ac:dyDescent="0.25">
      <c r="A8" s="255" t="s">
        <v>146</v>
      </c>
      <c r="B8" s="25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6.5" hidden="1" thickBot="1" x14ac:dyDescent="0.3">
      <c r="A9" s="7" t="s">
        <v>147</v>
      </c>
      <c r="B9" s="8">
        <v>260000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idden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idden="1" x14ac:dyDescent="0.25">
      <c r="A11" s="5"/>
      <c r="B11" s="14">
        <f>Dados!C6</f>
        <v>42705</v>
      </c>
      <c r="C11" s="14">
        <f t="shared" ref="C11:O11" si="0">EDATE(B11,1)</f>
        <v>42736</v>
      </c>
      <c r="D11" s="14">
        <f t="shared" si="0"/>
        <v>42767</v>
      </c>
      <c r="E11" s="14">
        <f t="shared" si="0"/>
        <v>42795</v>
      </c>
      <c r="F11" s="14">
        <f t="shared" si="0"/>
        <v>42826</v>
      </c>
      <c r="G11" s="14">
        <f t="shared" si="0"/>
        <v>42856</v>
      </c>
      <c r="H11" s="14">
        <f t="shared" si="0"/>
        <v>42887</v>
      </c>
      <c r="I11" s="14">
        <f t="shared" si="0"/>
        <v>42917</v>
      </c>
      <c r="J11" s="14">
        <f t="shared" si="0"/>
        <v>42948</v>
      </c>
      <c r="K11" s="14">
        <f t="shared" si="0"/>
        <v>42979</v>
      </c>
      <c r="L11" s="14">
        <f t="shared" si="0"/>
        <v>43009</v>
      </c>
      <c r="M11" s="14">
        <f t="shared" si="0"/>
        <v>43040</v>
      </c>
      <c r="N11" s="14">
        <f t="shared" si="0"/>
        <v>43070</v>
      </c>
      <c r="O11" s="14">
        <f t="shared" si="0"/>
        <v>43101</v>
      </c>
      <c r="P11" s="14"/>
      <c r="Q11" s="14"/>
      <c r="R11" s="14"/>
      <c r="S11" s="14"/>
      <c r="T11" s="14"/>
      <c r="U11" s="14"/>
      <c r="V11" s="14"/>
      <c r="W11" s="14"/>
      <c r="X11" s="14">
        <f>EDATE(O11,1)</f>
        <v>43132</v>
      </c>
      <c r="Y11" s="72">
        <f>EDATE(X11,1)</f>
        <v>43160</v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idden="1" x14ac:dyDescent="0.25">
      <c r="A12" s="5"/>
      <c r="B12" s="15">
        <v>0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/>
      <c r="Q12" s="15"/>
      <c r="R12" s="15"/>
      <c r="S12" s="15"/>
      <c r="T12" s="15"/>
      <c r="U12" s="15"/>
      <c r="V12" s="15"/>
      <c r="W12" s="15"/>
      <c r="X12" s="15">
        <v>14</v>
      </c>
      <c r="Y12" s="73">
        <v>15</v>
      </c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hidden="1" x14ac:dyDescent="0.25">
      <c r="A13" s="12" t="s">
        <v>148</v>
      </c>
      <c r="B13" s="13">
        <v>0</v>
      </c>
      <c r="C13" s="13">
        <v>0</v>
      </c>
      <c r="D13" s="13">
        <v>0</v>
      </c>
      <c r="E13" s="13">
        <v>4226.04</v>
      </c>
      <c r="F13" s="13">
        <v>0</v>
      </c>
      <c r="G13" s="13">
        <v>0</v>
      </c>
      <c r="H13" s="13">
        <v>3678.48</v>
      </c>
      <c r="I13" s="13">
        <v>6387.9</v>
      </c>
      <c r="J13" s="13">
        <v>6321.82</v>
      </c>
      <c r="K13" s="13">
        <v>6417.5</v>
      </c>
      <c r="L13" s="13">
        <v>6233.47</v>
      </c>
      <c r="M13" s="13">
        <v>6248.4</v>
      </c>
      <c r="N13" s="13">
        <v>6299.2</v>
      </c>
      <c r="O13" s="13">
        <v>6172.51</v>
      </c>
      <c r="P13" s="13"/>
      <c r="Q13" s="13"/>
      <c r="R13" s="13"/>
      <c r="S13" s="13"/>
      <c r="T13" s="13"/>
      <c r="U13" s="13"/>
      <c r="V13" s="13"/>
      <c r="W13" s="13"/>
      <c r="X13" s="13">
        <v>6210.86</v>
      </c>
      <c r="Y13" s="74">
        <v>219215.68</v>
      </c>
      <c r="Z13" s="4"/>
      <c r="AA13" s="4"/>
      <c r="AB13" s="4"/>
      <c r="AC13" s="4"/>
      <c r="AD13" s="4"/>
      <c r="AE13" s="4"/>
      <c r="AF13" s="4"/>
      <c r="AG13" s="4"/>
      <c r="AH13" s="4"/>
    </row>
    <row r="14" spans="1:34" hidden="1" x14ac:dyDescent="0.25"/>
    <row r="15" spans="1:34" hidden="1" x14ac:dyDescent="0.25">
      <c r="A15" s="251" t="s">
        <v>149</v>
      </c>
      <c r="B15" s="252"/>
      <c r="E15" s="4"/>
      <c r="I15" s="4"/>
      <c r="J15" s="4"/>
      <c r="K15" s="6"/>
      <c r="AH15" s="4"/>
    </row>
    <row r="16" spans="1:34" hidden="1" x14ac:dyDescent="0.25">
      <c r="A16" s="71" t="s">
        <v>150</v>
      </c>
      <c r="B16" s="70">
        <v>1</v>
      </c>
      <c r="E16" s="4"/>
      <c r="I16" s="4"/>
      <c r="J16" s="4"/>
      <c r="K16" s="6"/>
      <c r="AH16" s="4"/>
    </row>
    <row r="17" spans="1:34" ht="16.5" hidden="1" thickBot="1" x14ac:dyDescent="0.3">
      <c r="A17" s="9" t="s">
        <v>151</v>
      </c>
      <c r="B17" s="10">
        <f>B16*B9</f>
        <v>260000</v>
      </c>
      <c r="AH17" s="4"/>
    </row>
    <row r="18" spans="1:34" hidden="1" x14ac:dyDescent="0.25"/>
    <row r="19" spans="1:34" hidden="1" x14ac:dyDescent="0.25">
      <c r="B19" s="14">
        <f>Dados!C6</f>
        <v>42705</v>
      </c>
      <c r="C19" s="14">
        <f t="shared" ref="C19:O19" si="1">EDATE(B19,1)</f>
        <v>42736</v>
      </c>
      <c r="D19" s="14">
        <f t="shared" si="1"/>
        <v>42767</v>
      </c>
      <c r="E19" s="14">
        <f t="shared" si="1"/>
        <v>42795</v>
      </c>
      <c r="F19" s="14">
        <f t="shared" si="1"/>
        <v>42826</v>
      </c>
      <c r="G19" s="14">
        <f t="shared" si="1"/>
        <v>42856</v>
      </c>
      <c r="H19" s="14">
        <f t="shared" si="1"/>
        <v>42887</v>
      </c>
      <c r="I19" s="14">
        <f t="shared" si="1"/>
        <v>42917</v>
      </c>
      <c r="J19" s="14">
        <f t="shared" si="1"/>
        <v>42948</v>
      </c>
      <c r="K19" s="14">
        <f t="shared" si="1"/>
        <v>42979</v>
      </c>
      <c r="L19" s="14">
        <f t="shared" si="1"/>
        <v>43009</v>
      </c>
      <c r="M19" s="14">
        <f t="shared" si="1"/>
        <v>43040</v>
      </c>
      <c r="N19" s="14">
        <f t="shared" si="1"/>
        <v>43070</v>
      </c>
      <c r="O19" s="14">
        <f t="shared" si="1"/>
        <v>43101</v>
      </c>
      <c r="P19" s="14"/>
      <c r="Q19" s="14"/>
      <c r="R19" s="14"/>
      <c r="S19" s="14"/>
      <c r="T19" s="14"/>
      <c r="U19" s="14"/>
      <c r="V19" s="14"/>
      <c r="W19" s="14"/>
      <c r="X19" s="14">
        <f>EDATE(O19,1)</f>
        <v>43132</v>
      </c>
      <c r="Y19" s="72">
        <f>EDATE(X19,1)</f>
        <v>43160</v>
      </c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idden="1" x14ac:dyDescent="0.25">
      <c r="B20" s="15">
        <v>0</v>
      </c>
      <c r="C20" s="15">
        <f t="shared" ref="C20:O20" si="2">B20+1</f>
        <v>1</v>
      </c>
      <c r="D20" s="15">
        <f t="shared" si="2"/>
        <v>2</v>
      </c>
      <c r="E20" s="15">
        <f t="shared" si="2"/>
        <v>3</v>
      </c>
      <c r="F20" s="15">
        <f t="shared" si="2"/>
        <v>4</v>
      </c>
      <c r="G20" s="15">
        <f t="shared" si="2"/>
        <v>5</v>
      </c>
      <c r="H20" s="15">
        <f t="shared" si="2"/>
        <v>6</v>
      </c>
      <c r="I20" s="15">
        <f t="shared" si="2"/>
        <v>7</v>
      </c>
      <c r="J20" s="15">
        <f t="shared" si="2"/>
        <v>8</v>
      </c>
      <c r="K20" s="15">
        <f t="shared" si="2"/>
        <v>9</v>
      </c>
      <c r="L20" s="15">
        <f t="shared" si="2"/>
        <v>10</v>
      </c>
      <c r="M20" s="15">
        <f t="shared" si="2"/>
        <v>11</v>
      </c>
      <c r="N20" s="15">
        <f t="shared" si="2"/>
        <v>12</v>
      </c>
      <c r="O20" s="15">
        <f t="shared" si="2"/>
        <v>13</v>
      </c>
      <c r="P20" s="15"/>
      <c r="Q20" s="15"/>
      <c r="R20" s="15"/>
      <c r="S20" s="15"/>
      <c r="T20" s="15"/>
      <c r="U20" s="15"/>
      <c r="V20" s="15"/>
      <c r="W20" s="15"/>
      <c r="X20" s="15">
        <f>O20+1</f>
        <v>14</v>
      </c>
      <c r="Y20" s="73">
        <f>X20+1</f>
        <v>15</v>
      </c>
      <c r="Z20" s="78"/>
      <c r="AA20" s="78"/>
      <c r="AB20" s="78"/>
      <c r="AC20" s="78"/>
      <c r="AD20" s="78"/>
      <c r="AE20" s="78"/>
      <c r="AF20" s="78"/>
      <c r="AG20" s="78"/>
      <c r="AH20" s="78"/>
    </row>
    <row r="21" spans="1:34" hidden="1" x14ac:dyDescent="0.25">
      <c r="A21" s="12" t="s">
        <v>148</v>
      </c>
      <c r="B21" s="13" t="e">
        <f>B13*#REF!</f>
        <v>#REF!</v>
      </c>
      <c r="C21" s="13" t="e">
        <f>C13*#REF!</f>
        <v>#REF!</v>
      </c>
      <c r="D21" s="13" t="e">
        <f>D13*#REF!</f>
        <v>#REF!</v>
      </c>
      <c r="E21" s="13" t="e">
        <f>E13*#REF!</f>
        <v>#REF!</v>
      </c>
      <c r="F21" s="13" t="e">
        <f>F13*#REF!</f>
        <v>#REF!</v>
      </c>
      <c r="G21" s="13" t="e">
        <f>G13*#REF!</f>
        <v>#REF!</v>
      </c>
      <c r="H21" s="13" t="e">
        <f>H13*#REF!</f>
        <v>#REF!</v>
      </c>
      <c r="I21" s="13" t="e">
        <f>I13*#REF!</f>
        <v>#REF!</v>
      </c>
      <c r="J21" s="13" t="e">
        <f>J13*#REF!</f>
        <v>#REF!</v>
      </c>
      <c r="K21" s="13" t="e">
        <f>K13*#REF!</f>
        <v>#REF!</v>
      </c>
      <c r="L21" s="13" t="e">
        <f>L13*#REF!</f>
        <v>#REF!</v>
      </c>
      <c r="M21" s="13" t="e">
        <f>M13*#REF!</f>
        <v>#REF!</v>
      </c>
      <c r="N21" s="13" t="e">
        <f>N13*#REF!</f>
        <v>#REF!</v>
      </c>
      <c r="O21" s="13" t="e">
        <f>O13*#REF!</f>
        <v>#REF!</v>
      </c>
      <c r="P21" s="13"/>
      <c r="Q21" s="13"/>
      <c r="R21" s="13"/>
      <c r="S21" s="13"/>
      <c r="T21" s="13"/>
      <c r="U21" s="13"/>
      <c r="V21" s="13"/>
      <c r="W21" s="13"/>
      <c r="X21" s="13" t="e">
        <f>X13*#REF!</f>
        <v>#REF!</v>
      </c>
      <c r="Y21" s="74" t="e">
        <f>Y13*#REF!</f>
        <v>#REF!</v>
      </c>
      <c r="Z21" s="4"/>
      <c r="AA21" s="4"/>
      <c r="AB21" s="4"/>
      <c r="AC21" s="4"/>
      <c r="AD21" s="4"/>
      <c r="AE21" s="4"/>
      <c r="AF21" s="4"/>
      <c r="AG21" s="4"/>
      <c r="AH21" s="4"/>
    </row>
    <row r="22" spans="1:34" ht="36" customHeight="1" x14ac:dyDescent="0.25">
      <c r="A22" s="198" t="s">
        <v>152</v>
      </c>
      <c r="B22" s="131" t="s">
        <v>153</v>
      </c>
      <c r="C22" s="131" t="s">
        <v>154</v>
      </c>
      <c r="D22" s="131" t="s">
        <v>155</v>
      </c>
      <c r="E22" s="132" t="s">
        <v>156</v>
      </c>
      <c r="F22" s="132" t="s">
        <v>157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199" t="s">
        <v>158</v>
      </c>
      <c r="B23" s="136">
        <v>1</v>
      </c>
      <c r="C23" s="136">
        <v>9.9000000000000008E-3</v>
      </c>
      <c r="D23" s="200">
        <v>0.13500000000000001</v>
      </c>
      <c r="E23" s="137">
        <v>60</v>
      </c>
      <c r="F23" s="137">
        <v>180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199" t="s">
        <v>159</v>
      </c>
      <c r="B24" s="136">
        <v>0</v>
      </c>
      <c r="C24" s="136">
        <v>1.41E-2</v>
      </c>
      <c r="D24" s="136">
        <v>6.4799999999999996E-2</v>
      </c>
      <c r="E24" s="137">
        <v>60</v>
      </c>
      <c r="F24" s="137">
        <v>180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178"/>
      <c r="B25" s="135" t="s">
        <v>160</v>
      </c>
      <c r="C25" s="136">
        <v>1.24E-2</v>
      </c>
      <c r="D25" s="136">
        <f>SUM(D23:D24)</f>
        <v>0.19980000000000001</v>
      </c>
      <c r="E25" s="137">
        <v>60</v>
      </c>
      <c r="F25" s="137">
        <v>180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127" t="s">
        <v>161</v>
      </c>
      <c r="B26" s="128">
        <v>0</v>
      </c>
      <c r="C26" s="129">
        <v>0</v>
      </c>
      <c r="D26" s="129">
        <v>0</v>
      </c>
      <c r="E26" s="130">
        <v>0</v>
      </c>
      <c r="F26" s="130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139" t="s">
        <v>162</v>
      </c>
      <c r="B27" s="140">
        <v>0</v>
      </c>
      <c r="C27" s="141" t="s">
        <v>163</v>
      </c>
      <c r="D27" s="141" t="s">
        <v>163</v>
      </c>
      <c r="E27" s="142" t="s">
        <v>163</v>
      </c>
      <c r="F27" s="142" t="s">
        <v>163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55" t="s">
        <v>164</v>
      </c>
      <c r="B28" s="138">
        <f>Dados!C29</f>
        <v>275100</v>
      </c>
      <c r="C28" s="138"/>
      <c r="D28" s="138"/>
      <c r="E28" s="138"/>
      <c r="F28" s="138"/>
    </row>
    <row r="29" spans="1:34" x14ac:dyDescent="0.25">
      <c r="A29" s="55" t="s">
        <v>165</v>
      </c>
      <c r="B29" s="138">
        <f>Dados!C30</f>
        <v>50000</v>
      </c>
      <c r="C29" s="138"/>
      <c r="D29" s="138"/>
      <c r="E29" s="138"/>
      <c r="F29" s="138"/>
    </row>
    <row r="30" spans="1:34" ht="15" customHeight="1" x14ac:dyDescent="0.25">
      <c r="A30" s="257" t="str">
        <f>Dados!A29</f>
        <v>express</v>
      </c>
      <c r="B30" s="257"/>
      <c r="C30" s="259" t="s">
        <v>144</v>
      </c>
      <c r="D30" s="258">
        <f>Dados!C13</f>
        <v>60</v>
      </c>
    </row>
    <row r="31" spans="1:34" ht="32.1" customHeight="1" x14ac:dyDescent="0.25">
      <c r="A31" s="257"/>
      <c r="B31" s="257"/>
      <c r="C31" s="259"/>
      <c r="D31" s="258"/>
    </row>
    <row r="32" spans="1:34" ht="51.95" customHeight="1" x14ac:dyDescent="0.25">
      <c r="A32" s="257"/>
      <c r="B32" s="257"/>
      <c r="C32" s="110" t="s">
        <v>14</v>
      </c>
      <c r="D32" s="109">
        <f>Dados!C9</f>
        <v>2</v>
      </c>
    </row>
    <row r="33" spans="1:65" ht="78.75" x14ac:dyDescent="0.25">
      <c r="A33" s="257"/>
      <c r="B33" s="257"/>
      <c r="C33" s="110" t="str">
        <f>Dados!B11</f>
        <v>Meses para vender os caminhões após o fim do contrato</v>
      </c>
      <c r="D33" s="109">
        <f>Dados!C11</f>
        <v>2</v>
      </c>
    </row>
    <row r="34" spans="1:65" ht="24" customHeight="1" x14ac:dyDescent="0.25">
      <c r="A34" s="257"/>
      <c r="B34" s="257"/>
      <c r="C34" s="108" t="s">
        <v>145</v>
      </c>
      <c r="D34" s="109">
        <f>Dados!C13+Dados!C9+Dados!C11</f>
        <v>64</v>
      </c>
    </row>
    <row r="35" spans="1:65" ht="24" customHeight="1" thickBot="1" x14ac:dyDescent="0.3"/>
    <row r="36" spans="1:65" x14ac:dyDescent="0.25">
      <c r="A36" s="255" t="s">
        <v>166</v>
      </c>
      <c r="B36" s="256"/>
      <c r="C36" s="5"/>
      <c r="D36" s="5">
        <f>B37/4</f>
        <v>81275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65" ht="16.5" thickBot="1" x14ac:dyDescent="0.3">
      <c r="A37" s="7" t="s">
        <v>147</v>
      </c>
      <c r="B37" s="8">
        <f>((B28+B29)*B23)-B58-B78</f>
        <v>325100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65" x14ac:dyDescent="0.25">
      <c r="A38" s="5" t="s">
        <v>167</v>
      </c>
      <c r="B38" s="35">
        <v>1.01E-2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65" x14ac:dyDescent="0.25">
      <c r="A39" s="5"/>
      <c r="B39" s="14">
        <f>Cashflow!H7</f>
        <v>43282</v>
      </c>
      <c r="C39" s="14">
        <f>EDATE(B39,1)</f>
        <v>43313</v>
      </c>
      <c r="D39" s="14">
        <f t="shared" ref="D39:AP39" si="3">EDATE(C39,1)</f>
        <v>43344</v>
      </c>
      <c r="E39" s="14">
        <f t="shared" si="3"/>
        <v>43374</v>
      </c>
      <c r="F39" s="14">
        <f t="shared" si="3"/>
        <v>43405</v>
      </c>
      <c r="G39" s="14">
        <f t="shared" si="3"/>
        <v>43435</v>
      </c>
      <c r="H39" s="14">
        <f t="shared" si="3"/>
        <v>43466</v>
      </c>
      <c r="I39" s="14">
        <f t="shared" si="3"/>
        <v>43497</v>
      </c>
      <c r="J39" s="14">
        <f t="shared" si="3"/>
        <v>43525</v>
      </c>
      <c r="K39" s="14">
        <f t="shared" si="3"/>
        <v>43556</v>
      </c>
      <c r="L39" s="14">
        <f t="shared" si="3"/>
        <v>43586</v>
      </c>
      <c r="M39" s="14">
        <f t="shared" si="3"/>
        <v>43617</v>
      </c>
      <c r="N39" s="14">
        <f t="shared" si="3"/>
        <v>43647</v>
      </c>
      <c r="O39" s="14">
        <f t="shared" si="3"/>
        <v>43678</v>
      </c>
      <c r="P39" s="14">
        <f t="shared" si="3"/>
        <v>43709</v>
      </c>
      <c r="Q39" s="14">
        <f t="shared" si="3"/>
        <v>43739</v>
      </c>
      <c r="R39" s="14">
        <f t="shared" si="3"/>
        <v>43770</v>
      </c>
      <c r="S39" s="14">
        <f t="shared" si="3"/>
        <v>43800</v>
      </c>
      <c r="T39" s="14">
        <f t="shared" si="3"/>
        <v>43831</v>
      </c>
      <c r="U39" s="14">
        <f t="shared" si="3"/>
        <v>43862</v>
      </c>
      <c r="V39" s="14">
        <f t="shared" si="3"/>
        <v>43891</v>
      </c>
      <c r="W39" s="14">
        <f t="shared" si="3"/>
        <v>43922</v>
      </c>
      <c r="X39" s="14">
        <f t="shared" si="3"/>
        <v>43952</v>
      </c>
      <c r="Y39" s="14">
        <f t="shared" si="3"/>
        <v>43983</v>
      </c>
      <c r="Z39" s="14">
        <f t="shared" si="3"/>
        <v>44013</v>
      </c>
      <c r="AA39" s="14">
        <f t="shared" si="3"/>
        <v>44044</v>
      </c>
      <c r="AB39" s="14">
        <f t="shared" si="3"/>
        <v>44075</v>
      </c>
      <c r="AC39" s="14">
        <f t="shared" si="3"/>
        <v>44105</v>
      </c>
      <c r="AD39" s="14">
        <f t="shared" si="3"/>
        <v>44136</v>
      </c>
      <c r="AE39" s="14">
        <f t="shared" si="3"/>
        <v>44166</v>
      </c>
      <c r="AF39" s="14">
        <f t="shared" si="3"/>
        <v>44197</v>
      </c>
      <c r="AG39" s="14">
        <f t="shared" si="3"/>
        <v>44228</v>
      </c>
      <c r="AH39" s="14">
        <f>EDATE(AG39,1)</f>
        <v>44256</v>
      </c>
      <c r="AI39" s="14">
        <f t="shared" si="3"/>
        <v>44287</v>
      </c>
      <c r="AJ39" s="14">
        <f t="shared" si="3"/>
        <v>44317</v>
      </c>
      <c r="AK39" s="14">
        <f t="shared" si="3"/>
        <v>44348</v>
      </c>
      <c r="AL39" s="14">
        <f t="shared" si="3"/>
        <v>44378</v>
      </c>
      <c r="AM39" s="14">
        <f t="shared" si="3"/>
        <v>44409</v>
      </c>
      <c r="AN39" s="14">
        <f t="shared" si="3"/>
        <v>44440</v>
      </c>
      <c r="AO39" s="14">
        <f t="shared" si="3"/>
        <v>44470</v>
      </c>
      <c r="AP39" s="14">
        <f t="shared" si="3"/>
        <v>44501</v>
      </c>
      <c r="AQ39" s="14">
        <f t="shared" ref="AQ39" si="4">EDATE(AP39,1)</f>
        <v>44531</v>
      </c>
      <c r="AR39" s="14">
        <f t="shared" ref="AR39" si="5">EDATE(AQ39,1)</f>
        <v>44562</v>
      </c>
      <c r="AS39" s="14">
        <f t="shared" ref="AS39" si="6">EDATE(AR39,1)</f>
        <v>44593</v>
      </c>
      <c r="AT39" s="14">
        <f t="shared" ref="AT39" si="7">EDATE(AS39,1)</f>
        <v>44621</v>
      </c>
      <c r="AU39" s="14">
        <f t="shared" ref="AU39" si="8">EDATE(AT39,1)</f>
        <v>44652</v>
      </c>
      <c r="AV39" s="14">
        <f t="shared" ref="AV39" si="9">EDATE(AU39,1)</f>
        <v>44682</v>
      </c>
      <c r="AW39" s="14">
        <f t="shared" ref="AW39" si="10">EDATE(AV39,1)</f>
        <v>44713</v>
      </c>
      <c r="AX39" s="14">
        <f t="shared" ref="AX39" si="11">EDATE(AW39,1)</f>
        <v>44743</v>
      </c>
      <c r="AY39" s="14">
        <f t="shared" ref="AY39" si="12">EDATE(AX39,1)</f>
        <v>44774</v>
      </c>
      <c r="AZ39" s="14">
        <f t="shared" ref="AZ39" si="13">EDATE(AY39,1)</f>
        <v>44805</v>
      </c>
      <c r="BA39" s="14">
        <f t="shared" ref="BA39" si="14">EDATE(AZ39,1)</f>
        <v>44835</v>
      </c>
      <c r="BB39" s="212">
        <f t="shared" ref="BB39" si="15">EDATE(BA39,1)</f>
        <v>44866</v>
      </c>
      <c r="BC39" s="14">
        <f t="shared" ref="BC39" si="16">EDATE(BB39,1)</f>
        <v>44896</v>
      </c>
      <c r="BD39" s="14">
        <f t="shared" ref="BD39" si="17">EDATE(BC39,1)</f>
        <v>44927</v>
      </c>
      <c r="BE39" s="14">
        <f t="shared" ref="BE39" si="18">EDATE(BD39,1)</f>
        <v>44958</v>
      </c>
      <c r="BF39" s="14">
        <f t="shared" ref="BF39" si="19">EDATE(BE39,1)</f>
        <v>44986</v>
      </c>
      <c r="BG39" s="14">
        <f t="shared" ref="BG39" si="20">EDATE(BF39,1)</f>
        <v>45017</v>
      </c>
      <c r="BH39" s="14">
        <f t="shared" ref="BH39" si="21">EDATE(BG39,1)</f>
        <v>45047</v>
      </c>
      <c r="BI39" s="14">
        <f t="shared" ref="BI39" si="22">EDATE(BH39,1)</f>
        <v>45078</v>
      </c>
      <c r="BJ39" s="14">
        <f t="shared" ref="BJ39" si="23">EDATE(BI39,1)</f>
        <v>45108</v>
      </c>
      <c r="BK39" s="14">
        <f t="shared" ref="BK39" si="24">EDATE(BJ39,1)</f>
        <v>45139</v>
      </c>
    </row>
    <row r="40" spans="1:65" x14ac:dyDescent="0.25">
      <c r="A40" s="5"/>
      <c r="B40" s="15">
        <f>Cashflow!H8</f>
        <v>0</v>
      </c>
      <c r="C40" s="15">
        <f>B40+1</f>
        <v>1</v>
      </c>
      <c r="D40" s="15">
        <f>C40+1</f>
        <v>2</v>
      </c>
      <c r="E40" s="15">
        <f t="shared" ref="E40:AP40" si="25">D40+1</f>
        <v>3</v>
      </c>
      <c r="F40" s="15">
        <f t="shared" si="25"/>
        <v>4</v>
      </c>
      <c r="G40" s="15">
        <f t="shared" si="25"/>
        <v>5</v>
      </c>
      <c r="H40" s="15">
        <f t="shared" si="25"/>
        <v>6</v>
      </c>
      <c r="I40" s="15">
        <f t="shared" si="25"/>
        <v>7</v>
      </c>
      <c r="J40" s="15">
        <f t="shared" si="25"/>
        <v>8</v>
      </c>
      <c r="K40" s="15">
        <f t="shared" si="25"/>
        <v>9</v>
      </c>
      <c r="L40" s="15">
        <f t="shared" si="25"/>
        <v>10</v>
      </c>
      <c r="M40" s="15">
        <f t="shared" si="25"/>
        <v>11</v>
      </c>
      <c r="N40" s="15">
        <f t="shared" si="25"/>
        <v>12</v>
      </c>
      <c r="O40" s="15">
        <f t="shared" si="25"/>
        <v>13</v>
      </c>
      <c r="P40" s="15">
        <f t="shared" si="25"/>
        <v>14</v>
      </c>
      <c r="Q40" s="15">
        <f t="shared" si="25"/>
        <v>15</v>
      </c>
      <c r="R40" s="15">
        <f t="shared" si="25"/>
        <v>16</v>
      </c>
      <c r="S40" s="15">
        <f t="shared" si="25"/>
        <v>17</v>
      </c>
      <c r="T40" s="15">
        <f t="shared" si="25"/>
        <v>18</v>
      </c>
      <c r="U40" s="15">
        <f t="shared" si="25"/>
        <v>19</v>
      </c>
      <c r="V40" s="15">
        <f t="shared" si="25"/>
        <v>20</v>
      </c>
      <c r="W40" s="15">
        <f t="shared" si="25"/>
        <v>21</v>
      </c>
      <c r="X40" s="15">
        <f t="shared" si="25"/>
        <v>22</v>
      </c>
      <c r="Y40" s="15">
        <f t="shared" si="25"/>
        <v>23</v>
      </c>
      <c r="Z40" s="15">
        <f t="shared" si="25"/>
        <v>24</v>
      </c>
      <c r="AA40" s="15">
        <f t="shared" si="25"/>
        <v>25</v>
      </c>
      <c r="AB40" s="15">
        <f t="shared" si="25"/>
        <v>26</v>
      </c>
      <c r="AC40" s="15">
        <f t="shared" si="25"/>
        <v>27</v>
      </c>
      <c r="AD40" s="15">
        <f t="shared" si="25"/>
        <v>28</v>
      </c>
      <c r="AE40" s="15">
        <f t="shared" si="25"/>
        <v>29</v>
      </c>
      <c r="AF40" s="15">
        <f t="shared" si="25"/>
        <v>30</v>
      </c>
      <c r="AG40" s="15">
        <f t="shared" si="25"/>
        <v>31</v>
      </c>
      <c r="AH40" s="15">
        <f t="shared" si="25"/>
        <v>32</v>
      </c>
      <c r="AI40" s="15">
        <f t="shared" si="25"/>
        <v>33</v>
      </c>
      <c r="AJ40" s="15">
        <f t="shared" si="25"/>
        <v>34</v>
      </c>
      <c r="AK40" s="15">
        <f t="shared" si="25"/>
        <v>35</v>
      </c>
      <c r="AL40" s="15">
        <f t="shared" si="25"/>
        <v>36</v>
      </c>
      <c r="AM40" s="15">
        <f t="shared" si="25"/>
        <v>37</v>
      </c>
      <c r="AN40" s="15">
        <f t="shared" si="25"/>
        <v>38</v>
      </c>
      <c r="AO40" s="15">
        <f t="shared" si="25"/>
        <v>39</v>
      </c>
      <c r="AP40" s="15">
        <f t="shared" si="25"/>
        <v>40</v>
      </c>
      <c r="AQ40" s="15">
        <f t="shared" ref="AQ40" si="26">AP40+1</f>
        <v>41</v>
      </c>
      <c r="AR40" s="15">
        <f t="shared" ref="AR40" si="27">AQ40+1</f>
        <v>42</v>
      </c>
      <c r="AS40" s="15">
        <f t="shared" ref="AS40" si="28">AR40+1</f>
        <v>43</v>
      </c>
      <c r="AT40" s="15">
        <f t="shared" ref="AT40" si="29">AS40+1</f>
        <v>44</v>
      </c>
      <c r="AU40" s="15">
        <f t="shared" ref="AU40" si="30">AT40+1</f>
        <v>45</v>
      </c>
      <c r="AV40" s="15">
        <f t="shared" ref="AV40" si="31">AU40+1</f>
        <v>46</v>
      </c>
      <c r="AW40" s="15">
        <f t="shared" ref="AW40" si="32">AV40+1</f>
        <v>47</v>
      </c>
      <c r="AX40" s="15">
        <f t="shared" ref="AX40" si="33">AW40+1</f>
        <v>48</v>
      </c>
      <c r="AY40" s="15">
        <f t="shared" ref="AY40" si="34">AX40+1</f>
        <v>49</v>
      </c>
      <c r="AZ40" s="15">
        <f t="shared" ref="AZ40" si="35">AY40+1</f>
        <v>50</v>
      </c>
      <c r="BA40" s="15">
        <f t="shared" ref="BA40" si="36">AZ40+1</f>
        <v>51</v>
      </c>
      <c r="BB40" s="213">
        <f t="shared" ref="BB40" si="37">BA40+1</f>
        <v>52</v>
      </c>
      <c r="BC40" s="15">
        <f t="shared" ref="BC40" si="38">BB40+1</f>
        <v>53</v>
      </c>
      <c r="BD40" s="15">
        <f t="shared" ref="BD40" si="39">BC40+1</f>
        <v>54</v>
      </c>
      <c r="BE40" s="15">
        <f t="shared" ref="BE40" si="40">BD40+1</f>
        <v>55</v>
      </c>
      <c r="BF40" s="15">
        <f t="shared" ref="BF40" si="41">BE40+1</f>
        <v>56</v>
      </c>
      <c r="BG40" s="15">
        <f t="shared" ref="BG40" si="42">BF40+1</f>
        <v>57</v>
      </c>
      <c r="BH40" s="15">
        <f t="shared" ref="BH40" si="43">BG40+1</f>
        <v>58</v>
      </c>
      <c r="BI40" s="15">
        <f t="shared" ref="BI40" si="44">BH40+1</f>
        <v>59</v>
      </c>
      <c r="BJ40" s="15">
        <f t="shared" ref="BJ40" si="45">BI40+1</f>
        <v>60</v>
      </c>
      <c r="BK40" s="15">
        <f t="shared" ref="BK40" si="46">BJ40+1</f>
        <v>61</v>
      </c>
    </row>
    <row r="41" spans="1:65" x14ac:dyDescent="0.25">
      <c r="A41" s="12" t="s">
        <v>148</v>
      </c>
      <c r="B41" s="218"/>
      <c r="C41" s="225">
        <f>-PMT($B$38,60,$B$37,,0)</f>
        <v>7251.3994324202577</v>
      </c>
      <c r="D41" s="225">
        <f t="shared" ref="D41:BJ41" si="47">-PMT($B$38,60,$B$37,,0)</f>
        <v>7251.3994324202577</v>
      </c>
      <c r="E41" s="225">
        <f t="shared" si="47"/>
        <v>7251.3994324202577</v>
      </c>
      <c r="F41" s="225">
        <f t="shared" si="47"/>
        <v>7251.3994324202577</v>
      </c>
      <c r="G41" s="225">
        <f t="shared" si="47"/>
        <v>7251.3994324202577</v>
      </c>
      <c r="H41" s="225">
        <f t="shared" si="47"/>
        <v>7251.3994324202577</v>
      </c>
      <c r="I41" s="225">
        <f t="shared" si="47"/>
        <v>7251.3994324202577</v>
      </c>
      <c r="J41" s="225">
        <f t="shared" si="47"/>
        <v>7251.3994324202577</v>
      </c>
      <c r="K41" s="225">
        <f t="shared" si="47"/>
        <v>7251.3994324202577</v>
      </c>
      <c r="L41" s="225">
        <f t="shared" si="47"/>
        <v>7251.3994324202577</v>
      </c>
      <c r="M41" s="225">
        <f t="shared" si="47"/>
        <v>7251.3994324202577</v>
      </c>
      <c r="N41" s="225">
        <f t="shared" si="47"/>
        <v>7251.3994324202577</v>
      </c>
      <c r="O41" s="225">
        <f t="shared" si="47"/>
        <v>7251.3994324202577</v>
      </c>
      <c r="P41" s="225">
        <f t="shared" si="47"/>
        <v>7251.3994324202577</v>
      </c>
      <c r="Q41" s="225">
        <f t="shared" si="47"/>
        <v>7251.3994324202577</v>
      </c>
      <c r="R41" s="225">
        <f t="shared" si="47"/>
        <v>7251.3994324202577</v>
      </c>
      <c r="S41" s="225">
        <f t="shared" si="47"/>
        <v>7251.3994324202577</v>
      </c>
      <c r="T41" s="225">
        <f t="shared" si="47"/>
        <v>7251.3994324202577</v>
      </c>
      <c r="U41" s="225">
        <f t="shared" si="47"/>
        <v>7251.3994324202577</v>
      </c>
      <c r="V41" s="225">
        <f t="shared" si="47"/>
        <v>7251.3994324202577</v>
      </c>
      <c r="W41" s="225">
        <f t="shared" si="47"/>
        <v>7251.3994324202577</v>
      </c>
      <c r="X41" s="225">
        <f t="shared" si="47"/>
        <v>7251.3994324202577</v>
      </c>
      <c r="Y41" s="225">
        <f t="shared" si="47"/>
        <v>7251.3994324202577</v>
      </c>
      <c r="Z41" s="225">
        <f t="shared" si="47"/>
        <v>7251.3994324202577</v>
      </c>
      <c r="AA41" s="225">
        <f t="shared" si="47"/>
        <v>7251.3994324202577</v>
      </c>
      <c r="AB41" s="225">
        <f t="shared" si="47"/>
        <v>7251.3994324202577</v>
      </c>
      <c r="AC41" s="225">
        <f t="shared" si="47"/>
        <v>7251.3994324202577</v>
      </c>
      <c r="AD41" s="225">
        <f t="shared" si="47"/>
        <v>7251.3994324202577</v>
      </c>
      <c r="AE41" s="225">
        <f t="shared" si="47"/>
        <v>7251.3994324202577</v>
      </c>
      <c r="AF41" s="225">
        <f t="shared" si="47"/>
        <v>7251.3994324202577</v>
      </c>
      <c r="AG41" s="225">
        <f t="shared" si="47"/>
        <v>7251.3994324202577</v>
      </c>
      <c r="AH41" s="225">
        <f t="shared" si="47"/>
        <v>7251.3994324202577</v>
      </c>
      <c r="AI41" s="225">
        <f t="shared" si="47"/>
        <v>7251.3994324202577</v>
      </c>
      <c r="AJ41" s="225">
        <f t="shared" si="47"/>
        <v>7251.3994324202577</v>
      </c>
      <c r="AK41" s="225">
        <f t="shared" si="47"/>
        <v>7251.3994324202577</v>
      </c>
      <c r="AL41" s="225">
        <f t="shared" si="47"/>
        <v>7251.3994324202577</v>
      </c>
      <c r="AM41" s="225">
        <f t="shared" si="47"/>
        <v>7251.3994324202577</v>
      </c>
      <c r="AN41" s="225">
        <f t="shared" si="47"/>
        <v>7251.3994324202577</v>
      </c>
      <c r="AO41" s="225">
        <f t="shared" si="47"/>
        <v>7251.3994324202577</v>
      </c>
      <c r="AP41" s="225">
        <f t="shared" si="47"/>
        <v>7251.3994324202577</v>
      </c>
      <c r="AQ41" s="225">
        <f t="shared" si="47"/>
        <v>7251.3994324202577</v>
      </c>
      <c r="AR41" s="225">
        <f t="shared" si="47"/>
        <v>7251.3994324202577</v>
      </c>
      <c r="AS41" s="225">
        <f t="shared" si="47"/>
        <v>7251.3994324202577</v>
      </c>
      <c r="AT41" s="225">
        <f t="shared" si="47"/>
        <v>7251.3994324202577</v>
      </c>
      <c r="AU41" s="225">
        <f t="shared" si="47"/>
        <v>7251.3994324202577</v>
      </c>
      <c r="AV41" s="225">
        <f t="shared" si="47"/>
        <v>7251.3994324202577</v>
      </c>
      <c r="AW41" s="225">
        <f t="shared" si="47"/>
        <v>7251.3994324202577</v>
      </c>
      <c r="AX41" s="225">
        <f t="shared" si="47"/>
        <v>7251.3994324202577</v>
      </c>
      <c r="AY41" s="225">
        <f t="shared" si="47"/>
        <v>7251.3994324202577</v>
      </c>
      <c r="AZ41" s="225">
        <f t="shared" si="47"/>
        <v>7251.3994324202577</v>
      </c>
      <c r="BA41" s="225">
        <f t="shared" si="47"/>
        <v>7251.3994324202577</v>
      </c>
      <c r="BB41" s="225">
        <f t="shared" si="47"/>
        <v>7251.3994324202577</v>
      </c>
      <c r="BC41" s="225">
        <f t="shared" si="47"/>
        <v>7251.3994324202577</v>
      </c>
      <c r="BD41" s="225">
        <f t="shared" si="47"/>
        <v>7251.3994324202577</v>
      </c>
      <c r="BE41" s="225">
        <f t="shared" si="47"/>
        <v>7251.3994324202577</v>
      </c>
      <c r="BF41" s="225">
        <f t="shared" si="47"/>
        <v>7251.3994324202577</v>
      </c>
      <c r="BG41" s="225">
        <f t="shared" si="47"/>
        <v>7251.3994324202577</v>
      </c>
      <c r="BH41" s="225">
        <f t="shared" si="47"/>
        <v>7251.3994324202577</v>
      </c>
      <c r="BI41" s="225">
        <f t="shared" si="47"/>
        <v>7251.3994324202577</v>
      </c>
      <c r="BJ41" s="225">
        <f t="shared" si="47"/>
        <v>7251.3994324202577</v>
      </c>
      <c r="BK41" s="218"/>
    </row>
    <row r="42" spans="1:65" ht="16.5" thickBot="1" x14ac:dyDescent="0.3">
      <c r="A42" s="5"/>
      <c r="B42" s="4"/>
      <c r="C42" s="4"/>
      <c r="D42" s="4"/>
      <c r="E42" s="4"/>
      <c r="F42" s="21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65" s="134" customFormat="1" x14ac:dyDescent="0.25">
      <c r="A43" s="255" t="s">
        <v>152</v>
      </c>
      <c r="B43" s="25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/>
      <c r="AJ43"/>
      <c r="AK43"/>
      <c r="AL43"/>
      <c r="AM43"/>
      <c r="AN43"/>
      <c r="AO43"/>
      <c r="AP43"/>
    </row>
    <row r="44" spans="1:65" ht="16.5" thickBot="1" x14ac:dyDescent="0.3">
      <c r="A44" s="7" t="s">
        <v>147</v>
      </c>
      <c r="B44" s="8">
        <f>(B28+B29)*B24</f>
        <v>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6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65" x14ac:dyDescent="0.25">
      <c r="A46" s="5"/>
      <c r="B46" s="14">
        <f>Cashflow!H7</f>
        <v>43282</v>
      </c>
      <c r="C46" s="14">
        <f>EDATE(B46,1)</f>
        <v>43313</v>
      </c>
      <c r="D46" s="14">
        <f t="shared" ref="D46" si="48">EDATE(C46,1)</f>
        <v>43344</v>
      </c>
      <c r="E46" s="14">
        <f t="shared" ref="E46" si="49">EDATE(D46,1)</f>
        <v>43374</v>
      </c>
      <c r="F46" s="14">
        <f t="shared" ref="F46" si="50">EDATE(E46,1)</f>
        <v>43405</v>
      </c>
      <c r="G46" s="14">
        <f t="shared" ref="G46" si="51">EDATE(F46,1)</f>
        <v>43435</v>
      </c>
      <c r="H46" s="14">
        <f t="shared" ref="H46" si="52">EDATE(G46,1)</f>
        <v>43466</v>
      </c>
      <c r="I46" s="14">
        <f t="shared" ref="I46" si="53">EDATE(H46,1)</f>
        <v>43497</v>
      </c>
      <c r="J46" s="14">
        <f t="shared" ref="J46" si="54">EDATE(I46,1)</f>
        <v>43525</v>
      </c>
      <c r="K46" s="14">
        <f t="shared" ref="K46" si="55">EDATE(J46,1)</f>
        <v>43556</v>
      </c>
      <c r="L46" s="14">
        <f t="shared" ref="L46" si="56">EDATE(K46,1)</f>
        <v>43586</v>
      </c>
      <c r="M46" s="14">
        <f t="shared" ref="M46" si="57">EDATE(L46,1)</f>
        <v>43617</v>
      </c>
      <c r="N46" s="14">
        <f t="shared" ref="N46" si="58">EDATE(M46,1)</f>
        <v>43647</v>
      </c>
      <c r="O46" s="14">
        <f t="shared" ref="O46" si="59">EDATE(N46,1)</f>
        <v>43678</v>
      </c>
      <c r="P46" s="14">
        <f t="shared" ref="P46" si="60">EDATE(O46,1)</f>
        <v>43709</v>
      </c>
      <c r="Q46" s="14">
        <f t="shared" ref="Q46" si="61">EDATE(P46,1)</f>
        <v>43739</v>
      </c>
      <c r="R46" s="14">
        <f t="shared" ref="R46" si="62">EDATE(Q46,1)</f>
        <v>43770</v>
      </c>
      <c r="S46" s="14">
        <f t="shared" ref="S46" si="63">EDATE(R46,1)</f>
        <v>43800</v>
      </c>
      <c r="T46" s="14">
        <f t="shared" ref="T46" si="64">EDATE(S46,1)</f>
        <v>43831</v>
      </c>
      <c r="U46" s="14">
        <f t="shared" ref="U46" si="65">EDATE(T46,1)</f>
        <v>43862</v>
      </c>
      <c r="V46" s="14">
        <f t="shared" ref="V46" si="66">EDATE(U46,1)</f>
        <v>43891</v>
      </c>
      <c r="W46" s="14">
        <f t="shared" ref="W46" si="67">EDATE(V46,1)</f>
        <v>43922</v>
      </c>
      <c r="X46" s="14">
        <f t="shared" ref="X46" si="68">EDATE(W46,1)</f>
        <v>43952</v>
      </c>
      <c r="Y46" s="14">
        <f t="shared" ref="Y46" si="69">EDATE(X46,1)</f>
        <v>43983</v>
      </c>
      <c r="Z46" s="14">
        <f t="shared" ref="Z46" si="70">EDATE(Y46,1)</f>
        <v>44013</v>
      </c>
      <c r="AA46" s="14">
        <f t="shared" ref="AA46" si="71">EDATE(Z46,1)</f>
        <v>44044</v>
      </c>
      <c r="AB46" s="14">
        <f t="shared" ref="AB46" si="72">EDATE(AA46,1)</f>
        <v>44075</v>
      </c>
      <c r="AC46" s="14">
        <f t="shared" ref="AC46" si="73">EDATE(AB46,1)</f>
        <v>44105</v>
      </c>
      <c r="AD46" s="14">
        <f t="shared" ref="AD46" si="74">EDATE(AC46,1)</f>
        <v>44136</v>
      </c>
      <c r="AE46" s="14">
        <f t="shared" ref="AE46" si="75">EDATE(AD46,1)</f>
        <v>44166</v>
      </c>
      <c r="AF46" s="14">
        <f t="shared" ref="AF46" si="76">EDATE(AE46,1)</f>
        <v>44197</v>
      </c>
      <c r="AG46" s="14">
        <f t="shared" ref="AG46" si="77">EDATE(AF46,1)</f>
        <v>44228</v>
      </c>
      <c r="AH46" s="14">
        <f>EDATE(AG46,1)</f>
        <v>44256</v>
      </c>
      <c r="AI46" s="14">
        <f t="shared" ref="AI46" si="78">EDATE(AH46,1)</f>
        <v>44287</v>
      </c>
      <c r="AJ46" s="14">
        <f t="shared" ref="AJ46" si="79">EDATE(AI46,1)</f>
        <v>44317</v>
      </c>
      <c r="AK46" s="14">
        <f t="shared" ref="AK46" si="80">EDATE(AJ46,1)</f>
        <v>44348</v>
      </c>
      <c r="AL46" s="14">
        <f t="shared" ref="AL46" si="81">EDATE(AK46,1)</f>
        <v>44378</v>
      </c>
      <c r="AM46" s="14">
        <f t="shared" ref="AM46" si="82">EDATE(AL46,1)</f>
        <v>44409</v>
      </c>
      <c r="AN46" s="14">
        <f t="shared" ref="AN46" si="83">EDATE(AM46,1)</f>
        <v>44440</v>
      </c>
      <c r="AO46" s="14">
        <f t="shared" ref="AO46" si="84">EDATE(AN46,1)</f>
        <v>44470</v>
      </c>
      <c r="AP46" s="14">
        <f t="shared" ref="AP46" si="85">EDATE(AO46,1)</f>
        <v>44501</v>
      </c>
      <c r="AQ46" s="14">
        <f t="shared" ref="AQ46" si="86">EDATE(AP46,1)</f>
        <v>44531</v>
      </c>
      <c r="AR46" s="14">
        <f t="shared" ref="AR46" si="87">EDATE(AQ46,1)</f>
        <v>44562</v>
      </c>
      <c r="AS46" s="14">
        <f t="shared" ref="AS46" si="88">EDATE(AR46,1)</f>
        <v>44593</v>
      </c>
      <c r="AT46" s="14">
        <f t="shared" ref="AT46" si="89">EDATE(AS46,1)</f>
        <v>44621</v>
      </c>
      <c r="AU46" s="14">
        <f t="shared" ref="AU46" si="90">EDATE(AT46,1)</f>
        <v>44652</v>
      </c>
      <c r="AV46" s="14">
        <f t="shared" ref="AV46" si="91">EDATE(AU46,1)</f>
        <v>44682</v>
      </c>
      <c r="AW46" s="14">
        <f t="shared" ref="AW46" si="92">EDATE(AV46,1)</f>
        <v>44713</v>
      </c>
      <c r="AX46" s="14">
        <f t="shared" ref="AX46" si="93">EDATE(AW46,1)</f>
        <v>44743</v>
      </c>
      <c r="AY46" s="14">
        <f t="shared" ref="AY46" si="94">EDATE(AX46,1)</f>
        <v>44774</v>
      </c>
      <c r="AZ46" s="14">
        <f t="shared" ref="AZ46" si="95">EDATE(AY46,1)</f>
        <v>44805</v>
      </c>
      <c r="BA46" s="14">
        <f t="shared" ref="BA46" si="96">EDATE(AZ46,1)</f>
        <v>44835</v>
      </c>
      <c r="BB46" s="14">
        <f t="shared" ref="BB46" si="97">EDATE(BA46,1)</f>
        <v>44866</v>
      </c>
      <c r="BC46" s="14">
        <f t="shared" ref="BC46" si="98">EDATE(BB46,1)</f>
        <v>44896</v>
      </c>
      <c r="BD46" s="14">
        <f t="shared" ref="BD46" si="99">EDATE(BC46,1)</f>
        <v>44927</v>
      </c>
      <c r="BE46" s="14">
        <f t="shared" ref="BE46" si="100">EDATE(BD46,1)</f>
        <v>44958</v>
      </c>
      <c r="BF46" s="14">
        <f t="shared" ref="BF46" si="101">EDATE(BE46,1)</f>
        <v>44986</v>
      </c>
      <c r="BG46" s="14">
        <f t="shared" ref="BG46" si="102">EDATE(BF46,1)</f>
        <v>45017</v>
      </c>
      <c r="BH46" s="14">
        <f t="shared" ref="BH46" si="103">EDATE(BG46,1)</f>
        <v>45047</v>
      </c>
      <c r="BI46" s="14">
        <f t="shared" ref="BI46" si="104">EDATE(BH46,1)</f>
        <v>45078</v>
      </c>
      <c r="BJ46" s="14">
        <f t="shared" ref="BJ46" si="105">EDATE(BI46,1)</f>
        <v>45108</v>
      </c>
      <c r="BK46" s="14">
        <f t="shared" ref="BK46" si="106">EDATE(BJ46,1)</f>
        <v>45139</v>
      </c>
      <c r="BL46" s="14">
        <f t="shared" ref="BL46" si="107">EDATE(BK46,1)</f>
        <v>45170</v>
      </c>
      <c r="BM46" s="14">
        <f t="shared" ref="BM46" si="108">EDATE(BL46,1)</f>
        <v>45200</v>
      </c>
    </row>
    <row r="47" spans="1:65" x14ac:dyDescent="0.25">
      <c r="A47" s="5"/>
      <c r="B47" s="15">
        <f>Cashflow!H8</f>
        <v>0</v>
      </c>
      <c r="C47" s="15">
        <f>B47+1</f>
        <v>1</v>
      </c>
      <c r="D47" s="15">
        <f>C47+1</f>
        <v>2</v>
      </c>
      <c r="E47" s="15">
        <f t="shared" ref="E47" si="109">D47+1</f>
        <v>3</v>
      </c>
      <c r="F47" s="15">
        <f t="shared" ref="F47" si="110">E47+1</f>
        <v>4</v>
      </c>
      <c r="G47" s="15">
        <f t="shared" ref="G47" si="111">F47+1</f>
        <v>5</v>
      </c>
      <c r="H47" s="15">
        <f t="shared" ref="H47" si="112">G47+1</f>
        <v>6</v>
      </c>
      <c r="I47" s="15">
        <f t="shared" ref="I47" si="113">H47+1</f>
        <v>7</v>
      </c>
      <c r="J47" s="15">
        <f t="shared" ref="J47" si="114">I47+1</f>
        <v>8</v>
      </c>
      <c r="K47" s="15">
        <f t="shared" ref="K47" si="115">J47+1</f>
        <v>9</v>
      </c>
      <c r="L47" s="15">
        <f t="shared" ref="L47" si="116">K47+1</f>
        <v>10</v>
      </c>
      <c r="M47" s="15">
        <f t="shared" ref="M47" si="117">L47+1</f>
        <v>11</v>
      </c>
      <c r="N47" s="15">
        <f t="shared" ref="N47" si="118">M47+1</f>
        <v>12</v>
      </c>
      <c r="O47" s="15">
        <f t="shared" ref="O47" si="119">N47+1</f>
        <v>13</v>
      </c>
      <c r="P47" s="15">
        <f t="shared" ref="P47" si="120">O47+1</f>
        <v>14</v>
      </c>
      <c r="Q47" s="15">
        <f t="shared" ref="Q47" si="121">P47+1</f>
        <v>15</v>
      </c>
      <c r="R47" s="15">
        <f t="shared" ref="R47" si="122">Q47+1</f>
        <v>16</v>
      </c>
      <c r="S47" s="15">
        <f t="shared" ref="S47" si="123">R47+1</f>
        <v>17</v>
      </c>
      <c r="T47" s="15">
        <f t="shared" ref="T47" si="124">S47+1</f>
        <v>18</v>
      </c>
      <c r="U47" s="15">
        <f t="shared" ref="U47" si="125">T47+1</f>
        <v>19</v>
      </c>
      <c r="V47" s="15">
        <f t="shared" ref="V47" si="126">U47+1</f>
        <v>20</v>
      </c>
      <c r="W47" s="15">
        <f t="shared" ref="W47" si="127">V47+1</f>
        <v>21</v>
      </c>
      <c r="X47" s="15">
        <f t="shared" ref="X47" si="128">W47+1</f>
        <v>22</v>
      </c>
      <c r="Y47" s="15">
        <f t="shared" ref="Y47" si="129">X47+1</f>
        <v>23</v>
      </c>
      <c r="Z47" s="15">
        <f t="shared" ref="Z47" si="130">Y47+1</f>
        <v>24</v>
      </c>
      <c r="AA47" s="15">
        <f t="shared" ref="AA47" si="131">Z47+1</f>
        <v>25</v>
      </c>
      <c r="AB47" s="15">
        <f t="shared" ref="AB47" si="132">AA47+1</f>
        <v>26</v>
      </c>
      <c r="AC47" s="15">
        <f t="shared" ref="AC47" si="133">AB47+1</f>
        <v>27</v>
      </c>
      <c r="AD47" s="15">
        <f t="shared" ref="AD47" si="134">AC47+1</f>
        <v>28</v>
      </c>
      <c r="AE47" s="15">
        <f t="shared" ref="AE47" si="135">AD47+1</f>
        <v>29</v>
      </c>
      <c r="AF47" s="15">
        <f t="shared" ref="AF47" si="136">AE47+1</f>
        <v>30</v>
      </c>
      <c r="AG47" s="15">
        <f t="shared" ref="AG47" si="137">AF47+1</f>
        <v>31</v>
      </c>
      <c r="AH47" s="15">
        <f t="shared" ref="AH47" si="138">AG47+1</f>
        <v>32</v>
      </c>
      <c r="AI47" s="15">
        <f t="shared" ref="AI47" si="139">AH47+1</f>
        <v>33</v>
      </c>
      <c r="AJ47" s="15">
        <f t="shared" ref="AJ47" si="140">AI47+1</f>
        <v>34</v>
      </c>
      <c r="AK47" s="15">
        <f t="shared" ref="AK47" si="141">AJ47+1</f>
        <v>35</v>
      </c>
      <c r="AL47" s="15">
        <f t="shared" ref="AL47" si="142">AK47+1</f>
        <v>36</v>
      </c>
      <c r="AM47" s="15">
        <f t="shared" ref="AM47" si="143">AL47+1</f>
        <v>37</v>
      </c>
      <c r="AN47" s="15">
        <f t="shared" ref="AN47" si="144">AM47+1</f>
        <v>38</v>
      </c>
      <c r="AO47" s="15">
        <f t="shared" ref="AO47" si="145">AN47+1</f>
        <v>39</v>
      </c>
      <c r="AP47" s="15">
        <f t="shared" ref="AP47" si="146">AO47+1</f>
        <v>40</v>
      </c>
      <c r="AQ47" s="15">
        <f t="shared" ref="AQ47" si="147">AP47+1</f>
        <v>41</v>
      </c>
      <c r="AR47" s="15">
        <f t="shared" ref="AR47" si="148">AQ47+1</f>
        <v>42</v>
      </c>
      <c r="AS47" s="15">
        <f t="shared" ref="AS47" si="149">AR47+1</f>
        <v>43</v>
      </c>
      <c r="AT47" s="15">
        <f t="shared" ref="AT47" si="150">AS47+1</f>
        <v>44</v>
      </c>
      <c r="AU47" s="15">
        <f t="shared" ref="AU47" si="151">AT47+1</f>
        <v>45</v>
      </c>
      <c r="AV47" s="15">
        <f t="shared" ref="AV47" si="152">AU47+1</f>
        <v>46</v>
      </c>
      <c r="AW47" s="15">
        <f t="shared" ref="AW47" si="153">AV47+1</f>
        <v>47</v>
      </c>
      <c r="AX47" s="15">
        <f t="shared" ref="AX47" si="154">AW47+1</f>
        <v>48</v>
      </c>
      <c r="AY47" s="15">
        <f t="shared" ref="AY47" si="155">AX47+1</f>
        <v>49</v>
      </c>
      <c r="AZ47" s="15">
        <f t="shared" ref="AZ47" si="156">AY47+1</f>
        <v>50</v>
      </c>
      <c r="BA47" s="15">
        <f t="shared" ref="BA47" si="157">AZ47+1</f>
        <v>51</v>
      </c>
      <c r="BB47" s="15">
        <f t="shared" ref="BB47" si="158">BA47+1</f>
        <v>52</v>
      </c>
      <c r="BC47" s="15">
        <f t="shared" ref="BC47" si="159">BB47+1</f>
        <v>53</v>
      </c>
      <c r="BD47" s="15">
        <f t="shared" ref="BD47" si="160">BC47+1</f>
        <v>54</v>
      </c>
      <c r="BE47" s="15">
        <f t="shared" ref="BE47" si="161">BD47+1</f>
        <v>55</v>
      </c>
      <c r="BF47" s="15">
        <f t="shared" ref="BF47" si="162">BE47+1</f>
        <v>56</v>
      </c>
      <c r="BG47" s="15">
        <f t="shared" ref="BG47" si="163">BF47+1</f>
        <v>57</v>
      </c>
      <c r="BH47" s="15">
        <f t="shared" ref="BH47" si="164">BG47+1</f>
        <v>58</v>
      </c>
      <c r="BI47" s="15">
        <f t="shared" ref="BI47" si="165">BH47+1</f>
        <v>59</v>
      </c>
      <c r="BJ47" s="15">
        <f t="shared" ref="BJ47" si="166">BI47+1</f>
        <v>60</v>
      </c>
      <c r="BK47" s="15">
        <f t="shared" ref="BK47" si="167">BJ47+1</f>
        <v>61</v>
      </c>
      <c r="BL47" s="15">
        <f t="shared" ref="BL47" si="168">BK47+1</f>
        <v>62</v>
      </c>
      <c r="BM47" s="15">
        <f t="shared" ref="BM47" si="169">BL47+1</f>
        <v>63</v>
      </c>
    </row>
    <row r="48" spans="1:65" x14ac:dyDescent="0.25">
      <c r="A48" s="12" t="s">
        <v>148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</row>
    <row r="49" spans="1:75" ht="16.5" thickBot="1" x14ac:dyDescent="0.3">
      <c r="A49" s="134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4"/>
      <c r="BO49" s="4"/>
      <c r="BP49" s="4"/>
      <c r="BQ49" s="4"/>
      <c r="BR49" s="4"/>
      <c r="BS49" s="4"/>
      <c r="BT49" s="4"/>
    </row>
    <row r="50" spans="1:75" ht="78.75" x14ac:dyDescent="0.25">
      <c r="A50" s="255" t="s">
        <v>161</v>
      </c>
      <c r="B50" s="256"/>
      <c r="C50" s="144" t="s">
        <v>168</v>
      </c>
      <c r="D50" s="145" t="s">
        <v>169</v>
      </c>
      <c r="E50" s="82" t="s">
        <v>170</v>
      </c>
      <c r="F50" s="146" t="s">
        <v>171</v>
      </c>
      <c r="G50" s="147" t="s">
        <v>172</v>
      </c>
      <c r="H50" s="147" t="s">
        <v>173</v>
      </c>
      <c r="I50" s="147" t="s">
        <v>174</v>
      </c>
      <c r="J50" s="147" t="s">
        <v>175</v>
      </c>
      <c r="K50" s="147" t="s">
        <v>176</v>
      </c>
      <c r="L50" s="148" t="s">
        <v>177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75" ht="16.5" thickBot="1" x14ac:dyDescent="0.3">
      <c r="A51" s="7" t="s">
        <v>147</v>
      </c>
      <c r="B51" s="8">
        <f>B28*B26</f>
        <v>0</v>
      </c>
      <c r="C51" s="149">
        <f>Dados!C6</f>
        <v>42705</v>
      </c>
      <c r="D51" s="150">
        <v>0</v>
      </c>
      <c r="E51" s="150">
        <v>0</v>
      </c>
      <c r="F51" s="150">
        <v>0</v>
      </c>
      <c r="G51" s="150">
        <f>E51-F51</f>
        <v>0</v>
      </c>
      <c r="H51" s="175">
        <v>0</v>
      </c>
      <c r="I51" s="151">
        <f>H51*G51</f>
        <v>0</v>
      </c>
      <c r="J51" s="152">
        <v>0</v>
      </c>
      <c r="K51" s="152">
        <v>0</v>
      </c>
      <c r="L51" s="153">
        <f>NPV(J51,AR55:BL55)</f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75" x14ac:dyDescent="0.25">
      <c r="A53" s="5"/>
      <c r="B53" s="14">
        <f>Cashflow!H7</f>
        <v>43282</v>
      </c>
      <c r="C53" s="14">
        <f>EDATE(B53,1)</f>
        <v>43313</v>
      </c>
      <c r="D53" s="14">
        <f t="shared" ref="D53:AP53" si="170">EDATE(C53,1)</f>
        <v>43344</v>
      </c>
      <c r="E53" s="14">
        <f t="shared" si="170"/>
        <v>43374</v>
      </c>
      <c r="F53" s="14">
        <f t="shared" si="170"/>
        <v>43405</v>
      </c>
      <c r="G53" s="14">
        <f t="shared" si="170"/>
        <v>43435</v>
      </c>
      <c r="H53" s="14">
        <f t="shared" si="170"/>
        <v>43466</v>
      </c>
      <c r="I53" s="14">
        <f t="shared" si="170"/>
        <v>43497</v>
      </c>
      <c r="J53" s="14">
        <f t="shared" si="170"/>
        <v>43525</v>
      </c>
      <c r="K53" s="14">
        <f t="shared" si="170"/>
        <v>43556</v>
      </c>
      <c r="L53" s="14">
        <f t="shared" si="170"/>
        <v>43586</v>
      </c>
      <c r="M53" s="14">
        <f t="shared" si="170"/>
        <v>43617</v>
      </c>
      <c r="N53" s="14">
        <f t="shared" si="170"/>
        <v>43647</v>
      </c>
      <c r="O53" s="14">
        <f t="shared" si="170"/>
        <v>43678</v>
      </c>
      <c r="P53" s="14">
        <f t="shared" si="170"/>
        <v>43709</v>
      </c>
      <c r="Q53" s="14">
        <f t="shared" si="170"/>
        <v>43739</v>
      </c>
      <c r="R53" s="14">
        <f t="shared" si="170"/>
        <v>43770</v>
      </c>
      <c r="S53" s="14">
        <f t="shared" si="170"/>
        <v>43800</v>
      </c>
      <c r="T53" s="14">
        <f t="shared" si="170"/>
        <v>43831</v>
      </c>
      <c r="U53" s="14">
        <f t="shared" si="170"/>
        <v>43862</v>
      </c>
      <c r="V53" s="14">
        <f t="shared" si="170"/>
        <v>43891</v>
      </c>
      <c r="W53" s="14">
        <f t="shared" si="170"/>
        <v>43922</v>
      </c>
      <c r="X53" s="14">
        <f t="shared" si="170"/>
        <v>43952</v>
      </c>
      <c r="Y53" s="14">
        <f t="shared" si="170"/>
        <v>43983</v>
      </c>
      <c r="Z53" s="14">
        <f t="shared" si="170"/>
        <v>44013</v>
      </c>
      <c r="AA53" s="14">
        <f t="shared" si="170"/>
        <v>44044</v>
      </c>
      <c r="AB53" s="14">
        <f t="shared" si="170"/>
        <v>44075</v>
      </c>
      <c r="AC53" s="14">
        <f t="shared" si="170"/>
        <v>44105</v>
      </c>
      <c r="AD53" s="14">
        <f t="shared" si="170"/>
        <v>44136</v>
      </c>
      <c r="AE53" s="14">
        <f t="shared" si="170"/>
        <v>44166</v>
      </c>
      <c r="AF53" s="14">
        <f t="shared" si="170"/>
        <v>44197</v>
      </c>
      <c r="AG53" s="14">
        <f t="shared" si="170"/>
        <v>44228</v>
      </c>
      <c r="AH53" s="14">
        <f>EDATE(AG53,1)</f>
        <v>44256</v>
      </c>
      <c r="AI53" s="14">
        <f t="shared" si="170"/>
        <v>44287</v>
      </c>
      <c r="AJ53" s="14">
        <f t="shared" si="170"/>
        <v>44317</v>
      </c>
      <c r="AK53" s="14">
        <f t="shared" si="170"/>
        <v>44348</v>
      </c>
      <c r="AL53" s="14">
        <f t="shared" si="170"/>
        <v>44378</v>
      </c>
      <c r="AM53" s="14">
        <f t="shared" si="170"/>
        <v>44409</v>
      </c>
      <c r="AN53" s="14">
        <f t="shared" si="170"/>
        <v>44440</v>
      </c>
      <c r="AO53" s="14">
        <f t="shared" si="170"/>
        <v>44470</v>
      </c>
      <c r="AP53" s="14">
        <f t="shared" si="170"/>
        <v>44501</v>
      </c>
      <c r="AQ53" s="14">
        <f t="shared" ref="AQ53" si="171">EDATE(AP53,1)</f>
        <v>44531</v>
      </c>
      <c r="AR53" s="14">
        <f t="shared" ref="AR53" si="172">EDATE(AQ53,1)</f>
        <v>44562</v>
      </c>
      <c r="AS53" s="14">
        <f t="shared" ref="AS53" si="173">EDATE(AR53,1)</f>
        <v>44593</v>
      </c>
      <c r="AT53" s="14">
        <f t="shared" ref="AT53" si="174">EDATE(AS53,1)</f>
        <v>44621</v>
      </c>
      <c r="AU53" s="14">
        <f t="shared" ref="AU53" si="175">EDATE(AT53,1)</f>
        <v>44652</v>
      </c>
      <c r="AV53" s="14">
        <f t="shared" ref="AV53" si="176">EDATE(AU53,1)</f>
        <v>44682</v>
      </c>
      <c r="AW53" s="14">
        <f t="shared" ref="AW53" si="177">EDATE(AV53,1)</f>
        <v>44713</v>
      </c>
      <c r="AX53" s="14">
        <f t="shared" ref="AX53" si="178">EDATE(AW53,1)</f>
        <v>44743</v>
      </c>
      <c r="AY53" s="14">
        <f t="shared" ref="AY53" si="179">EDATE(AX53,1)</f>
        <v>44774</v>
      </c>
      <c r="AZ53" s="14">
        <f t="shared" ref="AZ53" si="180">EDATE(AY53,1)</f>
        <v>44805</v>
      </c>
      <c r="BA53" s="14">
        <f t="shared" ref="BA53" si="181">EDATE(AZ53,1)</f>
        <v>44835</v>
      </c>
      <c r="BB53" s="14">
        <f t="shared" ref="BB53" si="182">EDATE(BA53,1)</f>
        <v>44866</v>
      </c>
      <c r="BC53" s="14">
        <f t="shared" ref="BC53" si="183">EDATE(BB53,1)</f>
        <v>44896</v>
      </c>
      <c r="BD53" s="14">
        <f t="shared" ref="BD53" si="184">EDATE(BC53,1)</f>
        <v>44927</v>
      </c>
      <c r="BE53" s="14">
        <f t="shared" ref="BE53" si="185">EDATE(BD53,1)</f>
        <v>44958</v>
      </c>
      <c r="BF53" s="14">
        <f t="shared" ref="BF53" si="186">EDATE(BE53,1)</f>
        <v>44986</v>
      </c>
      <c r="BG53" s="14">
        <f t="shared" ref="BG53" si="187">EDATE(BF53,1)</f>
        <v>45017</v>
      </c>
      <c r="BH53" s="14">
        <f t="shared" ref="BH53" si="188">EDATE(BG53,1)</f>
        <v>45047</v>
      </c>
      <c r="BI53" s="14">
        <f t="shared" ref="BI53" si="189">EDATE(BH53,1)</f>
        <v>45078</v>
      </c>
      <c r="BJ53" s="14">
        <f t="shared" ref="BJ53" si="190">EDATE(BI53,1)</f>
        <v>45108</v>
      </c>
      <c r="BK53" s="14">
        <f t="shared" ref="BK53" si="191">EDATE(BJ53,1)</f>
        <v>45139</v>
      </c>
      <c r="BL53" s="14">
        <f t="shared" ref="BL53" si="192">EDATE(BK53,1)</f>
        <v>45170</v>
      </c>
      <c r="BM53" s="14">
        <f t="shared" ref="BM53" si="193">EDATE(BL53,1)</f>
        <v>45200</v>
      </c>
    </row>
    <row r="54" spans="1:75" x14ac:dyDescent="0.25">
      <c r="A54" s="5"/>
      <c r="B54" s="15">
        <f>Cashflow!H8</f>
        <v>0</v>
      </c>
      <c r="C54" s="15">
        <f>B54+1</f>
        <v>1</v>
      </c>
      <c r="D54" s="15">
        <f>C54+1</f>
        <v>2</v>
      </c>
      <c r="E54" s="15">
        <f t="shared" ref="E54:AP54" si="194">D54+1</f>
        <v>3</v>
      </c>
      <c r="F54" s="15">
        <f t="shared" si="194"/>
        <v>4</v>
      </c>
      <c r="G54" s="15">
        <f t="shared" si="194"/>
        <v>5</v>
      </c>
      <c r="H54" s="15">
        <f t="shared" si="194"/>
        <v>6</v>
      </c>
      <c r="I54" s="15">
        <f t="shared" si="194"/>
        <v>7</v>
      </c>
      <c r="J54" s="15">
        <f t="shared" si="194"/>
        <v>8</v>
      </c>
      <c r="K54" s="15">
        <f t="shared" si="194"/>
        <v>9</v>
      </c>
      <c r="L54" s="15">
        <f t="shared" si="194"/>
        <v>10</v>
      </c>
      <c r="M54" s="15">
        <f t="shared" si="194"/>
        <v>11</v>
      </c>
      <c r="N54" s="15">
        <f t="shared" si="194"/>
        <v>12</v>
      </c>
      <c r="O54" s="15">
        <f t="shared" si="194"/>
        <v>13</v>
      </c>
      <c r="P54" s="15">
        <f t="shared" si="194"/>
        <v>14</v>
      </c>
      <c r="Q54" s="15">
        <f t="shared" si="194"/>
        <v>15</v>
      </c>
      <c r="R54" s="15">
        <f t="shared" si="194"/>
        <v>16</v>
      </c>
      <c r="S54" s="15">
        <f t="shared" si="194"/>
        <v>17</v>
      </c>
      <c r="T54" s="15">
        <f t="shared" si="194"/>
        <v>18</v>
      </c>
      <c r="U54" s="15">
        <f t="shared" si="194"/>
        <v>19</v>
      </c>
      <c r="V54" s="15">
        <f t="shared" si="194"/>
        <v>20</v>
      </c>
      <c r="W54" s="15">
        <f t="shared" si="194"/>
        <v>21</v>
      </c>
      <c r="X54" s="15">
        <f t="shared" si="194"/>
        <v>22</v>
      </c>
      <c r="Y54" s="15">
        <f t="shared" si="194"/>
        <v>23</v>
      </c>
      <c r="Z54" s="15">
        <f t="shared" si="194"/>
        <v>24</v>
      </c>
      <c r="AA54" s="15">
        <f t="shared" si="194"/>
        <v>25</v>
      </c>
      <c r="AB54" s="15">
        <f t="shared" si="194"/>
        <v>26</v>
      </c>
      <c r="AC54" s="15">
        <f t="shared" si="194"/>
        <v>27</v>
      </c>
      <c r="AD54" s="15">
        <f t="shared" si="194"/>
        <v>28</v>
      </c>
      <c r="AE54" s="15">
        <f t="shared" si="194"/>
        <v>29</v>
      </c>
      <c r="AF54" s="15">
        <f t="shared" si="194"/>
        <v>30</v>
      </c>
      <c r="AG54" s="15">
        <f t="shared" si="194"/>
        <v>31</v>
      </c>
      <c r="AH54" s="15">
        <f t="shared" si="194"/>
        <v>32</v>
      </c>
      <c r="AI54" s="15">
        <f t="shared" si="194"/>
        <v>33</v>
      </c>
      <c r="AJ54" s="15">
        <f t="shared" si="194"/>
        <v>34</v>
      </c>
      <c r="AK54" s="15">
        <f t="shared" si="194"/>
        <v>35</v>
      </c>
      <c r="AL54" s="15">
        <f t="shared" si="194"/>
        <v>36</v>
      </c>
      <c r="AM54" s="15">
        <f t="shared" si="194"/>
        <v>37</v>
      </c>
      <c r="AN54" s="15">
        <f t="shared" si="194"/>
        <v>38</v>
      </c>
      <c r="AO54" s="15">
        <f t="shared" si="194"/>
        <v>39</v>
      </c>
      <c r="AP54" s="15">
        <f t="shared" si="194"/>
        <v>40</v>
      </c>
      <c r="AQ54" s="15">
        <f t="shared" ref="AQ54" si="195">AP54+1</f>
        <v>41</v>
      </c>
      <c r="AR54" s="15">
        <f t="shared" ref="AR54" si="196">AQ54+1</f>
        <v>42</v>
      </c>
      <c r="AS54" s="15">
        <f t="shared" ref="AS54" si="197">AR54+1</f>
        <v>43</v>
      </c>
      <c r="AT54" s="15">
        <f t="shared" ref="AT54" si="198">AS54+1</f>
        <v>44</v>
      </c>
      <c r="AU54" s="15">
        <f t="shared" ref="AU54" si="199">AT54+1</f>
        <v>45</v>
      </c>
      <c r="AV54" s="15">
        <f t="shared" ref="AV54" si="200">AU54+1</f>
        <v>46</v>
      </c>
      <c r="AW54" s="15">
        <f t="shared" ref="AW54" si="201">AV54+1</f>
        <v>47</v>
      </c>
      <c r="AX54" s="15">
        <f t="shared" ref="AX54" si="202">AW54+1</f>
        <v>48</v>
      </c>
      <c r="AY54" s="15">
        <f t="shared" ref="AY54" si="203">AX54+1</f>
        <v>49</v>
      </c>
      <c r="AZ54" s="15">
        <f t="shared" ref="AZ54" si="204">AY54+1</f>
        <v>50</v>
      </c>
      <c r="BA54" s="15">
        <f t="shared" ref="BA54" si="205">AZ54+1</f>
        <v>51</v>
      </c>
      <c r="BB54" s="15">
        <f t="shared" ref="BB54" si="206">BA54+1</f>
        <v>52</v>
      </c>
      <c r="BC54" s="15">
        <f t="shared" ref="BC54" si="207">BB54+1</f>
        <v>53</v>
      </c>
      <c r="BD54" s="15">
        <f t="shared" ref="BD54" si="208">BC54+1</f>
        <v>54</v>
      </c>
      <c r="BE54" s="15">
        <f t="shared" ref="BE54" si="209">BD54+1</f>
        <v>55</v>
      </c>
      <c r="BF54" s="15">
        <f t="shared" ref="BF54" si="210">BE54+1</f>
        <v>56</v>
      </c>
      <c r="BG54" s="15">
        <f t="shared" ref="BG54" si="211">BF54+1</f>
        <v>57</v>
      </c>
      <c r="BH54" s="15">
        <f t="shared" ref="BH54" si="212">BG54+1</f>
        <v>58</v>
      </c>
      <c r="BI54" s="15">
        <f t="shared" ref="BI54" si="213">BH54+1</f>
        <v>59</v>
      </c>
      <c r="BJ54" s="15">
        <f t="shared" ref="BJ54" si="214">BI54+1</f>
        <v>60</v>
      </c>
      <c r="BK54" s="15">
        <f t="shared" ref="BK54" si="215">BJ54+1</f>
        <v>61</v>
      </c>
      <c r="BL54" s="15">
        <f t="shared" ref="BL54" si="216">BK54+1</f>
        <v>62</v>
      </c>
      <c r="BM54" s="15">
        <f t="shared" ref="BM54" si="217">BL54+1</f>
        <v>63</v>
      </c>
    </row>
    <row r="55" spans="1:75" x14ac:dyDescent="0.25">
      <c r="A55" s="12" t="s">
        <v>148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f>$H$51</f>
        <v>0</v>
      </c>
      <c r="I55" s="13">
        <f t="shared" ref="I55:AO55" si="218">$H$51</f>
        <v>0</v>
      </c>
      <c r="J55" s="13">
        <f t="shared" si="218"/>
        <v>0</v>
      </c>
      <c r="K55" s="13">
        <f t="shared" si="218"/>
        <v>0</v>
      </c>
      <c r="L55" s="13">
        <f t="shared" si="218"/>
        <v>0</v>
      </c>
      <c r="M55" s="13">
        <f t="shared" si="218"/>
        <v>0</v>
      </c>
      <c r="N55" s="13">
        <f t="shared" si="218"/>
        <v>0</v>
      </c>
      <c r="O55" s="13">
        <f t="shared" si="218"/>
        <v>0</v>
      </c>
      <c r="P55" s="13">
        <f t="shared" si="218"/>
        <v>0</v>
      </c>
      <c r="Q55" s="13">
        <f t="shared" si="218"/>
        <v>0</v>
      </c>
      <c r="R55" s="13">
        <f t="shared" si="218"/>
        <v>0</v>
      </c>
      <c r="S55" s="13">
        <f t="shared" si="218"/>
        <v>0</v>
      </c>
      <c r="T55" s="13">
        <f t="shared" si="218"/>
        <v>0</v>
      </c>
      <c r="U55" s="13">
        <f t="shared" si="218"/>
        <v>0</v>
      </c>
      <c r="V55" s="13">
        <f t="shared" si="218"/>
        <v>0</v>
      </c>
      <c r="W55" s="13">
        <f t="shared" si="218"/>
        <v>0</v>
      </c>
      <c r="X55" s="13">
        <f t="shared" si="218"/>
        <v>0</v>
      </c>
      <c r="Y55" s="13">
        <f t="shared" si="218"/>
        <v>0</v>
      </c>
      <c r="Z55" s="13">
        <f t="shared" si="218"/>
        <v>0</v>
      </c>
      <c r="AA55" s="13">
        <f t="shared" si="218"/>
        <v>0</v>
      </c>
      <c r="AB55" s="13">
        <f t="shared" si="218"/>
        <v>0</v>
      </c>
      <c r="AC55" s="13">
        <f t="shared" si="218"/>
        <v>0</v>
      </c>
      <c r="AD55" s="13">
        <f t="shared" si="218"/>
        <v>0</v>
      </c>
      <c r="AE55" s="13">
        <f t="shared" si="218"/>
        <v>0</v>
      </c>
      <c r="AF55" s="13">
        <f t="shared" si="218"/>
        <v>0</v>
      </c>
      <c r="AG55" s="13">
        <f t="shared" si="218"/>
        <v>0</v>
      </c>
      <c r="AH55" s="13">
        <f t="shared" si="218"/>
        <v>0</v>
      </c>
      <c r="AI55" s="13">
        <f t="shared" si="218"/>
        <v>0</v>
      </c>
      <c r="AJ55" s="13">
        <f t="shared" si="218"/>
        <v>0</v>
      </c>
      <c r="AK55" s="13">
        <f t="shared" si="218"/>
        <v>0</v>
      </c>
      <c r="AL55" s="13">
        <f t="shared" si="218"/>
        <v>0</v>
      </c>
      <c r="AM55" s="13">
        <f t="shared" si="218"/>
        <v>0</v>
      </c>
      <c r="AN55" s="13">
        <f t="shared" si="218"/>
        <v>0</v>
      </c>
      <c r="AO55" s="13">
        <f t="shared" si="218"/>
        <v>0</v>
      </c>
      <c r="AP55" s="74">
        <f>L51</f>
        <v>0</v>
      </c>
      <c r="AQ55" s="74">
        <f t="shared" ref="AQ55:BM55" si="219">M51</f>
        <v>0</v>
      </c>
      <c r="AR55" s="74">
        <f t="shared" si="219"/>
        <v>0</v>
      </c>
      <c r="AS55" s="74">
        <f t="shared" si="219"/>
        <v>0</v>
      </c>
      <c r="AT55" s="74">
        <f t="shared" si="219"/>
        <v>0</v>
      </c>
      <c r="AU55" s="74">
        <f t="shared" si="219"/>
        <v>0</v>
      </c>
      <c r="AV55" s="74">
        <f t="shared" si="219"/>
        <v>0</v>
      </c>
      <c r="AW55" s="74">
        <f t="shared" si="219"/>
        <v>0</v>
      </c>
      <c r="AX55" s="74">
        <f t="shared" si="219"/>
        <v>0</v>
      </c>
      <c r="AY55" s="74">
        <f t="shared" si="219"/>
        <v>0</v>
      </c>
      <c r="AZ55" s="74">
        <f t="shared" si="219"/>
        <v>0</v>
      </c>
      <c r="BA55" s="74">
        <f t="shared" si="219"/>
        <v>0</v>
      </c>
      <c r="BB55" s="74">
        <f t="shared" si="219"/>
        <v>0</v>
      </c>
      <c r="BC55" s="74">
        <f t="shared" si="219"/>
        <v>0</v>
      </c>
      <c r="BD55" s="74">
        <f t="shared" si="219"/>
        <v>0</v>
      </c>
      <c r="BE55" s="74">
        <f t="shared" si="219"/>
        <v>0</v>
      </c>
      <c r="BF55" s="74">
        <f t="shared" si="219"/>
        <v>0</v>
      </c>
      <c r="BG55" s="74">
        <f t="shared" si="219"/>
        <v>0</v>
      </c>
      <c r="BH55" s="74">
        <f t="shared" si="219"/>
        <v>0</v>
      </c>
      <c r="BI55" s="74">
        <f t="shared" si="219"/>
        <v>0</v>
      </c>
      <c r="BJ55" s="74">
        <f t="shared" si="219"/>
        <v>0</v>
      </c>
      <c r="BK55" s="74">
        <f t="shared" si="219"/>
        <v>0</v>
      </c>
      <c r="BL55" s="74">
        <f t="shared" si="219"/>
        <v>0</v>
      </c>
      <c r="BM55" s="74">
        <f t="shared" si="219"/>
        <v>0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ht="16.5" thickBot="1" x14ac:dyDescent="0.3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75" x14ac:dyDescent="0.25">
      <c r="A57" s="255" t="s">
        <v>178</v>
      </c>
      <c r="B57" s="25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4"/>
      <c r="AF57" s="4"/>
      <c r="AG57" s="4"/>
      <c r="AH57" s="4"/>
    </row>
    <row r="58" spans="1:75" ht="16.5" thickBot="1" x14ac:dyDescent="0.3">
      <c r="A58" s="7" t="s">
        <v>179</v>
      </c>
      <c r="B58" s="8">
        <f>SUM(B28:B29)*B27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H58" s="4"/>
    </row>
    <row r="59" spans="1:75" ht="15" hidden="1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H59" s="4"/>
    </row>
    <row r="60" spans="1:75" ht="15" hidden="1" customHeight="1" x14ac:dyDescent="0.25">
      <c r="A60" s="5"/>
      <c r="B60" s="14">
        <v>42095</v>
      </c>
      <c r="C60" s="14">
        <f>EDATE(B60,1)</f>
        <v>42125</v>
      </c>
      <c r="D60" s="14">
        <f t="shared" ref="D60:AP60" si="220">EDATE(C60,1)</f>
        <v>42156</v>
      </c>
      <c r="E60" s="14">
        <f t="shared" si="220"/>
        <v>42186</v>
      </c>
      <c r="F60" s="14">
        <f t="shared" si="220"/>
        <v>42217</v>
      </c>
      <c r="G60" s="14">
        <f t="shared" si="220"/>
        <v>42248</v>
      </c>
      <c r="H60" s="14">
        <f t="shared" si="220"/>
        <v>42278</v>
      </c>
      <c r="I60" s="14">
        <f t="shared" si="220"/>
        <v>42309</v>
      </c>
      <c r="J60" s="14">
        <f t="shared" si="220"/>
        <v>42339</v>
      </c>
      <c r="K60" s="14">
        <f t="shared" si="220"/>
        <v>42370</v>
      </c>
      <c r="L60" s="14">
        <f t="shared" si="220"/>
        <v>42401</v>
      </c>
      <c r="M60" s="14">
        <f t="shared" si="220"/>
        <v>42430</v>
      </c>
      <c r="N60" s="14">
        <f t="shared" si="220"/>
        <v>42461</v>
      </c>
      <c r="O60" s="14">
        <f t="shared" si="220"/>
        <v>42491</v>
      </c>
      <c r="P60" s="14">
        <f t="shared" si="220"/>
        <v>42522</v>
      </c>
      <c r="Q60" s="14">
        <f t="shared" si="220"/>
        <v>42552</v>
      </c>
      <c r="R60" s="14">
        <f t="shared" si="220"/>
        <v>42583</v>
      </c>
      <c r="S60" s="14">
        <f t="shared" si="220"/>
        <v>42614</v>
      </c>
      <c r="T60" s="14">
        <f t="shared" si="220"/>
        <v>42644</v>
      </c>
      <c r="U60" s="14">
        <f t="shared" si="220"/>
        <v>42675</v>
      </c>
      <c r="V60" s="14">
        <f t="shared" si="220"/>
        <v>42705</v>
      </c>
      <c r="W60" s="14">
        <f t="shared" si="220"/>
        <v>42736</v>
      </c>
      <c r="X60" s="14">
        <f t="shared" si="220"/>
        <v>42767</v>
      </c>
      <c r="Y60" s="14">
        <f t="shared" si="220"/>
        <v>42795</v>
      </c>
      <c r="Z60" s="14">
        <f t="shared" si="220"/>
        <v>42826</v>
      </c>
      <c r="AA60" s="14">
        <f t="shared" si="220"/>
        <v>42856</v>
      </c>
      <c r="AB60" s="14">
        <f t="shared" si="220"/>
        <v>42887</v>
      </c>
      <c r="AC60" s="14">
        <f t="shared" si="220"/>
        <v>42917</v>
      </c>
      <c r="AD60" s="14">
        <f t="shared" si="220"/>
        <v>42948</v>
      </c>
      <c r="AE60" s="14">
        <f t="shared" si="220"/>
        <v>42979</v>
      </c>
      <c r="AF60" s="14">
        <f t="shared" si="220"/>
        <v>43009</v>
      </c>
      <c r="AG60" s="14">
        <f t="shared" si="220"/>
        <v>43040</v>
      </c>
      <c r="AH60" s="14">
        <f>EDATE(AG60,1)</f>
        <v>43070</v>
      </c>
      <c r="AI60" s="14">
        <f t="shared" si="220"/>
        <v>43101</v>
      </c>
      <c r="AJ60" s="14">
        <f t="shared" si="220"/>
        <v>43132</v>
      </c>
      <c r="AK60" s="14">
        <f t="shared" si="220"/>
        <v>43160</v>
      </c>
      <c r="AL60" s="14">
        <f t="shared" si="220"/>
        <v>43191</v>
      </c>
      <c r="AM60" s="14">
        <f t="shared" si="220"/>
        <v>43221</v>
      </c>
      <c r="AN60" s="14">
        <f t="shared" si="220"/>
        <v>43252</v>
      </c>
      <c r="AO60" s="14">
        <f t="shared" si="220"/>
        <v>43282</v>
      </c>
      <c r="AP60" s="14">
        <f t="shared" si="220"/>
        <v>43313</v>
      </c>
      <c r="AQ60" s="14">
        <f t="shared" ref="AQ60" si="221">EDATE(AP60,1)</f>
        <v>43344</v>
      </c>
      <c r="AR60" s="14">
        <f t="shared" ref="AR60" si="222">EDATE(AQ60,1)</f>
        <v>43374</v>
      </c>
      <c r="AS60" s="14">
        <f t="shared" ref="AS60" si="223">EDATE(AR60,1)</f>
        <v>43405</v>
      </c>
      <c r="AT60" s="14">
        <f t="shared" ref="AT60" si="224">EDATE(AS60,1)</f>
        <v>43435</v>
      </c>
      <c r="AU60" s="14">
        <f t="shared" ref="AU60" si="225">EDATE(AT60,1)</f>
        <v>43466</v>
      </c>
      <c r="AV60" s="14">
        <f t="shared" ref="AV60" si="226">EDATE(AU60,1)</f>
        <v>43497</v>
      </c>
      <c r="AW60" s="14">
        <f t="shared" ref="AW60" si="227">EDATE(AV60,1)</f>
        <v>43525</v>
      </c>
      <c r="AX60" s="14">
        <f t="shared" ref="AX60" si="228">EDATE(AW60,1)</f>
        <v>43556</v>
      </c>
      <c r="AY60" s="14">
        <f t="shared" ref="AY60" si="229">EDATE(AX60,1)</f>
        <v>43586</v>
      </c>
      <c r="AZ60" s="14">
        <f t="shared" ref="AZ60" si="230">EDATE(AY60,1)</f>
        <v>43617</v>
      </c>
      <c r="BA60" s="14">
        <f t="shared" ref="BA60" si="231">EDATE(AZ60,1)</f>
        <v>43647</v>
      </c>
      <c r="BB60" s="14">
        <f t="shared" ref="BB60" si="232">EDATE(BA60,1)</f>
        <v>43678</v>
      </c>
      <c r="BC60" s="14">
        <f t="shared" ref="BC60" si="233">EDATE(BB60,1)</f>
        <v>43709</v>
      </c>
      <c r="BD60" s="14">
        <f t="shared" ref="BD60" si="234">EDATE(BC60,1)</f>
        <v>43739</v>
      </c>
      <c r="BE60" s="14">
        <f t="shared" ref="BE60" si="235">EDATE(BD60,1)</f>
        <v>43770</v>
      </c>
      <c r="BF60" s="14">
        <f t="shared" ref="BF60" si="236">EDATE(BE60,1)</f>
        <v>43800</v>
      </c>
      <c r="BG60" s="14">
        <f t="shared" ref="BG60" si="237">EDATE(BF60,1)</f>
        <v>43831</v>
      </c>
      <c r="BH60" s="14">
        <f t="shared" ref="BH60" si="238">EDATE(BG60,1)</f>
        <v>43862</v>
      </c>
      <c r="BI60" s="14">
        <f t="shared" ref="BI60" si="239">EDATE(BH60,1)</f>
        <v>43891</v>
      </c>
      <c r="BJ60" s="14">
        <f t="shared" ref="BJ60" si="240">EDATE(BI60,1)</f>
        <v>43922</v>
      </c>
      <c r="BK60" s="14">
        <f t="shared" ref="BK60" si="241">EDATE(BJ60,1)</f>
        <v>43952</v>
      </c>
      <c r="BL60" s="14">
        <f t="shared" ref="BL60" si="242">EDATE(BK60,1)</f>
        <v>43983</v>
      </c>
      <c r="BM60" s="14">
        <f t="shared" ref="BM60" si="243">EDATE(BL60,1)</f>
        <v>44013</v>
      </c>
    </row>
    <row r="61" spans="1:75" hidden="1" x14ac:dyDescent="0.25">
      <c r="A61" s="5"/>
      <c r="B61" s="15">
        <v>0</v>
      </c>
      <c r="C61" s="15">
        <f>B61+1</f>
        <v>1</v>
      </c>
      <c r="D61" s="15">
        <f>C61+1</f>
        <v>2</v>
      </c>
      <c r="E61" s="15">
        <f t="shared" ref="E61:AP61" si="244">D61+1</f>
        <v>3</v>
      </c>
      <c r="F61" s="15">
        <f t="shared" si="244"/>
        <v>4</v>
      </c>
      <c r="G61" s="15">
        <f t="shared" si="244"/>
        <v>5</v>
      </c>
      <c r="H61" s="15">
        <f t="shared" si="244"/>
        <v>6</v>
      </c>
      <c r="I61" s="15">
        <f t="shared" si="244"/>
        <v>7</v>
      </c>
      <c r="J61" s="15">
        <f t="shared" si="244"/>
        <v>8</v>
      </c>
      <c r="K61" s="15">
        <f t="shared" si="244"/>
        <v>9</v>
      </c>
      <c r="L61" s="15">
        <f t="shared" si="244"/>
        <v>10</v>
      </c>
      <c r="M61" s="15">
        <f t="shared" si="244"/>
        <v>11</v>
      </c>
      <c r="N61" s="15">
        <f t="shared" si="244"/>
        <v>12</v>
      </c>
      <c r="O61" s="15">
        <f t="shared" si="244"/>
        <v>13</v>
      </c>
      <c r="P61" s="15">
        <f t="shared" si="244"/>
        <v>14</v>
      </c>
      <c r="Q61" s="15">
        <f t="shared" si="244"/>
        <v>15</v>
      </c>
      <c r="R61" s="15">
        <f t="shared" si="244"/>
        <v>16</v>
      </c>
      <c r="S61" s="15">
        <f t="shared" si="244"/>
        <v>17</v>
      </c>
      <c r="T61" s="15">
        <f t="shared" si="244"/>
        <v>18</v>
      </c>
      <c r="U61" s="15">
        <f t="shared" si="244"/>
        <v>19</v>
      </c>
      <c r="V61" s="15">
        <f t="shared" si="244"/>
        <v>20</v>
      </c>
      <c r="W61" s="15">
        <f t="shared" si="244"/>
        <v>21</v>
      </c>
      <c r="X61" s="15">
        <f t="shared" si="244"/>
        <v>22</v>
      </c>
      <c r="Y61" s="15">
        <f t="shared" si="244"/>
        <v>23</v>
      </c>
      <c r="Z61" s="15">
        <f t="shared" si="244"/>
        <v>24</v>
      </c>
      <c r="AA61" s="15">
        <f t="shared" si="244"/>
        <v>25</v>
      </c>
      <c r="AB61" s="15">
        <f t="shared" si="244"/>
        <v>26</v>
      </c>
      <c r="AC61" s="15">
        <f t="shared" si="244"/>
        <v>27</v>
      </c>
      <c r="AD61" s="15">
        <f t="shared" si="244"/>
        <v>28</v>
      </c>
      <c r="AE61" s="15">
        <f t="shared" si="244"/>
        <v>29</v>
      </c>
      <c r="AF61" s="15">
        <f t="shared" si="244"/>
        <v>30</v>
      </c>
      <c r="AG61" s="15">
        <f t="shared" si="244"/>
        <v>31</v>
      </c>
      <c r="AH61" s="15">
        <f t="shared" si="244"/>
        <v>32</v>
      </c>
      <c r="AI61" s="15">
        <f t="shared" si="244"/>
        <v>33</v>
      </c>
      <c r="AJ61" s="15">
        <f t="shared" si="244"/>
        <v>34</v>
      </c>
      <c r="AK61" s="15">
        <f t="shared" si="244"/>
        <v>35</v>
      </c>
      <c r="AL61" s="15">
        <f t="shared" si="244"/>
        <v>36</v>
      </c>
      <c r="AM61" s="15">
        <f t="shared" si="244"/>
        <v>37</v>
      </c>
      <c r="AN61" s="15">
        <f t="shared" si="244"/>
        <v>38</v>
      </c>
      <c r="AO61" s="15">
        <f t="shared" si="244"/>
        <v>39</v>
      </c>
      <c r="AP61" s="15">
        <f t="shared" si="244"/>
        <v>40</v>
      </c>
      <c r="AQ61" s="15">
        <f t="shared" ref="AQ61" si="245">AP61+1</f>
        <v>41</v>
      </c>
      <c r="AR61" s="15">
        <f t="shared" ref="AR61" si="246">AQ61+1</f>
        <v>42</v>
      </c>
      <c r="AS61" s="15">
        <f t="shared" ref="AS61" si="247">AR61+1</f>
        <v>43</v>
      </c>
      <c r="AT61" s="15">
        <f t="shared" ref="AT61" si="248">AS61+1</f>
        <v>44</v>
      </c>
      <c r="AU61" s="15">
        <f t="shared" ref="AU61" si="249">AT61+1</f>
        <v>45</v>
      </c>
      <c r="AV61" s="15">
        <f t="shared" ref="AV61" si="250">AU61+1</f>
        <v>46</v>
      </c>
      <c r="AW61" s="15">
        <f t="shared" ref="AW61" si="251">AV61+1</f>
        <v>47</v>
      </c>
      <c r="AX61" s="15">
        <f t="shared" ref="AX61" si="252">AW61+1</f>
        <v>48</v>
      </c>
      <c r="AY61" s="15">
        <f t="shared" ref="AY61" si="253">AX61+1</f>
        <v>49</v>
      </c>
      <c r="AZ61" s="15">
        <f t="shared" ref="AZ61" si="254">AY61+1</f>
        <v>50</v>
      </c>
      <c r="BA61" s="15">
        <f t="shared" ref="BA61" si="255">AZ61+1</f>
        <v>51</v>
      </c>
      <c r="BB61" s="15">
        <f t="shared" ref="BB61" si="256">BA61+1</f>
        <v>52</v>
      </c>
      <c r="BC61" s="15">
        <f t="shared" ref="BC61" si="257">BB61+1</f>
        <v>53</v>
      </c>
      <c r="BD61" s="15">
        <f t="shared" ref="BD61" si="258">BC61+1</f>
        <v>54</v>
      </c>
      <c r="BE61" s="15">
        <f t="shared" ref="BE61" si="259">BD61+1</f>
        <v>55</v>
      </c>
      <c r="BF61" s="15">
        <f t="shared" ref="BF61" si="260">BE61+1</f>
        <v>56</v>
      </c>
      <c r="BG61" s="15">
        <f t="shared" ref="BG61" si="261">BF61+1</f>
        <v>57</v>
      </c>
      <c r="BH61" s="15">
        <f t="shared" ref="BH61" si="262">BG61+1</f>
        <v>58</v>
      </c>
      <c r="BI61" s="15">
        <f t="shared" ref="BI61" si="263">BH61+1</f>
        <v>59</v>
      </c>
      <c r="BJ61" s="15">
        <f t="shared" ref="BJ61" si="264">BI61+1</f>
        <v>60</v>
      </c>
      <c r="BK61" s="15">
        <f t="shared" ref="BK61" si="265">BJ61+1</f>
        <v>61</v>
      </c>
      <c r="BL61" s="15">
        <f t="shared" ref="BL61" si="266">BK61+1</f>
        <v>62</v>
      </c>
      <c r="BM61" s="15">
        <f t="shared" ref="BM61" si="267">BL61+1</f>
        <v>63</v>
      </c>
    </row>
    <row r="62" spans="1:75" hidden="1" x14ac:dyDescent="0.25">
      <c r="A62" s="12" t="s">
        <v>148</v>
      </c>
      <c r="B62" s="13"/>
      <c r="C62" s="13">
        <f>B58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75" hidden="1" x14ac:dyDescent="0.25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78"/>
      <c r="AF63" s="78"/>
      <c r="AG63" s="78"/>
      <c r="AH63" s="78"/>
    </row>
    <row r="64" spans="1:75" hidden="1" x14ac:dyDescent="0.25">
      <c r="A64" s="251" t="s">
        <v>180</v>
      </c>
      <c r="B64" s="252"/>
      <c r="E64" s="4"/>
      <c r="I64" s="4"/>
      <c r="J64" s="4"/>
      <c r="K64" s="6"/>
      <c r="AE64" s="4"/>
      <c r="AF64" s="4"/>
      <c r="AG64" s="4"/>
      <c r="AH64" s="4"/>
    </row>
    <row r="65" spans="1:65" ht="16.5" hidden="1" thickBot="1" x14ac:dyDescent="0.3">
      <c r="A65" s="9" t="s">
        <v>151</v>
      </c>
      <c r="B65" s="10">
        <f>B51+B37</f>
        <v>325100</v>
      </c>
    </row>
    <row r="66" spans="1:65" hidden="1" x14ac:dyDescent="0.25"/>
    <row r="67" spans="1:65" hidden="1" x14ac:dyDescent="0.25">
      <c r="B67" s="14">
        <f>B39</f>
        <v>43282</v>
      </c>
      <c r="C67" s="14">
        <f>EDATE(B67,1)</f>
        <v>43313</v>
      </c>
      <c r="D67" s="14">
        <f t="shared" ref="D67:AC67" si="268">EDATE(C67,1)</f>
        <v>43344</v>
      </c>
      <c r="E67" s="14">
        <f t="shared" si="268"/>
        <v>43374</v>
      </c>
      <c r="F67" s="14">
        <f t="shared" si="268"/>
        <v>43405</v>
      </c>
      <c r="G67" s="14">
        <f t="shared" si="268"/>
        <v>43435</v>
      </c>
      <c r="H67" s="14">
        <f t="shared" si="268"/>
        <v>43466</v>
      </c>
      <c r="I67" s="14">
        <f t="shared" si="268"/>
        <v>43497</v>
      </c>
      <c r="J67" s="14">
        <f t="shared" si="268"/>
        <v>43525</v>
      </c>
      <c r="K67" s="14">
        <f t="shared" si="268"/>
        <v>43556</v>
      </c>
      <c r="L67" s="14">
        <f t="shared" si="268"/>
        <v>43586</v>
      </c>
      <c r="M67" s="14">
        <f t="shared" si="268"/>
        <v>43617</v>
      </c>
      <c r="N67" s="14">
        <f t="shared" si="268"/>
        <v>43647</v>
      </c>
      <c r="O67" s="14">
        <f t="shared" si="268"/>
        <v>43678</v>
      </c>
      <c r="P67" s="14"/>
      <c r="Q67" s="14"/>
      <c r="R67" s="14"/>
      <c r="S67" s="14"/>
      <c r="T67" s="14"/>
      <c r="U67" s="14"/>
      <c r="V67" s="14"/>
      <c r="W67" s="14"/>
      <c r="X67" s="14">
        <f>EDATE(O67,1)</f>
        <v>43709</v>
      </c>
      <c r="Y67" s="14">
        <f t="shared" si="268"/>
        <v>43739</v>
      </c>
      <c r="Z67" s="14">
        <f t="shared" si="268"/>
        <v>43770</v>
      </c>
      <c r="AA67" s="14">
        <f t="shared" si="268"/>
        <v>43800</v>
      </c>
      <c r="AB67" s="14">
        <f t="shared" si="268"/>
        <v>43831</v>
      </c>
      <c r="AC67" s="72">
        <f t="shared" si="268"/>
        <v>43862</v>
      </c>
      <c r="AD67" s="72">
        <f>EDATE(AC67,1)</f>
        <v>43891</v>
      </c>
    </row>
    <row r="68" spans="1:65" hidden="1" x14ac:dyDescent="0.25">
      <c r="B68" s="15">
        <v>0</v>
      </c>
      <c r="C68" s="15">
        <f>B68+1</f>
        <v>1</v>
      </c>
      <c r="D68" s="15">
        <f t="shared" ref="D68:AC68" si="269">C68+1</f>
        <v>2</v>
      </c>
      <c r="E68" s="15">
        <f t="shared" si="269"/>
        <v>3</v>
      </c>
      <c r="F68" s="15">
        <f t="shared" si="269"/>
        <v>4</v>
      </c>
      <c r="G68" s="15">
        <f t="shared" si="269"/>
        <v>5</v>
      </c>
      <c r="H68" s="15">
        <f t="shared" si="269"/>
        <v>6</v>
      </c>
      <c r="I68" s="15">
        <f t="shared" si="269"/>
        <v>7</v>
      </c>
      <c r="J68" s="15">
        <f t="shared" si="269"/>
        <v>8</v>
      </c>
      <c r="K68" s="15">
        <f t="shared" si="269"/>
        <v>9</v>
      </c>
      <c r="L68" s="15">
        <f t="shared" si="269"/>
        <v>10</v>
      </c>
      <c r="M68" s="15">
        <f t="shared" si="269"/>
        <v>11</v>
      </c>
      <c r="N68" s="15">
        <f t="shared" si="269"/>
        <v>12</v>
      </c>
      <c r="O68" s="15">
        <f t="shared" si="269"/>
        <v>13</v>
      </c>
      <c r="P68" s="15"/>
      <c r="Q68" s="15"/>
      <c r="R68" s="15"/>
      <c r="S68" s="15"/>
      <c r="T68" s="15"/>
      <c r="U68" s="15"/>
      <c r="V68" s="15"/>
      <c r="W68" s="15"/>
      <c r="X68" s="15">
        <f>O68+1</f>
        <v>14</v>
      </c>
      <c r="Y68" s="15">
        <f t="shared" si="269"/>
        <v>15</v>
      </c>
      <c r="Z68" s="15">
        <f t="shared" si="269"/>
        <v>16</v>
      </c>
      <c r="AA68" s="15">
        <f t="shared" si="269"/>
        <v>17</v>
      </c>
      <c r="AB68" s="15">
        <f t="shared" si="269"/>
        <v>18</v>
      </c>
      <c r="AC68" s="73">
        <f t="shared" si="269"/>
        <v>19</v>
      </c>
      <c r="AD68" s="73">
        <f>AC68+1</f>
        <v>20</v>
      </c>
    </row>
    <row r="69" spans="1:65" hidden="1" x14ac:dyDescent="0.25">
      <c r="A69" s="12" t="s">
        <v>148</v>
      </c>
      <c r="B69" s="13">
        <f>SUM(B55,B41)</f>
        <v>0</v>
      </c>
      <c r="C69" s="13" t="e">
        <f>C41*#REF!</f>
        <v>#REF!</v>
      </c>
      <c r="D69" s="13" t="e">
        <f>D41*#REF!</f>
        <v>#REF!</v>
      </c>
      <c r="E69" s="13" t="e">
        <f>#REF!*#REF!</f>
        <v>#REF!</v>
      </c>
      <c r="F69" s="13" t="e">
        <f>I41*#REF!</f>
        <v>#REF!</v>
      </c>
      <c r="G69" s="13" t="e">
        <f>J41*#REF!</f>
        <v>#REF!</v>
      </c>
      <c r="H69" s="13" t="e">
        <f>#REF!*#REF!</f>
        <v>#REF!</v>
      </c>
      <c r="I69" s="13" t="e">
        <f>#REF!*#REF!</f>
        <v>#REF!</v>
      </c>
      <c r="J69" s="13" t="e">
        <f>K41*#REF!</f>
        <v>#REF!</v>
      </c>
      <c r="K69" s="13" t="e">
        <f>L41*#REF!</f>
        <v>#REF!</v>
      </c>
      <c r="L69" s="13" t="e">
        <f>M41*#REF!</f>
        <v>#REF!</v>
      </c>
      <c r="M69" s="13" t="e">
        <f>N41*#REF!</f>
        <v>#REF!</v>
      </c>
      <c r="N69" s="13" t="e">
        <f>O41*#REF!</f>
        <v>#REF!</v>
      </c>
      <c r="O69" s="13" t="e">
        <f>P41*#REF!</f>
        <v>#REF!</v>
      </c>
      <c r="P69" s="13"/>
      <c r="Q69" s="13"/>
      <c r="R69" s="13"/>
      <c r="S69" s="13"/>
      <c r="T69" s="13"/>
      <c r="U69" s="13"/>
      <c r="V69" s="13"/>
      <c r="W69" s="13"/>
      <c r="X69" s="13" t="e">
        <f>W41*#REF!</f>
        <v>#REF!</v>
      </c>
      <c r="Y69" s="13" t="e">
        <f>X41*#REF!</f>
        <v>#REF!</v>
      </c>
      <c r="Z69" s="13" t="e">
        <f>Y41*#REF!</f>
        <v>#REF!</v>
      </c>
      <c r="AA69" s="13" t="e">
        <f>Z41*#REF!</f>
        <v>#REF!</v>
      </c>
      <c r="AB69" s="13" t="e">
        <f>AA41*#REF!</f>
        <v>#REF!</v>
      </c>
      <c r="AC69" s="13" t="e">
        <f>AB41*#REF!</f>
        <v>#REF!</v>
      </c>
      <c r="AD69" s="13" t="e">
        <f>AC41*#REF!</f>
        <v>#REF!</v>
      </c>
    </row>
    <row r="70" spans="1:65" hidden="1" x14ac:dyDescent="0.25">
      <c r="AE70" s="5"/>
      <c r="AF70" s="5"/>
      <c r="AG70" s="5"/>
      <c r="AH70" s="5"/>
    </row>
    <row r="71" spans="1:65" hidden="1" x14ac:dyDescent="0.25">
      <c r="A71" s="257" t="s">
        <v>143</v>
      </c>
      <c r="B71" s="257"/>
      <c r="C71" s="253" t="s">
        <v>144</v>
      </c>
      <c r="D71" s="254">
        <v>24</v>
      </c>
      <c r="AE71" s="5"/>
      <c r="AF71" s="5"/>
      <c r="AG71" s="5"/>
      <c r="AH71" s="5"/>
    </row>
    <row r="72" spans="1:65" hidden="1" x14ac:dyDescent="0.25">
      <c r="A72" s="257"/>
      <c r="B72" s="257"/>
      <c r="C72" s="253"/>
      <c r="D72" s="254"/>
      <c r="AE72" s="5"/>
      <c r="AF72" s="5"/>
      <c r="AG72" s="5"/>
      <c r="AH72" s="5"/>
    </row>
    <row r="73" spans="1:65" ht="47.25" hidden="1" x14ac:dyDescent="0.25">
      <c r="A73" s="257"/>
      <c r="B73" s="257"/>
      <c r="C73" s="110" t="s">
        <v>14</v>
      </c>
      <c r="D73" s="109">
        <v>3</v>
      </c>
      <c r="AE73" s="80" t="e">
        <f>EDATE(#REF!,1)</f>
        <v>#REF!</v>
      </c>
      <c r="AF73" s="80" t="e">
        <f>EDATE(AE73,1)</f>
        <v>#REF!</v>
      </c>
      <c r="AG73" s="80" t="e">
        <f>EDATE(AF73,1)</f>
        <v>#REF!</v>
      </c>
      <c r="AH73" s="80" t="e">
        <f>EDATE(AG73,1)</f>
        <v>#REF!</v>
      </c>
      <c r="AI73" s="80" t="e">
        <f>EDATE(AH73,1)</f>
        <v>#REF!</v>
      </c>
      <c r="AJ73" s="80" t="e">
        <f>EDATE(AI73,1)</f>
        <v>#REF!</v>
      </c>
    </row>
    <row r="74" spans="1:65" ht="30" hidden="1" x14ac:dyDescent="0.25">
      <c r="A74" s="257"/>
      <c r="B74" s="257"/>
      <c r="C74" s="108" t="s">
        <v>145</v>
      </c>
      <c r="D74" s="109">
        <f>D71+D73</f>
        <v>27</v>
      </c>
      <c r="AE74" s="81">
        <v>22</v>
      </c>
      <c r="AF74" s="81">
        <v>23</v>
      </c>
      <c r="AG74" s="81">
        <v>24</v>
      </c>
      <c r="AH74" s="81">
        <v>25</v>
      </c>
      <c r="AI74" s="81">
        <v>26</v>
      </c>
      <c r="AJ74" s="81">
        <v>27</v>
      </c>
    </row>
    <row r="75" spans="1:65" hidden="1" x14ac:dyDescent="0.25">
      <c r="AE75" s="13">
        <v>6008.53</v>
      </c>
      <c r="AF75" s="13">
        <v>6011.96</v>
      </c>
      <c r="AG75" s="13">
        <v>5902.31</v>
      </c>
      <c r="AH75" s="13">
        <v>5905.74</v>
      </c>
      <c r="AI75" s="13">
        <v>5933.63</v>
      </c>
      <c r="AJ75" s="13">
        <v>158039.20000000001</v>
      </c>
    </row>
    <row r="76" spans="1:65" hidden="1" x14ac:dyDescent="0.25">
      <c r="A76" s="255" t="s">
        <v>146</v>
      </c>
      <c r="B76" s="25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65" ht="16.5" hidden="1" thickBot="1" x14ac:dyDescent="0.3">
      <c r="A77" s="7" t="s">
        <v>147</v>
      </c>
      <c r="B77" s="8">
        <v>260000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H77" s="4"/>
      <c r="AI77" s="4"/>
      <c r="AJ77" s="4"/>
    </row>
    <row r="78" spans="1:65" ht="16.5" thickBot="1" x14ac:dyDescent="0.3">
      <c r="A78" s="180" t="s">
        <v>181</v>
      </c>
      <c r="B78" s="8">
        <f>Dados!C31</f>
        <v>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H78" s="4"/>
      <c r="AI78" s="4"/>
      <c r="AJ78" s="4"/>
    </row>
    <row r="79" spans="1:65" x14ac:dyDescent="0.25">
      <c r="A79" s="5"/>
      <c r="B79" s="80">
        <f>Cashflow!H7</f>
        <v>43282</v>
      </c>
      <c r="C79" s="80">
        <f t="shared" ref="C79:AP79" si="270">EDATE(B79,1)</f>
        <v>43313</v>
      </c>
      <c r="D79" s="80">
        <f t="shared" si="270"/>
        <v>43344</v>
      </c>
      <c r="E79" s="80">
        <f t="shared" si="270"/>
        <v>43374</v>
      </c>
      <c r="F79" s="80">
        <f t="shared" si="270"/>
        <v>43405</v>
      </c>
      <c r="G79" s="80">
        <f t="shared" si="270"/>
        <v>43435</v>
      </c>
      <c r="H79" s="80">
        <f t="shared" si="270"/>
        <v>43466</v>
      </c>
      <c r="I79" s="80">
        <f t="shared" si="270"/>
        <v>43497</v>
      </c>
      <c r="J79" s="80">
        <f t="shared" si="270"/>
        <v>43525</v>
      </c>
      <c r="K79" s="80">
        <f t="shared" si="270"/>
        <v>43556</v>
      </c>
      <c r="L79" s="80">
        <f t="shared" si="270"/>
        <v>43586</v>
      </c>
      <c r="M79" s="80">
        <f t="shared" si="270"/>
        <v>43617</v>
      </c>
      <c r="N79" s="80">
        <f t="shared" si="270"/>
        <v>43647</v>
      </c>
      <c r="O79" s="80">
        <f t="shared" si="270"/>
        <v>43678</v>
      </c>
      <c r="P79" s="80">
        <f t="shared" si="270"/>
        <v>43709</v>
      </c>
      <c r="Q79" s="80">
        <f t="shared" si="270"/>
        <v>43739</v>
      </c>
      <c r="R79" s="80">
        <f t="shared" si="270"/>
        <v>43770</v>
      </c>
      <c r="S79" s="80">
        <f t="shared" si="270"/>
        <v>43800</v>
      </c>
      <c r="T79" s="80">
        <f t="shared" si="270"/>
        <v>43831</v>
      </c>
      <c r="U79" s="80">
        <f t="shared" si="270"/>
        <v>43862</v>
      </c>
      <c r="V79" s="80">
        <f t="shared" si="270"/>
        <v>43891</v>
      </c>
      <c r="W79" s="80">
        <f t="shared" si="270"/>
        <v>43922</v>
      </c>
      <c r="X79" s="80">
        <f t="shared" si="270"/>
        <v>43952</v>
      </c>
      <c r="Y79" s="80">
        <f t="shared" si="270"/>
        <v>43983</v>
      </c>
      <c r="Z79" s="80">
        <f t="shared" si="270"/>
        <v>44013</v>
      </c>
      <c r="AA79" s="80">
        <f t="shared" si="270"/>
        <v>44044</v>
      </c>
      <c r="AB79" s="80">
        <f t="shared" si="270"/>
        <v>44075</v>
      </c>
      <c r="AC79" s="80">
        <f t="shared" si="270"/>
        <v>44105</v>
      </c>
      <c r="AD79" s="80">
        <f t="shared" si="270"/>
        <v>44136</v>
      </c>
      <c r="AE79" s="80">
        <f t="shared" si="270"/>
        <v>44166</v>
      </c>
      <c r="AF79" s="80">
        <f t="shared" si="270"/>
        <v>44197</v>
      </c>
      <c r="AG79" s="80">
        <f t="shared" si="270"/>
        <v>44228</v>
      </c>
      <c r="AH79" s="80">
        <f t="shared" si="270"/>
        <v>44256</v>
      </c>
      <c r="AI79" s="80">
        <f t="shared" si="270"/>
        <v>44287</v>
      </c>
      <c r="AJ79" s="80">
        <f t="shared" si="270"/>
        <v>44317</v>
      </c>
      <c r="AK79" s="80">
        <f t="shared" si="270"/>
        <v>44348</v>
      </c>
      <c r="AL79" s="80">
        <f t="shared" si="270"/>
        <v>44378</v>
      </c>
      <c r="AM79" s="80">
        <f t="shared" si="270"/>
        <v>44409</v>
      </c>
      <c r="AN79" s="80">
        <f t="shared" si="270"/>
        <v>44440</v>
      </c>
      <c r="AO79" s="80">
        <f t="shared" si="270"/>
        <v>44470</v>
      </c>
      <c r="AP79" s="80">
        <f t="shared" si="270"/>
        <v>44501</v>
      </c>
      <c r="AQ79" s="80">
        <f t="shared" ref="AQ79" si="271">EDATE(AP79,1)</f>
        <v>44531</v>
      </c>
      <c r="AR79" s="80">
        <f t="shared" ref="AR79" si="272">EDATE(AQ79,1)</f>
        <v>44562</v>
      </c>
      <c r="AS79" s="80">
        <f t="shared" ref="AS79" si="273">EDATE(AR79,1)</f>
        <v>44593</v>
      </c>
      <c r="AT79" s="80">
        <f t="shared" ref="AT79" si="274">EDATE(AS79,1)</f>
        <v>44621</v>
      </c>
      <c r="AU79" s="80">
        <f t="shared" ref="AU79" si="275">EDATE(AT79,1)</f>
        <v>44652</v>
      </c>
      <c r="AV79" s="80">
        <f t="shared" ref="AV79" si="276">EDATE(AU79,1)</f>
        <v>44682</v>
      </c>
      <c r="AW79" s="80">
        <f t="shared" ref="AW79" si="277">EDATE(AV79,1)</f>
        <v>44713</v>
      </c>
      <c r="AX79" s="80">
        <f t="shared" ref="AX79" si="278">EDATE(AW79,1)</f>
        <v>44743</v>
      </c>
      <c r="AY79" s="80">
        <f t="shared" ref="AY79" si="279">EDATE(AX79,1)</f>
        <v>44774</v>
      </c>
      <c r="AZ79" s="80">
        <f t="shared" ref="AZ79" si="280">EDATE(AY79,1)</f>
        <v>44805</v>
      </c>
      <c r="BA79" s="80">
        <f t="shared" ref="BA79" si="281">EDATE(AZ79,1)</f>
        <v>44835</v>
      </c>
      <c r="BB79" s="80">
        <f t="shared" ref="BB79" si="282">EDATE(BA79,1)</f>
        <v>44866</v>
      </c>
      <c r="BC79" s="80">
        <f t="shared" ref="BC79" si="283">EDATE(BB79,1)</f>
        <v>44896</v>
      </c>
      <c r="BD79" s="80">
        <f t="shared" ref="BD79" si="284">EDATE(BC79,1)</f>
        <v>44927</v>
      </c>
      <c r="BE79" s="80">
        <f t="shared" ref="BE79" si="285">EDATE(BD79,1)</f>
        <v>44958</v>
      </c>
      <c r="BF79" s="80">
        <f t="shared" ref="BF79" si="286">EDATE(BE79,1)</f>
        <v>44986</v>
      </c>
      <c r="BG79" s="80">
        <f t="shared" ref="BG79" si="287">EDATE(BF79,1)</f>
        <v>45017</v>
      </c>
      <c r="BH79" s="80">
        <f t="shared" ref="BH79" si="288">EDATE(BG79,1)</f>
        <v>45047</v>
      </c>
      <c r="BI79" s="80">
        <f t="shared" ref="BI79" si="289">EDATE(BH79,1)</f>
        <v>45078</v>
      </c>
      <c r="BJ79" s="80">
        <f t="shared" ref="BJ79" si="290">EDATE(BI79,1)</f>
        <v>45108</v>
      </c>
      <c r="BK79" s="80">
        <f t="shared" ref="BK79" si="291">EDATE(BJ79,1)</f>
        <v>45139</v>
      </c>
      <c r="BL79" s="80">
        <f t="shared" ref="BL79" si="292">EDATE(BK79,1)</f>
        <v>45170</v>
      </c>
      <c r="BM79" s="80">
        <f t="shared" ref="BM79" si="293">EDATE(BL79,1)</f>
        <v>45200</v>
      </c>
    </row>
    <row r="80" spans="1:65" x14ac:dyDescent="0.25">
      <c r="A80" s="5"/>
      <c r="B80" s="81">
        <f>Cashflow!H8</f>
        <v>0</v>
      </c>
      <c r="C80" s="81">
        <f>B80+1</f>
        <v>1</v>
      </c>
      <c r="D80" s="81">
        <f t="shared" ref="D80:AP80" si="294">C80+1</f>
        <v>2</v>
      </c>
      <c r="E80" s="81">
        <f t="shared" si="294"/>
        <v>3</v>
      </c>
      <c r="F80" s="81">
        <f t="shared" si="294"/>
        <v>4</v>
      </c>
      <c r="G80" s="81">
        <f t="shared" si="294"/>
        <v>5</v>
      </c>
      <c r="H80" s="81">
        <f t="shared" si="294"/>
        <v>6</v>
      </c>
      <c r="I80" s="81">
        <f t="shared" si="294"/>
        <v>7</v>
      </c>
      <c r="J80" s="81">
        <f t="shared" si="294"/>
        <v>8</v>
      </c>
      <c r="K80" s="81">
        <f t="shared" si="294"/>
        <v>9</v>
      </c>
      <c r="L80" s="81">
        <f t="shared" si="294"/>
        <v>10</v>
      </c>
      <c r="M80" s="81">
        <f t="shared" si="294"/>
        <v>11</v>
      </c>
      <c r="N80" s="81">
        <f t="shared" si="294"/>
        <v>12</v>
      </c>
      <c r="O80" s="81">
        <f t="shared" si="294"/>
        <v>13</v>
      </c>
      <c r="P80" s="81">
        <f t="shared" si="294"/>
        <v>14</v>
      </c>
      <c r="Q80" s="81">
        <f t="shared" si="294"/>
        <v>15</v>
      </c>
      <c r="R80" s="81">
        <f t="shared" si="294"/>
        <v>16</v>
      </c>
      <c r="S80" s="81">
        <f t="shared" si="294"/>
        <v>17</v>
      </c>
      <c r="T80" s="81">
        <f t="shared" si="294"/>
        <v>18</v>
      </c>
      <c r="U80" s="81">
        <f t="shared" si="294"/>
        <v>19</v>
      </c>
      <c r="V80" s="81">
        <f t="shared" si="294"/>
        <v>20</v>
      </c>
      <c r="W80" s="81">
        <f t="shared" si="294"/>
        <v>21</v>
      </c>
      <c r="X80" s="81">
        <f t="shared" si="294"/>
        <v>22</v>
      </c>
      <c r="Y80" s="81">
        <f t="shared" si="294"/>
        <v>23</v>
      </c>
      <c r="Z80" s="81">
        <f t="shared" si="294"/>
        <v>24</v>
      </c>
      <c r="AA80" s="81">
        <f t="shared" si="294"/>
        <v>25</v>
      </c>
      <c r="AB80" s="81">
        <f t="shared" si="294"/>
        <v>26</v>
      </c>
      <c r="AC80" s="81">
        <f t="shared" si="294"/>
        <v>27</v>
      </c>
      <c r="AD80" s="81">
        <f t="shared" si="294"/>
        <v>28</v>
      </c>
      <c r="AE80" s="81">
        <f t="shared" si="294"/>
        <v>29</v>
      </c>
      <c r="AF80" s="81">
        <f t="shared" si="294"/>
        <v>30</v>
      </c>
      <c r="AG80" s="81">
        <f t="shared" si="294"/>
        <v>31</v>
      </c>
      <c r="AH80" s="81">
        <f t="shared" si="294"/>
        <v>32</v>
      </c>
      <c r="AI80" s="81">
        <f t="shared" si="294"/>
        <v>33</v>
      </c>
      <c r="AJ80" s="81">
        <f t="shared" si="294"/>
        <v>34</v>
      </c>
      <c r="AK80" s="81">
        <f t="shared" si="294"/>
        <v>35</v>
      </c>
      <c r="AL80" s="81">
        <f t="shared" si="294"/>
        <v>36</v>
      </c>
      <c r="AM80" s="81">
        <f t="shared" si="294"/>
        <v>37</v>
      </c>
      <c r="AN80" s="81">
        <f t="shared" si="294"/>
        <v>38</v>
      </c>
      <c r="AO80" s="81">
        <f t="shared" si="294"/>
        <v>39</v>
      </c>
      <c r="AP80" s="81">
        <f t="shared" si="294"/>
        <v>40</v>
      </c>
      <c r="AQ80" s="81">
        <f t="shared" ref="AQ80" si="295">AP80+1</f>
        <v>41</v>
      </c>
      <c r="AR80" s="81">
        <f t="shared" ref="AR80" si="296">AQ80+1</f>
        <v>42</v>
      </c>
      <c r="AS80" s="81">
        <f t="shared" ref="AS80" si="297">AR80+1</f>
        <v>43</v>
      </c>
      <c r="AT80" s="81">
        <f t="shared" ref="AT80" si="298">AS80+1</f>
        <v>44</v>
      </c>
      <c r="AU80" s="81">
        <f t="shared" ref="AU80" si="299">AT80+1</f>
        <v>45</v>
      </c>
      <c r="AV80" s="81">
        <f t="shared" ref="AV80" si="300">AU80+1</f>
        <v>46</v>
      </c>
      <c r="AW80" s="81">
        <f t="shared" ref="AW80" si="301">AV80+1</f>
        <v>47</v>
      </c>
      <c r="AX80" s="81">
        <f t="shared" ref="AX80" si="302">AW80+1</f>
        <v>48</v>
      </c>
      <c r="AY80" s="81">
        <f t="shared" ref="AY80" si="303">AX80+1</f>
        <v>49</v>
      </c>
      <c r="AZ80" s="81">
        <f t="shared" ref="AZ80" si="304">AY80+1</f>
        <v>50</v>
      </c>
      <c r="BA80" s="81">
        <f t="shared" ref="BA80" si="305">AZ80+1</f>
        <v>51</v>
      </c>
      <c r="BB80" s="81">
        <f t="shared" ref="BB80" si="306">BA80+1</f>
        <v>52</v>
      </c>
      <c r="BC80" s="81">
        <f t="shared" ref="BC80" si="307">BB80+1</f>
        <v>53</v>
      </c>
      <c r="BD80" s="81">
        <f t="shared" ref="BD80" si="308">BC80+1</f>
        <v>54</v>
      </c>
      <c r="BE80" s="81">
        <f t="shared" ref="BE80" si="309">BD80+1</f>
        <v>55</v>
      </c>
      <c r="BF80" s="81">
        <f t="shared" ref="BF80" si="310">BE80+1</f>
        <v>56</v>
      </c>
      <c r="BG80" s="81">
        <f t="shared" ref="BG80" si="311">BF80+1</f>
        <v>57</v>
      </c>
      <c r="BH80" s="81">
        <f t="shared" ref="BH80" si="312">BG80+1</f>
        <v>58</v>
      </c>
      <c r="BI80" s="81">
        <f t="shared" ref="BI80" si="313">BH80+1</f>
        <v>59</v>
      </c>
      <c r="BJ80" s="81">
        <f t="shared" ref="BJ80" si="314">BI80+1</f>
        <v>60</v>
      </c>
      <c r="BK80" s="81">
        <f t="shared" ref="BK80" si="315">BJ80+1</f>
        <v>61</v>
      </c>
      <c r="BL80" s="81">
        <f t="shared" ref="BL80" si="316">BK80+1</f>
        <v>62</v>
      </c>
      <c r="BM80" s="81">
        <f t="shared" ref="BM80" si="317">BL80+1</f>
        <v>63</v>
      </c>
    </row>
    <row r="81" spans="1:65" x14ac:dyDescent="0.25">
      <c r="A81" s="12" t="s">
        <v>148</v>
      </c>
      <c r="B81" s="13">
        <f>B58+B78</f>
        <v>0</v>
      </c>
      <c r="C81" s="13"/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ht="16.5" thickBot="1" x14ac:dyDescent="0.3"/>
    <row r="83" spans="1:65" x14ac:dyDescent="0.25">
      <c r="A83" s="251" t="s">
        <v>182</v>
      </c>
      <c r="B83" s="252"/>
      <c r="E83" s="4"/>
      <c r="I83" s="4"/>
      <c r="J83" s="4"/>
      <c r="K83" s="6"/>
    </row>
    <row r="84" spans="1:65" ht="16.5" thickBot="1" x14ac:dyDescent="0.3">
      <c r="A84" s="9" t="s">
        <v>183</v>
      </c>
      <c r="B84" s="10">
        <f>B28+B29</f>
        <v>325100</v>
      </c>
    </row>
    <row r="86" spans="1:65" x14ac:dyDescent="0.25">
      <c r="B86" s="173">
        <f>Cashflow!H7</f>
        <v>43282</v>
      </c>
      <c r="C86" s="173">
        <f>EDATE(B86,1)</f>
        <v>43313</v>
      </c>
      <c r="D86" s="173">
        <f t="shared" ref="D86:AP86" si="318">EDATE(C86,1)</f>
        <v>43344</v>
      </c>
      <c r="E86" s="173">
        <f t="shared" si="318"/>
        <v>43374</v>
      </c>
      <c r="F86" s="173">
        <f t="shared" si="318"/>
        <v>43405</v>
      </c>
      <c r="G86" s="173">
        <f t="shared" si="318"/>
        <v>43435</v>
      </c>
      <c r="H86" s="173">
        <f t="shared" si="318"/>
        <v>43466</v>
      </c>
      <c r="I86" s="173">
        <f t="shared" si="318"/>
        <v>43497</v>
      </c>
      <c r="J86" s="173">
        <f t="shared" si="318"/>
        <v>43525</v>
      </c>
      <c r="K86" s="173">
        <f t="shared" si="318"/>
        <v>43556</v>
      </c>
      <c r="L86" s="173">
        <f t="shared" si="318"/>
        <v>43586</v>
      </c>
      <c r="M86" s="173">
        <f t="shared" si="318"/>
        <v>43617</v>
      </c>
      <c r="N86" s="173">
        <f t="shared" si="318"/>
        <v>43647</v>
      </c>
      <c r="O86" s="173">
        <f t="shared" si="318"/>
        <v>43678</v>
      </c>
      <c r="P86" s="173">
        <f t="shared" si="318"/>
        <v>43709</v>
      </c>
      <c r="Q86" s="173">
        <f t="shared" si="318"/>
        <v>43739</v>
      </c>
      <c r="R86" s="173">
        <f t="shared" si="318"/>
        <v>43770</v>
      </c>
      <c r="S86" s="173">
        <f t="shared" si="318"/>
        <v>43800</v>
      </c>
      <c r="T86" s="173">
        <f t="shared" si="318"/>
        <v>43831</v>
      </c>
      <c r="U86" s="173">
        <f t="shared" si="318"/>
        <v>43862</v>
      </c>
      <c r="V86" s="173">
        <f t="shared" si="318"/>
        <v>43891</v>
      </c>
      <c r="W86" s="173">
        <f t="shared" si="318"/>
        <v>43922</v>
      </c>
      <c r="X86" s="173">
        <f t="shared" si="318"/>
        <v>43952</v>
      </c>
      <c r="Y86" s="173">
        <f t="shared" si="318"/>
        <v>43983</v>
      </c>
      <c r="Z86" s="173">
        <f t="shared" si="318"/>
        <v>44013</v>
      </c>
      <c r="AA86" s="173">
        <f t="shared" si="318"/>
        <v>44044</v>
      </c>
      <c r="AB86" s="173">
        <f t="shared" si="318"/>
        <v>44075</v>
      </c>
      <c r="AC86" s="173">
        <f t="shared" si="318"/>
        <v>44105</v>
      </c>
      <c r="AD86" s="173">
        <f t="shared" si="318"/>
        <v>44136</v>
      </c>
      <c r="AE86" s="173">
        <f t="shared" si="318"/>
        <v>44166</v>
      </c>
      <c r="AF86" s="173">
        <f t="shared" si="318"/>
        <v>44197</v>
      </c>
      <c r="AG86" s="173">
        <f t="shared" si="318"/>
        <v>44228</v>
      </c>
      <c r="AH86" s="173">
        <f>EDATE(AG86,1)</f>
        <v>44256</v>
      </c>
      <c r="AI86" s="173">
        <f t="shared" si="318"/>
        <v>44287</v>
      </c>
      <c r="AJ86" s="173">
        <f t="shared" si="318"/>
        <v>44317</v>
      </c>
      <c r="AK86" s="173">
        <f t="shared" si="318"/>
        <v>44348</v>
      </c>
      <c r="AL86" s="173">
        <f t="shared" si="318"/>
        <v>44378</v>
      </c>
      <c r="AM86" s="173">
        <f t="shared" si="318"/>
        <v>44409</v>
      </c>
      <c r="AN86" s="173">
        <f t="shared" si="318"/>
        <v>44440</v>
      </c>
      <c r="AO86" s="173">
        <f t="shared" si="318"/>
        <v>44470</v>
      </c>
      <c r="AP86" s="173">
        <f t="shared" si="318"/>
        <v>44501</v>
      </c>
      <c r="AQ86" s="173">
        <f t="shared" ref="AQ86" si="319">EDATE(AP86,1)</f>
        <v>44531</v>
      </c>
      <c r="AR86" s="173">
        <f t="shared" ref="AR86" si="320">EDATE(AQ86,1)</f>
        <v>44562</v>
      </c>
      <c r="AS86" s="173">
        <f t="shared" ref="AS86" si="321">EDATE(AR86,1)</f>
        <v>44593</v>
      </c>
      <c r="AT86" s="173">
        <f t="shared" ref="AT86" si="322">EDATE(AS86,1)</f>
        <v>44621</v>
      </c>
      <c r="AU86" s="173">
        <f t="shared" ref="AU86" si="323">EDATE(AT86,1)</f>
        <v>44652</v>
      </c>
      <c r="AV86" s="173">
        <f t="shared" ref="AV86" si="324">EDATE(AU86,1)</f>
        <v>44682</v>
      </c>
      <c r="AW86" s="173">
        <f t="shared" ref="AW86" si="325">EDATE(AV86,1)</f>
        <v>44713</v>
      </c>
      <c r="AX86" s="173">
        <f t="shared" ref="AX86" si="326">EDATE(AW86,1)</f>
        <v>44743</v>
      </c>
      <c r="AY86" s="173">
        <f t="shared" ref="AY86" si="327">EDATE(AX86,1)</f>
        <v>44774</v>
      </c>
      <c r="AZ86" s="173">
        <f t="shared" ref="AZ86" si="328">EDATE(AY86,1)</f>
        <v>44805</v>
      </c>
      <c r="BA86" s="173">
        <f t="shared" ref="BA86" si="329">EDATE(AZ86,1)</f>
        <v>44835</v>
      </c>
      <c r="BB86" s="173">
        <f t="shared" ref="BB86" si="330">EDATE(BA86,1)</f>
        <v>44866</v>
      </c>
      <c r="BC86" s="173">
        <f t="shared" ref="BC86" si="331">EDATE(BB86,1)</f>
        <v>44896</v>
      </c>
      <c r="BD86" s="173">
        <f t="shared" ref="BD86" si="332">EDATE(BC86,1)</f>
        <v>44927</v>
      </c>
      <c r="BE86" s="173">
        <f t="shared" ref="BE86" si="333">EDATE(BD86,1)</f>
        <v>44958</v>
      </c>
      <c r="BF86" s="173">
        <f t="shared" ref="BF86" si="334">EDATE(BE86,1)</f>
        <v>44986</v>
      </c>
      <c r="BG86" s="173">
        <f t="shared" ref="BG86" si="335">EDATE(BF86,1)</f>
        <v>45017</v>
      </c>
      <c r="BH86" s="173">
        <f t="shared" ref="BH86" si="336">EDATE(BG86,1)</f>
        <v>45047</v>
      </c>
      <c r="BI86" s="173">
        <f t="shared" ref="BI86" si="337">EDATE(BH86,1)</f>
        <v>45078</v>
      </c>
      <c r="BJ86" s="173">
        <f t="shared" ref="BJ86" si="338">EDATE(BI86,1)</f>
        <v>45108</v>
      </c>
      <c r="BK86" s="173">
        <f t="shared" ref="BK86" si="339">EDATE(BJ86,1)</f>
        <v>45139</v>
      </c>
      <c r="BL86" s="173">
        <f t="shared" ref="BL86" si="340">EDATE(BK86,1)</f>
        <v>45170</v>
      </c>
      <c r="BM86" s="173">
        <f t="shared" ref="BM86" si="341">EDATE(BL86,1)</f>
        <v>45200</v>
      </c>
    </row>
    <row r="87" spans="1:65" x14ac:dyDescent="0.25">
      <c r="B87" s="174">
        <f>Cashflow!H8</f>
        <v>0</v>
      </c>
      <c r="C87" s="174">
        <f>B87+1</f>
        <v>1</v>
      </c>
      <c r="D87" s="174">
        <f>C87+1</f>
        <v>2</v>
      </c>
      <c r="E87" s="174">
        <f t="shared" ref="E87:AP87" si="342">D87+1</f>
        <v>3</v>
      </c>
      <c r="F87" s="174">
        <f t="shared" si="342"/>
        <v>4</v>
      </c>
      <c r="G87" s="174">
        <f t="shared" si="342"/>
        <v>5</v>
      </c>
      <c r="H87" s="174">
        <f t="shared" si="342"/>
        <v>6</v>
      </c>
      <c r="I87" s="174">
        <f t="shared" si="342"/>
        <v>7</v>
      </c>
      <c r="J87" s="174">
        <f t="shared" si="342"/>
        <v>8</v>
      </c>
      <c r="K87" s="174">
        <f t="shared" si="342"/>
        <v>9</v>
      </c>
      <c r="L87" s="174">
        <f t="shared" si="342"/>
        <v>10</v>
      </c>
      <c r="M87" s="174">
        <f t="shared" si="342"/>
        <v>11</v>
      </c>
      <c r="N87" s="174">
        <f t="shared" si="342"/>
        <v>12</v>
      </c>
      <c r="O87" s="174">
        <f t="shared" si="342"/>
        <v>13</v>
      </c>
      <c r="P87" s="174">
        <f t="shared" si="342"/>
        <v>14</v>
      </c>
      <c r="Q87" s="174">
        <f t="shared" si="342"/>
        <v>15</v>
      </c>
      <c r="R87" s="174">
        <f t="shared" si="342"/>
        <v>16</v>
      </c>
      <c r="S87" s="174">
        <f t="shared" si="342"/>
        <v>17</v>
      </c>
      <c r="T87" s="174">
        <f t="shared" si="342"/>
        <v>18</v>
      </c>
      <c r="U87" s="174">
        <f t="shared" si="342"/>
        <v>19</v>
      </c>
      <c r="V87" s="174">
        <f t="shared" si="342"/>
        <v>20</v>
      </c>
      <c r="W87" s="174">
        <f t="shared" si="342"/>
        <v>21</v>
      </c>
      <c r="X87" s="174">
        <f t="shared" si="342"/>
        <v>22</v>
      </c>
      <c r="Y87" s="174">
        <f t="shared" si="342"/>
        <v>23</v>
      </c>
      <c r="Z87" s="174">
        <f t="shared" si="342"/>
        <v>24</v>
      </c>
      <c r="AA87" s="174">
        <f t="shared" si="342"/>
        <v>25</v>
      </c>
      <c r="AB87" s="174">
        <f t="shared" si="342"/>
        <v>26</v>
      </c>
      <c r="AC87" s="174">
        <f t="shared" si="342"/>
        <v>27</v>
      </c>
      <c r="AD87" s="174">
        <f t="shared" si="342"/>
        <v>28</v>
      </c>
      <c r="AE87" s="174">
        <f t="shared" si="342"/>
        <v>29</v>
      </c>
      <c r="AF87" s="174">
        <f t="shared" si="342"/>
        <v>30</v>
      </c>
      <c r="AG87" s="174">
        <f t="shared" si="342"/>
        <v>31</v>
      </c>
      <c r="AH87" s="174">
        <f t="shared" si="342"/>
        <v>32</v>
      </c>
      <c r="AI87" s="174">
        <f t="shared" si="342"/>
        <v>33</v>
      </c>
      <c r="AJ87" s="174">
        <f t="shared" si="342"/>
        <v>34</v>
      </c>
      <c r="AK87" s="174">
        <f t="shared" si="342"/>
        <v>35</v>
      </c>
      <c r="AL87" s="174">
        <f t="shared" si="342"/>
        <v>36</v>
      </c>
      <c r="AM87" s="174">
        <f t="shared" si="342"/>
        <v>37</v>
      </c>
      <c r="AN87" s="174">
        <f t="shared" si="342"/>
        <v>38</v>
      </c>
      <c r="AO87" s="174">
        <f t="shared" si="342"/>
        <v>39</v>
      </c>
      <c r="AP87" s="174">
        <f t="shared" si="342"/>
        <v>40</v>
      </c>
      <c r="AQ87" s="174">
        <f t="shared" ref="AQ87" si="343">AP87+1</f>
        <v>41</v>
      </c>
      <c r="AR87" s="174">
        <f t="shared" ref="AR87" si="344">AQ87+1</f>
        <v>42</v>
      </c>
      <c r="AS87" s="174">
        <f t="shared" ref="AS87" si="345">AR87+1</f>
        <v>43</v>
      </c>
      <c r="AT87" s="174">
        <f t="shared" ref="AT87" si="346">AS87+1</f>
        <v>44</v>
      </c>
      <c r="AU87" s="174">
        <f t="shared" ref="AU87" si="347">AT87+1</f>
        <v>45</v>
      </c>
      <c r="AV87" s="174">
        <f t="shared" ref="AV87" si="348">AU87+1</f>
        <v>46</v>
      </c>
      <c r="AW87" s="174">
        <f t="shared" ref="AW87" si="349">AV87+1</f>
        <v>47</v>
      </c>
      <c r="AX87" s="174">
        <f t="shared" ref="AX87" si="350">AW87+1</f>
        <v>48</v>
      </c>
      <c r="AY87" s="174">
        <f t="shared" ref="AY87" si="351">AX87+1</f>
        <v>49</v>
      </c>
      <c r="AZ87" s="174">
        <f t="shared" ref="AZ87" si="352">AY87+1</f>
        <v>50</v>
      </c>
      <c r="BA87" s="174">
        <f t="shared" ref="BA87" si="353">AZ87+1</f>
        <v>51</v>
      </c>
      <c r="BB87" s="174">
        <f t="shared" ref="BB87" si="354">BA87+1</f>
        <v>52</v>
      </c>
      <c r="BC87" s="174">
        <f t="shared" ref="BC87" si="355">BB87+1</f>
        <v>53</v>
      </c>
      <c r="BD87" s="174">
        <f t="shared" ref="BD87" si="356">BC87+1</f>
        <v>54</v>
      </c>
      <c r="BE87" s="174">
        <f t="shared" ref="BE87" si="357">BD87+1</f>
        <v>55</v>
      </c>
      <c r="BF87" s="174">
        <f t="shared" ref="BF87" si="358">BE87+1</f>
        <v>56</v>
      </c>
      <c r="BG87" s="174">
        <f t="shared" ref="BG87" si="359">BF87+1</f>
        <v>57</v>
      </c>
      <c r="BH87" s="174">
        <f t="shared" ref="BH87" si="360">BG87+1</f>
        <v>58</v>
      </c>
      <c r="BI87" s="174">
        <f t="shared" ref="BI87" si="361">BH87+1</f>
        <v>59</v>
      </c>
      <c r="BJ87" s="174">
        <f t="shared" ref="BJ87" si="362">BI87+1</f>
        <v>60</v>
      </c>
      <c r="BK87" s="174">
        <f t="shared" ref="BK87" si="363">BJ87+1</f>
        <v>61</v>
      </c>
      <c r="BL87" s="174">
        <f t="shared" ref="BL87" si="364">BK87+1</f>
        <v>62</v>
      </c>
      <c r="BM87" s="174">
        <f t="shared" ref="BM87" si="365">BL87+1</f>
        <v>63</v>
      </c>
    </row>
    <row r="88" spans="1:65" x14ac:dyDescent="0.25">
      <c r="A88" s="12" t="s">
        <v>148</v>
      </c>
      <c r="B88" s="13">
        <f>B81+B55+B48+B41</f>
        <v>0</v>
      </c>
      <c r="C88" s="13">
        <f t="shared" ref="C88:BM88" si="366">C81+C55+C48+C41</f>
        <v>7251.3994324202577</v>
      </c>
      <c r="D88" s="13">
        <f t="shared" si="366"/>
        <v>7251.3994324202577</v>
      </c>
      <c r="E88" s="13">
        <f t="shared" si="366"/>
        <v>7251.3994324202577</v>
      </c>
      <c r="F88" s="13">
        <f t="shared" si="366"/>
        <v>7251.3994324202577</v>
      </c>
      <c r="G88" s="13">
        <f t="shared" si="366"/>
        <v>7251.3994324202577</v>
      </c>
      <c r="H88" s="13">
        <f t="shared" si="366"/>
        <v>7251.3994324202577</v>
      </c>
      <c r="I88" s="13">
        <f t="shared" si="366"/>
        <v>7251.3994324202577</v>
      </c>
      <c r="J88" s="13">
        <f t="shared" si="366"/>
        <v>7251.3994324202577</v>
      </c>
      <c r="K88" s="13">
        <f t="shared" si="366"/>
        <v>7251.3994324202577</v>
      </c>
      <c r="L88" s="13">
        <f t="shared" si="366"/>
        <v>7251.3994324202577</v>
      </c>
      <c r="M88" s="13">
        <f t="shared" si="366"/>
        <v>7251.3994324202577</v>
      </c>
      <c r="N88" s="13">
        <f t="shared" si="366"/>
        <v>7251.3994324202577</v>
      </c>
      <c r="O88" s="13">
        <f t="shared" si="366"/>
        <v>7251.3994324202577</v>
      </c>
      <c r="P88" s="13">
        <f t="shared" si="366"/>
        <v>7251.3994324202577</v>
      </c>
      <c r="Q88" s="13">
        <f t="shared" si="366"/>
        <v>7251.3994324202577</v>
      </c>
      <c r="R88" s="13">
        <f t="shared" si="366"/>
        <v>7251.3994324202577</v>
      </c>
      <c r="S88" s="13">
        <f t="shared" si="366"/>
        <v>7251.3994324202577</v>
      </c>
      <c r="T88" s="13">
        <f t="shared" si="366"/>
        <v>7251.3994324202577</v>
      </c>
      <c r="U88" s="13">
        <f t="shared" si="366"/>
        <v>7251.3994324202577</v>
      </c>
      <c r="V88" s="13">
        <f t="shared" si="366"/>
        <v>7251.3994324202577</v>
      </c>
      <c r="W88" s="13">
        <f t="shared" si="366"/>
        <v>7251.3994324202577</v>
      </c>
      <c r="X88" s="13">
        <f t="shared" si="366"/>
        <v>7251.3994324202577</v>
      </c>
      <c r="Y88" s="13">
        <f t="shared" si="366"/>
        <v>7251.3994324202577</v>
      </c>
      <c r="Z88" s="13">
        <f t="shared" si="366"/>
        <v>7251.3994324202577</v>
      </c>
      <c r="AA88" s="13">
        <f t="shared" si="366"/>
        <v>7251.3994324202577</v>
      </c>
      <c r="AB88" s="13">
        <f t="shared" si="366"/>
        <v>7251.3994324202577</v>
      </c>
      <c r="AC88" s="13">
        <f t="shared" si="366"/>
        <v>7251.3994324202577</v>
      </c>
      <c r="AD88" s="13">
        <f t="shared" si="366"/>
        <v>7251.3994324202577</v>
      </c>
      <c r="AE88" s="13">
        <f t="shared" si="366"/>
        <v>7251.3994324202577</v>
      </c>
      <c r="AF88" s="13">
        <f t="shared" si="366"/>
        <v>7251.3994324202577</v>
      </c>
      <c r="AG88" s="13">
        <f t="shared" si="366"/>
        <v>7251.3994324202577</v>
      </c>
      <c r="AH88" s="13">
        <f t="shared" si="366"/>
        <v>7251.3994324202577</v>
      </c>
      <c r="AI88" s="13">
        <f t="shared" si="366"/>
        <v>7251.3994324202577</v>
      </c>
      <c r="AJ88" s="13">
        <f t="shared" si="366"/>
        <v>7251.3994324202577</v>
      </c>
      <c r="AK88" s="13">
        <f t="shared" si="366"/>
        <v>7251.3994324202577</v>
      </c>
      <c r="AL88" s="13">
        <f t="shared" si="366"/>
        <v>7251.3994324202577</v>
      </c>
      <c r="AM88" s="13">
        <f t="shared" si="366"/>
        <v>7251.3994324202577</v>
      </c>
      <c r="AN88" s="13">
        <f t="shared" si="366"/>
        <v>7251.3994324202577</v>
      </c>
      <c r="AO88" s="13">
        <f t="shared" si="366"/>
        <v>7251.3994324202577</v>
      </c>
      <c r="AP88" s="13">
        <f t="shared" si="366"/>
        <v>7251.3994324202577</v>
      </c>
      <c r="AQ88" s="13">
        <f t="shared" si="366"/>
        <v>7251.3994324202577</v>
      </c>
      <c r="AR88" s="13">
        <f t="shared" si="366"/>
        <v>7251.3994324202577</v>
      </c>
      <c r="AS88" s="13">
        <f t="shared" si="366"/>
        <v>7251.3994324202577</v>
      </c>
      <c r="AT88" s="13">
        <f t="shared" si="366"/>
        <v>7251.3994324202577</v>
      </c>
      <c r="AU88" s="13">
        <f t="shared" si="366"/>
        <v>7251.3994324202577</v>
      </c>
      <c r="AV88" s="13">
        <f t="shared" si="366"/>
        <v>7251.3994324202577</v>
      </c>
      <c r="AW88" s="13">
        <f t="shared" si="366"/>
        <v>7251.3994324202577</v>
      </c>
      <c r="AX88" s="13">
        <f t="shared" si="366"/>
        <v>7251.3994324202577</v>
      </c>
      <c r="AY88" s="13">
        <f t="shared" si="366"/>
        <v>7251.3994324202577</v>
      </c>
      <c r="AZ88" s="13">
        <f t="shared" si="366"/>
        <v>7251.3994324202577</v>
      </c>
      <c r="BA88" s="13">
        <f t="shared" si="366"/>
        <v>7251.3994324202577</v>
      </c>
      <c r="BB88" s="13">
        <f t="shared" si="366"/>
        <v>7251.3994324202577</v>
      </c>
      <c r="BC88" s="13">
        <f t="shared" si="366"/>
        <v>7251.3994324202577</v>
      </c>
      <c r="BD88" s="13">
        <f t="shared" si="366"/>
        <v>7251.3994324202577</v>
      </c>
      <c r="BE88" s="13">
        <f t="shared" si="366"/>
        <v>7251.3994324202577</v>
      </c>
      <c r="BF88" s="13">
        <f t="shared" si="366"/>
        <v>7251.3994324202577</v>
      </c>
      <c r="BG88" s="13">
        <f t="shared" si="366"/>
        <v>7251.3994324202577</v>
      </c>
      <c r="BH88" s="13">
        <f t="shared" si="366"/>
        <v>7251.3994324202577</v>
      </c>
      <c r="BI88" s="13">
        <f t="shared" si="366"/>
        <v>7251.3994324202577</v>
      </c>
      <c r="BJ88" s="13">
        <f t="shared" si="366"/>
        <v>7251.3994324202577</v>
      </c>
      <c r="BK88" s="13">
        <f t="shared" si="366"/>
        <v>0</v>
      </c>
      <c r="BL88" s="13">
        <f t="shared" si="366"/>
        <v>0</v>
      </c>
      <c r="BM88" s="13">
        <f t="shared" si="366"/>
        <v>0</v>
      </c>
    </row>
  </sheetData>
  <mergeCells count="19">
    <mergeCell ref="A1:F2"/>
    <mergeCell ref="A3:B6"/>
    <mergeCell ref="C3:C4"/>
    <mergeCell ref="D3:D4"/>
    <mergeCell ref="A8:B8"/>
    <mergeCell ref="A15:B15"/>
    <mergeCell ref="A36:B36"/>
    <mergeCell ref="A64:B64"/>
    <mergeCell ref="D30:D31"/>
    <mergeCell ref="C30:C31"/>
    <mergeCell ref="A30:B34"/>
    <mergeCell ref="A50:B50"/>
    <mergeCell ref="A57:B57"/>
    <mergeCell ref="A43:B43"/>
    <mergeCell ref="A83:B83"/>
    <mergeCell ref="C71:C72"/>
    <mergeCell ref="D71:D72"/>
    <mergeCell ref="A76:B76"/>
    <mergeCell ref="A71:B74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5"/>
  <sheetViews>
    <sheetView showGridLines="0" workbookViewId="0">
      <selection activeCell="D6" sqref="D6"/>
    </sheetView>
  </sheetViews>
  <sheetFormatPr defaultColWidth="11" defaultRowHeight="15.75" x14ac:dyDescent="0.25"/>
  <cols>
    <col min="2" max="2" width="32.875" customWidth="1"/>
    <col min="3" max="3" width="4.125" bestFit="1" customWidth="1"/>
    <col min="4" max="4" width="12.625" bestFit="1" customWidth="1"/>
    <col min="5" max="5" width="12.875" bestFit="1" customWidth="1"/>
    <col min="7" max="7" width="12.625" bestFit="1" customWidth="1"/>
    <col min="8" max="8" width="54.375" bestFit="1" customWidth="1"/>
  </cols>
  <sheetData>
    <row r="1" spans="1:8" ht="15" customHeight="1" x14ac:dyDescent="0.25">
      <c r="B1" s="263" t="s">
        <v>184</v>
      </c>
      <c r="C1" s="263"/>
      <c r="D1" s="263"/>
      <c r="E1" s="263"/>
      <c r="F1" s="263"/>
    </row>
    <row r="2" spans="1:8" ht="15" customHeight="1" x14ac:dyDescent="0.25">
      <c r="B2" s="263"/>
      <c r="C2" s="263"/>
      <c r="D2" s="263"/>
      <c r="E2" s="263"/>
      <c r="F2" s="263"/>
    </row>
    <row r="3" spans="1:8" ht="15" customHeight="1" x14ac:dyDescent="0.25">
      <c r="A3" s="269" t="s">
        <v>185</v>
      </c>
      <c r="B3" s="56" t="s">
        <v>186</v>
      </c>
      <c r="C3" s="56"/>
      <c r="D3" s="56"/>
      <c r="E3" s="56"/>
      <c r="F3" s="55"/>
      <c r="H3" s="228" t="s">
        <v>187</v>
      </c>
    </row>
    <row r="4" spans="1:8" x14ac:dyDescent="0.25">
      <c r="A4" s="269"/>
      <c r="B4" s="21" t="s">
        <v>188</v>
      </c>
      <c r="C4" s="22" t="s">
        <v>189</v>
      </c>
      <c r="D4" t="s">
        <v>190</v>
      </c>
      <c r="E4" t="s">
        <v>183</v>
      </c>
      <c r="H4" s="58" t="s">
        <v>191</v>
      </c>
    </row>
    <row r="5" spans="1:8" x14ac:dyDescent="0.25">
      <c r="A5" s="269"/>
      <c r="B5" t="s">
        <v>192</v>
      </c>
      <c r="C5" s="45">
        <v>1</v>
      </c>
      <c r="D5" s="4">
        <v>9600</v>
      </c>
      <c r="E5" s="4">
        <f t="shared" ref="E5:E10" si="0">C5*D5</f>
        <v>9600</v>
      </c>
      <c r="H5" s="59" t="s">
        <v>193</v>
      </c>
    </row>
    <row r="6" spans="1:8" x14ac:dyDescent="0.25">
      <c r="A6" s="269"/>
      <c r="B6" t="s">
        <v>194</v>
      </c>
      <c r="C6" s="45">
        <v>1</v>
      </c>
      <c r="D6" s="4">
        <v>10000</v>
      </c>
      <c r="E6" s="4">
        <f t="shared" si="0"/>
        <v>10000</v>
      </c>
      <c r="H6" s="61" t="s">
        <v>195</v>
      </c>
    </row>
    <row r="7" spans="1:8" x14ac:dyDescent="0.25">
      <c r="A7" s="269"/>
      <c r="B7" t="s">
        <v>196</v>
      </c>
      <c r="C7" s="45">
        <v>1</v>
      </c>
      <c r="D7" s="4">
        <v>10250</v>
      </c>
      <c r="E7" s="4">
        <f t="shared" si="0"/>
        <v>10250</v>
      </c>
      <c r="H7" s="66" t="s">
        <v>197</v>
      </c>
    </row>
    <row r="8" spans="1:8" x14ac:dyDescent="0.25">
      <c r="A8" s="269"/>
      <c r="B8" t="s">
        <v>198</v>
      </c>
      <c r="C8" s="45"/>
      <c r="D8" s="4"/>
      <c r="E8" s="4">
        <f t="shared" si="0"/>
        <v>0</v>
      </c>
    </row>
    <row r="9" spans="1:8" x14ac:dyDescent="0.25">
      <c r="A9" s="269"/>
      <c r="C9" s="45"/>
      <c r="D9" s="52"/>
      <c r="E9" s="4">
        <f t="shared" si="0"/>
        <v>0</v>
      </c>
    </row>
    <row r="10" spans="1:8" x14ac:dyDescent="0.25">
      <c r="A10" s="269"/>
      <c r="C10" s="45"/>
      <c r="D10" s="4"/>
      <c r="E10" s="4">
        <f t="shared" si="0"/>
        <v>0</v>
      </c>
    </row>
    <row r="11" spans="1:8" x14ac:dyDescent="0.25">
      <c r="B11" s="67" t="s">
        <v>199</v>
      </c>
      <c r="C11" s="68">
        <f>SUM(C5:C10)</f>
        <v>3</v>
      </c>
      <c r="D11" s="69">
        <f>SUM(D5:D10)</f>
        <v>29850</v>
      </c>
      <c r="E11" s="69">
        <f>SUM(E5:E10)</f>
        <v>29850</v>
      </c>
    </row>
    <row r="12" spans="1:8" x14ac:dyDescent="0.25">
      <c r="B12" s="62"/>
      <c r="C12" s="62"/>
      <c r="D12" s="62"/>
      <c r="E12" s="62"/>
      <c r="F12" s="62"/>
    </row>
    <row r="13" spans="1:8" x14ac:dyDescent="0.25">
      <c r="B13" s="57" t="s">
        <v>200</v>
      </c>
      <c r="C13" s="57"/>
      <c r="D13" s="57"/>
      <c r="E13" s="57"/>
      <c r="F13" s="57"/>
    </row>
    <row r="14" spans="1:8" x14ac:dyDescent="0.25">
      <c r="A14" s="272" t="s">
        <v>201</v>
      </c>
      <c r="B14" s="21" t="s">
        <v>188</v>
      </c>
      <c r="C14" s="22" t="s">
        <v>189</v>
      </c>
      <c r="D14" s="59" t="s">
        <v>202</v>
      </c>
      <c r="E14" t="s">
        <v>190</v>
      </c>
      <c r="F14" t="s">
        <v>183</v>
      </c>
    </row>
    <row r="15" spans="1:8" x14ac:dyDescent="0.25">
      <c r="A15" s="272"/>
      <c r="B15" t="s">
        <v>192</v>
      </c>
      <c r="C15" s="45">
        <f t="shared" ref="C15:C20" si="1">C5</f>
        <v>1</v>
      </c>
      <c r="D15" s="60">
        <v>3.5000000000000003E-2</v>
      </c>
      <c r="E15" s="4">
        <f t="shared" ref="E15:E20" si="2">D5*(1+D15)</f>
        <v>9936</v>
      </c>
      <c r="F15" s="4">
        <f t="shared" ref="F15:F20" si="3">C15*E15</f>
        <v>9936</v>
      </c>
    </row>
    <row r="16" spans="1:8" x14ac:dyDescent="0.25">
      <c r="A16" s="272"/>
      <c r="B16" t="s">
        <v>203</v>
      </c>
      <c r="C16" s="45">
        <f t="shared" si="1"/>
        <v>1</v>
      </c>
      <c r="D16" s="60">
        <v>2.2499999999999999E-2</v>
      </c>
      <c r="E16" s="4">
        <f t="shared" si="2"/>
        <v>10225</v>
      </c>
      <c r="F16" s="4">
        <f t="shared" si="3"/>
        <v>10225</v>
      </c>
    </row>
    <row r="17" spans="1:7" x14ac:dyDescent="0.25">
      <c r="A17" s="272"/>
      <c r="C17" s="45">
        <f t="shared" si="1"/>
        <v>1</v>
      </c>
      <c r="D17" s="60">
        <v>4.87E-2</v>
      </c>
      <c r="E17" s="4">
        <f t="shared" si="2"/>
        <v>10749.174999999999</v>
      </c>
      <c r="F17" s="4">
        <f t="shared" si="3"/>
        <v>10749.174999999999</v>
      </c>
    </row>
    <row r="18" spans="1:7" x14ac:dyDescent="0.25">
      <c r="A18" s="272"/>
      <c r="C18" s="45">
        <f t="shared" si="1"/>
        <v>0</v>
      </c>
      <c r="D18" s="60">
        <v>5.2299999999999999E-2</v>
      </c>
      <c r="E18" s="4">
        <f t="shared" si="2"/>
        <v>0</v>
      </c>
      <c r="F18" s="4">
        <f t="shared" si="3"/>
        <v>0</v>
      </c>
    </row>
    <row r="19" spans="1:7" x14ac:dyDescent="0.25">
      <c r="A19" s="272"/>
      <c r="C19" s="45">
        <f t="shared" si="1"/>
        <v>0</v>
      </c>
      <c r="D19" s="60">
        <v>2.2200000000000001E-2</v>
      </c>
      <c r="E19" s="4">
        <f t="shared" si="2"/>
        <v>0</v>
      </c>
      <c r="F19" s="4">
        <f t="shared" si="3"/>
        <v>0</v>
      </c>
    </row>
    <row r="20" spans="1:7" x14ac:dyDescent="0.25">
      <c r="A20" s="272"/>
      <c r="C20" s="45">
        <f t="shared" si="1"/>
        <v>0</v>
      </c>
      <c r="D20" s="60">
        <v>3.2000000000000001E-2</v>
      </c>
      <c r="E20" s="4">
        <f t="shared" si="2"/>
        <v>0</v>
      </c>
      <c r="F20" s="4">
        <f t="shared" si="3"/>
        <v>0</v>
      </c>
    </row>
    <row r="21" spans="1:7" x14ac:dyDescent="0.25">
      <c r="B21" s="67" t="s">
        <v>199</v>
      </c>
      <c r="C21" s="68">
        <f>SUM(C15:C20)</f>
        <v>3</v>
      </c>
      <c r="D21" s="67"/>
      <c r="E21" s="69">
        <f>SUM(E15:E20)</f>
        <v>30910.174999999999</v>
      </c>
      <c r="F21" s="69">
        <f>SUM(F15:F20)</f>
        <v>30910.174999999999</v>
      </c>
      <c r="G21" s="26"/>
    </row>
    <row r="22" spans="1:7" ht="16.5" thickBot="1" x14ac:dyDescent="0.3">
      <c r="B22" s="65"/>
      <c r="C22" s="65"/>
      <c r="D22" s="65"/>
      <c r="E22" s="65"/>
      <c r="F22" s="65"/>
    </row>
    <row r="23" spans="1:7" ht="48.95" customHeight="1" thickBot="1" x14ac:dyDescent="0.3">
      <c r="B23" s="270" t="s">
        <v>204</v>
      </c>
      <c r="C23" s="271"/>
      <c r="D23" s="267">
        <f>(F21/E11)-1</f>
        <v>3.5516750418760346E-2</v>
      </c>
      <c r="E23" s="268"/>
    </row>
    <row r="24" spans="1:7" ht="18.75" x14ac:dyDescent="0.3">
      <c r="B24" s="63"/>
      <c r="C24" s="63"/>
      <c r="D24" s="64"/>
      <c r="E24" s="64"/>
      <c r="F24" s="65"/>
    </row>
    <row r="25" spans="1:7" x14ac:dyDescent="0.25">
      <c r="A25" s="264" t="s">
        <v>205</v>
      </c>
      <c r="B25" s="56" t="s">
        <v>206</v>
      </c>
      <c r="C25" s="56"/>
      <c r="D25" s="56"/>
      <c r="E25" s="56"/>
      <c r="F25" s="55"/>
    </row>
    <row r="26" spans="1:7" x14ac:dyDescent="0.25">
      <c r="A26" s="264"/>
      <c r="B26" s="21" t="s">
        <v>188</v>
      </c>
      <c r="C26" s="22" t="s">
        <v>189</v>
      </c>
      <c r="D26" t="s">
        <v>190</v>
      </c>
      <c r="E26" t="s">
        <v>183</v>
      </c>
    </row>
    <row r="27" spans="1:7" x14ac:dyDescent="0.25">
      <c r="A27" s="264"/>
      <c r="B27" t="s">
        <v>207</v>
      </c>
      <c r="C27" s="45">
        <f t="shared" ref="C27:C32" si="4">C5</f>
        <v>1</v>
      </c>
      <c r="D27" s="4">
        <v>9200</v>
      </c>
      <c r="E27" s="4">
        <f t="shared" ref="E27:E32" si="5">C27*D27</f>
        <v>9200</v>
      </c>
    </row>
    <row r="28" spans="1:7" x14ac:dyDescent="0.25">
      <c r="A28" s="264"/>
      <c r="B28" t="s">
        <v>203</v>
      </c>
      <c r="C28" s="45">
        <f t="shared" si="4"/>
        <v>1</v>
      </c>
      <c r="D28" s="4">
        <v>12500</v>
      </c>
      <c r="E28" s="4">
        <f t="shared" si="5"/>
        <v>12500</v>
      </c>
    </row>
    <row r="29" spans="1:7" x14ac:dyDescent="0.25">
      <c r="A29" s="264"/>
      <c r="C29" s="45">
        <f t="shared" si="4"/>
        <v>1</v>
      </c>
      <c r="D29" s="4"/>
      <c r="E29" s="4">
        <f t="shared" si="5"/>
        <v>0</v>
      </c>
    </row>
    <row r="30" spans="1:7" x14ac:dyDescent="0.25">
      <c r="A30" s="264"/>
      <c r="C30" s="45">
        <f t="shared" si="4"/>
        <v>0</v>
      </c>
      <c r="D30" s="4"/>
      <c r="E30" s="4">
        <f t="shared" si="5"/>
        <v>0</v>
      </c>
    </row>
    <row r="31" spans="1:7" x14ac:dyDescent="0.25">
      <c r="A31" s="264"/>
      <c r="C31" s="45">
        <f t="shared" si="4"/>
        <v>0</v>
      </c>
      <c r="D31" s="52"/>
      <c r="E31" s="4">
        <f t="shared" si="5"/>
        <v>0</v>
      </c>
    </row>
    <row r="32" spans="1:7" x14ac:dyDescent="0.25">
      <c r="A32" s="264"/>
      <c r="C32" s="45">
        <f t="shared" si="4"/>
        <v>0</v>
      </c>
      <c r="D32" s="4"/>
      <c r="E32" s="4">
        <f t="shared" si="5"/>
        <v>0</v>
      </c>
    </row>
    <row r="33" spans="2:6" x14ac:dyDescent="0.25">
      <c r="B33" s="67" t="s">
        <v>199</v>
      </c>
      <c r="C33" s="68">
        <f>SUM(C27:C32)</f>
        <v>3</v>
      </c>
      <c r="D33" s="69">
        <f>SUM(D27:D32)</f>
        <v>21700</v>
      </c>
      <c r="E33" s="69">
        <f>SUM(E27:E32)</f>
        <v>21700</v>
      </c>
    </row>
    <row r="34" spans="2:6" ht="16.5" thickBot="1" x14ac:dyDescent="0.3">
      <c r="B34" s="65"/>
      <c r="C34" s="65"/>
      <c r="D34" s="65"/>
      <c r="E34" s="65"/>
      <c r="F34" s="65"/>
    </row>
    <row r="35" spans="2:6" ht="48.95" customHeight="1" thickBot="1" x14ac:dyDescent="0.35">
      <c r="B35" s="265" t="s">
        <v>208</v>
      </c>
      <c r="C35" s="266"/>
      <c r="D35" s="267">
        <f>(E33/E11)-1</f>
        <v>-0.27303182579564489</v>
      </c>
      <c r="E35" s="268"/>
    </row>
  </sheetData>
  <mergeCells count="8">
    <mergeCell ref="B1:F2"/>
    <mergeCell ref="A25:A32"/>
    <mergeCell ref="B35:C35"/>
    <mergeCell ref="D35:E35"/>
    <mergeCell ref="A3:A10"/>
    <mergeCell ref="B23:C23"/>
    <mergeCell ref="D23:E23"/>
    <mergeCell ref="A14:A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C10"/>
  <sheetViews>
    <sheetView showGridLines="0" showRowColHeaders="0" workbookViewId="0">
      <selection activeCell="B8" sqref="B8"/>
    </sheetView>
  </sheetViews>
  <sheetFormatPr defaultColWidth="11" defaultRowHeight="15.75" x14ac:dyDescent="0.25"/>
  <cols>
    <col min="1" max="1" width="35.125" bestFit="1" customWidth="1"/>
    <col min="2" max="2" width="8.375" customWidth="1"/>
  </cols>
  <sheetData>
    <row r="1" spans="1:3" x14ac:dyDescent="0.25">
      <c r="A1" s="230" t="s">
        <v>209</v>
      </c>
      <c r="B1" s="230"/>
      <c r="C1" s="230"/>
    </row>
    <row r="2" spans="1:3" x14ac:dyDescent="0.25">
      <c r="B2" s="226" t="s">
        <v>66</v>
      </c>
      <c r="C2" s="226" t="s">
        <v>210</v>
      </c>
    </row>
    <row r="3" spans="1:3" x14ac:dyDescent="0.25">
      <c r="A3" s="37" t="s">
        <v>67</v>
      </c>
      <c r="B3" s="39">
        <v>6.4999999999999997E-3</v>
      </c>
      <c r="C3" s="39">
        <v>1.6500000000000001E-2</v>
      </c>
    </row>
    <row r="4" spans="1:3" x14ac:dyDescent="0.25">
      <c r="A4" s="226" t="s">
        <v>68</v>
      </c>
      <c r="B4" s="40">
        <v>0.03</v>
      </c>
      <c r="C4" s="40">
        <v>7.5999999999999998E-2</v>
      </c>
    </row>
    <row r="5" spans="1:3" x14ac:dyDescent="0.25">
      <c r="A5" s="37" t="s">
        <v>69</v>
      </c>
      <c r="B5" s="155">
        <f>SUM(B3:B4)</f>
        <v>3.6499999999999998E-2</v>
      </c>
      <c r="C5" s="41">
        <f>SUM(C3:C4)</f>
        <v>9.2499999999999999E-2</v>
      </c>
    </row>
    <row r="7" spans="1:3" x14ac:dyDescent="0.25">
      <c r="A7" s="230" t="s">
        <v>211</v>
      </c>
      <c r="B7" s="230"/>
    </row>
    <row r="8" spans="1:3" x14ac:dyDescent="0.25">
      <c r="A8" t="s">
        <v>212</v>
      </c>
      <c r="B8" s="42">
        <v>0.15</v>
      </c>
    </row>
    <row r="9" spans="1:3" x14ac:dyDescent="0.25">
      <c r="A9" s="38" t="s">
        <v>213</v>
      </c>
      <c r="B9" s="43">
        <v>0.09</v>
      </c>
    </row>
    <row r="10" spans="1:3" x14ac:dyDescent="0.25">
      <c r="A10" t="s">
        <v>214</v>
      </c>
      <c r="B10" s="44">
        <v>1.2E-2</v>
      </c>
    </row>
  </sheetData>
  <mergeCells count="2">
    <mergeCell ref="A1:C1"/>
    <mergeCell ref="A7:B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I14"/>
  <sheetViews>
    <sheetView showGridLines="0" workbookViewId="0">
      <selection activeCell="G20" sqref="G20"/>
    </sheetView>
  </sheetViews>
  <sheetFormatPr defaultColWidth="11" defaultRowHeight="15.75" x14ac:dyDescent="0.25"/>
  <cols>
    <col min="1" max="1" width="14.875" bestFit="1" customWidth="1"/>
    <col min="2" max="2" width="13.5" bestFit="1" customWidth="1"/>
    <col min="3" max="3" width="12.5" bestFit="1" customWidth="1"/>
    <col min="4" max="5" width="14.375" bestFit="1" customWidth="1"/>
    <col min="6" max="7" width="12" bestFit="1" customWidth="1"/>
    <col min="9" max="9" width="22.5" bestFit="1" customWidth="1"/>
  </cols>
  <sheetData>
    <row r="1" spans="1:9" ht="15" customHeight="1" x14ac:dyDescent="0.25">
      <c r="A1" s="273" t="s">
        <v>215</v>
      </c>
      <c r="B1" s="273"/>
      <c r="C1" s="273"/>
      <c r="D1" s="273"/>
      <c r="E1" s="273"/>
    </row>
    <row r="2" spans="1:9" ht="15" customHeight="1" x14ac:dyDescent="0.25">
      <c r="A2" s="273"/>
      <c r="B2" s="273"/>
      <c r="C2" s="273"/>
      <c r="D2" s="273"/>
      <c r="E2" s="273"/>
    </row>
    <row r="3" spans="1:9" x14ac:dyDescent="0.25">
      <c r="A3" s="62" t="s">
        <v>216</v>
      </c>
      <c r="B3" s="54" t="s">
        <v>217</v>
      </c>
      <c r="C3" s="54" t="s">
        <v>36</v>
      </c>
      <c r="D3" s="54" t="s">
        <v>218</v>
      </c>
      <c r="E3" s="54" t="s">
        <v>219</v>
      </c>
    </row>
    <row r="4" spans="1:9" ht="16.5" thickBot="1" x14ac:dyDescent="0.3">
      <c r="A4" t="s">
        <v>220</v>
      </c>
      <c r="B4" s="53"/>
      <c r="C4">
        <v>1</v>
      </c>
      <c r="D4">
        <v>1</v>
      </c>
      <c r="E4" s="84">
        <f>B4*D4</f>
        <v>0</v>
      </c>
    </row>
    <row r="5" spans="1:9" x14ac:dyDescent="0.25">
      <c r="B5" s="53"/>
      <c r="C5">
        <v>2</v>
      </c>
      <c r="D5">
        <v>1</v>
      </c>
      <c r="E5" s="84">
        <f>E4*(1+$I$6)</f>
        <v>0</v>
      </c>
      <c r="I5" s="183" t="s">
        <v>221</v>
      </c>
    </row>
    <row r="6" spans="1:9" ht="16.5" thickBot="1" x14ac:dyDescent="0.3">
      <c r="B6" s="53"/>
      <c r="C6">
        <v>3</v>
      </c>
      <c r="D6">
        <v>1</v>
      </c>
      <c r="E6" s="84">
        <f>E5*(1+$I$6)</f>
        <v>0</v>
      </c>
      <c r="I6" s="184">
        <v>9.5000000000000001E-2</v>
      </c>
    </row>
    <row r="7" spans="1:9" x14ac:dyDescent="0.25">
      <c r="B7" s="53"/>
      <c r="D7" s="53"/>
      <c r="E7" s="182"/>
    </row>
    <row r="9" spans="1:9" ht="15" customHeight="1" x14ac:dyDescent="0.25">
      <c r="A9" s="273" t="s">
        <v>222</v>
      </c>
      <c r="B9" s="273"/>
      <c r="C9" s="273"/>
      <c r="D9" s="273"/>
      <c r="E9" s="273"/>
      <c r="F9" s="273"/>
      <c r="G9" s="273"/>
    </row>
    <row r="10" spans="1:9" ht="15" customHeight="1" x14ac:dyDescent="0.25">
      <c r="A10" s="273"/>
      <c r="B10" s="273"/>
      <c r="C10" s="273"/>
      <c r="D10" s="273"/>
      <c r="E10" s="273"/>
      <c r="F10" s="273"/>
      <c r="G10" s="273"/>
    </row>
    <row r="11" spans="1:9" x14ac:dyDescent="0.25">
      <c r="A11" s="62" t="s">
        <v>223</v>
      </c>
      <c r="B11" s="62" t="s">
        <v>224</v>
      </c>
      <c r="C11" s="62" t="s">
        <v>36</v>
      </c>
      <c r="D11" s="62" t="s">
        <v>225</v>
      </c>
      <c r="E11" s="62" t="s">
        <v>226</v>
      </c>
      <c r="F11" s="62" t="s">
        <v>227</v>
      </c>
      <c r="G11" s="62" t="s">
        <v>228</v>
      </c>
    </row>
    <row r="12" spans="1:9" x14ac:dyDescent="0.25">
      <c r="A12" s="166" t="s">
        <v>229</v>
      </c>
      <c r="B12" t="str">
        <f>Dados!A29</f>
        <v>express</v>
      </c>
      <c r="C12">
        <v>1</v>
      </c>
      <c r="D12">
        <v>1</v>
      </c>
      <c r="E12" s="84"/>
      <c r="F12">
        <v>6</v>
      </c>
      <c r="G12" s="84">
        <f>E12/F12</f>
        <v>0</v>
      </c>
    </row>
    <row r="13" spans="1:9" x14ac:dyDescent="0.25">
      <c r="C13">
        <v>2</v>
      </c>
      <c r="D13">
        <v>1</v>
      </c>
      <c r="E13" s="154">
        <f>E12*($I$6+1)</f>
        <v>0</v>
      </c>
      <c r="F13">
        <v>6</v>
      </c>
      <c r="G13" s="154">
        <f>E13/F13</f>
        <v>0</v>
      </c>
    </row>
    <row r="14" spans="1:9" x14ac:dyDescent="0.25">
      <c r="C14">
        <v>3</v>
      </c>
      <c r="D14">
        <v>1</v>
      </c>
      <c r="E14" s="154">
        <f>E13*($I$6+1)</f>
        <v>0</v>
      </c>
      <c r="F14">
        <v>6</v>
      </c>
      <c r="G14" s="154">
        <f>E14/F14</f>
        <v>0</v>
      </c>
    </row>
  </sheetData>
  <mergeCells count="2">
    <mergeCell ref="A9:G10"/>
    <mergeCell ref="A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36"/>
  <sheetViews>
    <sheetView showGridLines="0" workbookViewId="0">
      <selection activeCell="I37" sqref="I37"/>
    </sheetView>
  </sheetViews>
  <sheetFormatPr defaultColWidth="11" defaultRowHeight="15.75" x14ac:dyDescent="0.25"/>
  <cols>
    <col min="1" max="1" width="19" customWidth="1"/>
    <col min="2" max="2" width="7.125" customWidth="1"/>
    <col min="4" max="4" width="12.375" customWidth="1"/>
    <col min="6" max="6" width="15.125" bestFit="1" customWidth="1"/>
    <col min="8" max="8" width="15.125" bestFit="1" customWidth="1"/>
  </cols>
  <sheetData>
    <row r="1" spans="1:4" x14ac:dyDescent="0.25">
      <c r="A1" s="280" t="s">
        <v>230</v>
      </c>
      <c r="B1" s="280"/>
      <c r="C1" s="280"/>
      <c r="D1" s="280"/>
    </row>
    <row r="2" spans="1:4" ht="16.5" thickBot="1" x14ac:dyDescent="0.3">
      <c r="A2" s="280"/>
      <c r="B2" s="280"/>
      <c r="C2" s="280"/>
      <c r="D2" s="280"/>
    </row>
    <row r="3" spans="1:4" ht="16.5" hidden="1" thickBot="1" x14ac:dyDescent="0.3">
      <c r="A3" s="88" t="s">
        <v>73</v>
      </c>
      <c r="B3" s="88">
        <v>4000</v>
      </c>
    </row>
    <row r="4" spans="1:4" ht="15" hidden="1" customHeight="1" x14ac:dyDescent="0.25">
      <c r="C4" s="83" t="s">
        <v>231</v>
      </c>
      <c r="D4" s="279" t="s">
        <v>232</v>
      </c>
    </row>
    <row r="5" spans="1:4" ht="59.1" hidden="1" customHeight="1" x14ac:dyDescent="0.25">
      <c r="A5" s="48" t="s">
        <v>224</v>
      </c>
      <c r="B5" s="50" t="s">
        <v>218</v>
      </c>
      <c r="C5" s="99" t="s">
        <v>233</v>
      </c>
      <c r="D5" s="279"/>
    </row>
    <row r="6" spans="1:4" ht="16.5" hidden="1" thickBot="1" x14ac:dyDescent="0.3">
      <c r="A6" s="49" t="s">
        <v>143</v>
      </c>
      <c r="B6" s="11">
        <v>1</v>
      </c>
      <c r="C6" s="45">
        <v>0.13619999999999999</v>
      </c>
      <c r="D6" s="45">
        <f>C6*$B$3</f>
        <v>544.79999999999995</v>
      </c>
    </row>
    <row r="7" spans="1:4" ht="16.5" hidden="1" thickBot="1" x14ac:dyDescent="0.3">
      <c r="A7" s="49" t="s">
        <v>234</v>
      </c>
      <c r="B7" s="11">
        <v>1</v>
      </c>
      <c r="C7" s="45">
        <v>0.13619999999999999</v>
      </c>
      <c r="D7" s="45">
        <f>C7*$B$3</f>
        <v>544.79999999999995</v>
      </c>
    </row>
    <row r="8" spans="1:4" ht="16.5" hidden="1" thickBot="1" x14ac:dyDescent="0.3">
      <c r="A8" t="s">
        <v>69</v>
      </c>
      <c r="B8" s="11">
        <f>SUM(B6:B7)</f>
        <v>2</v>
      </c>
      <c r="C8" s="45"/>
      <c r="D8" s="45"/>
    </row>
    <row r="9" spans="1:4" ht="16.5" hidden="1" thickBot="1" x14ac:dyDescent="0.3"/>
    <row r="10" spans="1:4" ht="16.5" hidden="1" thickBot="1" x14ac:dyDescent="0.3"/>
    <row r="11" spans="1:4" ht="16.5" hidden="1" thickBot="1" x14ac:dyDescent="0.3">
      <c r="A11" t="s">
        <v>235</v>
      </c>
    </row>
    <row r="12" spans="1:4" ht="16.5" hidden="1" thickBot="1" x14ac:dyDescent="0.3">
      <c r="A12" t="s">
        <v>236</v>
      </c>
    </row>
    <row r="13" spans="1:4" ht="16.5" hidden="1" thickBot="1" x14ac:dyDescent="0.3"/>
    <row r="14" spans="1:4" ht="16.5" hidden="1" thickBot="1" x14ac:dyDescent="0.3"/>
    <row r="15" spans="1:4" ht="16.5" hidden="1" thickBot="1" x14ac:dyDescent="0.3">
      <c r="A15" s="51" t="s">
        <v>73</v>
      </c>
      <c r="B15" s="51">
        <v>6000</v>
      </c>
    </row>
    <row r="16" spans="1:4" ht="15" hidden="1" customHeight="1" x14ac:dyDescent="0.25">
      <c r="C16" s="83" t="s">
        <v>231</v>
      </c>
      <c r="D16" s="279" t="s">
        <v>232</v>
      </c>
    </row>
    <row r="17" spans="1:10" ht="56.1" hidden="1" customHeight="1" x14ac:dyDescent="0.25">
      <c r="A17" s="48" t="s">
        <v>224</v>
      </c>
      <c r="B17" s="50" t="s">
        <v>218</v>
      </c>
      <c r="C17" s="99" t="s">
        <v>233</v>
      </c>
      <c r="D17" s="279"/>
    </row>
    <row r="18" spans="1:10" ht="16.5" hidden="1" thickBot="1" x14ac:dyDescent="0.3">
      <c r="A18" s="49" t="s">
        <v>143</v>
      </c>
      <c r="B18" s="11">
        <v>1</v>
      </c>
      <c r="C18" s="45">
        <v>0.13619999999999999</v>
      </c>
      <c r="D18" s="45">
        <f>C18*$B$15</f>
        <v>817.19999999999993</v>
      </c>
    </row>
    <row r="19" spans="1:10" ht="16.5" hidden="1" thickBot="1" x14ac:dyDescent="0.3">
      <c r="A19" s="49" t="s">
        <v>234</v>
      </c>
      <c r="B19" s="11">
        <v>1</v>
      </c>
      <c r="C19" s="45">
        <v>0.13619999999999999</v>
      </c>
      <c r="D19" s="45">
        <f>C19*$B$15</f>
        <v>817.19999999999993</v>
      </c>
    </row>
    <row r="20" spans="1:10" ht="16.5" hidden="1" thickBot="1" x14ac:dyDescent="0.3">
      <c r="A20" t="s">
        <v>69</v>
      </c>
      <c r="B20" s="11">
        <f>SUM(B18:B19)</f>
        <v>2</v>
      </c>
      <c r="C20" s="45"/>
      <c r="D20" s="45"/>
    </row>
    <row r="21" spans="1:10" ht="16.5" hidden="1" thickBot="1" x14ac:dyDescent="0.3"/>
    <row r="22" spans="1:10" ht="16.5" hidden="1" thickBot="1" x14ac:dyDescent="0.3"/>
    <row r="23" spans="1:10" ht="16.5" hidden="1" thickBot="1" x14ac:dyDescent="0.3"/>
    <row r="24" spans="1:10" ht="16.5" hidden="1" thickBot="1" x14ac:dyDescent="0.3">
      <c r="A24" s="89" t="s">
        <v>73</v>
      </c>
      <c r="B24" s="89">
        <v>8000</v>
      </c>
    </row>
    <row r="25" spans="1:10" ht="15" hidden="1" customHeight="1" x14ac:dyDescent="0.25">
      <c r="C25" s="83" t="s">
        <v>231</v>
      </c>
      <c r="D25" s="279" t="s">
        <v>232</v>
      </c>
    </row>
    <row r="26" spans="1:10" ht="56.1" hidden="1" customHeight="1" x14ac:dyDescent="0.25">
      <c r="A26" s="48" t="s">
        <v>224</v>
      </c>
      <c r="B26" s="50" t="s">
        <v>218</v>
      </c>
      <c r="C26" s="99" t="s">
        <v>233</v>
      </c>
      <c r="D26" s="279"/>
    </row>
    <row r="27" spans="1:10" ht="16.5" hidden="1" thickBot="1" x14ac:dyDescent="0.3">
      <c r="A27" s="49" t="s">
        <v>143</v>
      </c>
      <c r="B27" s="11">
        <v>1</v>
      </c>
      <c r="C27" s="45">
        <v>0.13619999999999999</v>
      </c>
      <c r="D27" s="45">
        <f>C27*$B$24</f>
        <v>1089.5999999999999</v>
      </c>
    </row>
    <row r="28" spans="1:10" ht="16.5" hidden="1" thickBot="1" x14ac:dyDescent="0.3">
      <c r="A28" s="49" t="s">
        <v>234</v>
      </c>
      <c r="B28" s="11">
        <v>1</v>
      </c>
      <c r="C28" s="45">
        <v>0.13619999999999999</v>
      </c>
      <c r="D28" s="45">
        <f>C28*$B$24</f>
        <v>1089.5999999999999</v>
      </c>
    </row>
    <row r="29" spans="1:10" ht="16.5" hidden="1" thickBot="1" x14ac:dyDescent="0.3">
      <c r="A29" t="s">
        <v>69</v>
      </c>
      <c r="B29" s="11">
        <f>SUM(B27:B28)</f>
        <v>2</v>
      </c>
      <c r="C29" s="45"/>
      <c r="D29" s="45"/>
    </row>
    <row r="30" spans="1:10" ht="16.5" hidden="1" thickBot="1" x14ac:dyDescent="0.3"/>
    <row r="31" spans="1:10" ht="16.5" hidden="1" thickBot="1" x14ac:dyDescent="0.3"/>
    <row r="32" spans="1:10" ht="16.5" thickBot="1" x14ac:dyDescent="0.3">
      <c r="A32" s="281" t="s">
        <v>73</v>
      </c>
      <c r="B32" s="283">
        <f>Dados!C14</f>
        <v>0</v>
      </c>
      <c r="C32" s="236" t="s">
        <v>237</v>
      </c>
      <c r="D32" s="237"/>
      <c r="E32" s="236" t="s">
        <v>238</v>
      </c>
      <c r="F32" s="237"/>
      <c r="G32" s="236" t="s">
        <v>239</v>
      </c>
      <c r="H32" s="274"/>
      <c r="I32" s="236" t="s">
        <v>240</v>
      </c>
      <c r="J32" s="274"/>
    </row>
    <row r="33" spans="1:10" ht="16.5" thickBot="1" x14ac:dyDescent="0.3">
      <c r="A33" s="282"/>
      <c r="B33" s="284"/>
      <c r="C33" s="275"/>
      <c r="D33" s="291"/>
      <c r="E33" s="275"/>
      <c r="F33" s="291"/>
      <c r="G33" s="275"/>
      <c r="H33" s="276"/>
      <c r="I33" s="275"/>
      <c r="J33" s="276"/>
    </row>
    <row r="34" spans="1:10" ht="15" customHeight="1" x14ac:dyDescent="0.25">
      <c r="A34" s="285" t="s">
        <v>224</v>
      </c>
      <c r="B34" s="286"/>
      <c r="C34" s="277" t="s">
        <v>231</v>
      </c>
      <c r="D34" s="279" t="s">
        <v>241</v>
      </c>
      <c r="E34" s="277" t="s">
        <v>231</v>
      </c>
      <c r="F34" s="279" t="s">
        <v>241</v>
      </c>
      <c r="G34" s="277" t="s">
        <v>231</v>
      </c>
      <c r="H34" s="278" t="s">
        <v>241</v>
      </c>
      <c r="I34" s="277" t="s">
        <v>231</v>
      </c>
      <c r="J34" s="278" t="s">
        <v>241</v>
      </c>
    </row>
    <row r="35" spans="1:10" x14ac:dyDescent="0.25">
      <c r="A35" s="287"/>
      <c r="B35" s="288"/>
      <c r="C35" s="277"/>
      <c r="D35" s="279"/>
      <c r="E35" s="277"/>
      <c r="F35" s="279"/>
      <c r="G35" s="277"/>
      <c r="H35" s="278"/>
      <c r="I35" s="277"/>
      <c r="J35" s="278"/>
    </row>
    <row r="36" spans="1:10" ht="16.5" thickBot="1" x14ac:dyDescent="0.3">
      <c r="A36" s="289" t="str">
        <f>Dados!A29</f>
        <v>express</v>
      </c>
      <c r="B36" s="290"/>
      <c r="C36" s="193">
        <v>0</v>
      </c>
      <c r="D36" s="191">
        <f>C36*B32</f>
        <v>0</v>
      </c>
      <c r="E36" s="193">
        <v>0</v>
      </c>
      <c r="F36" s="191">
        <f>E36*B32</f>
        <v>0</v>
      </c>
      <c r="G36" s="193">
        <v>0</v>
      </c>
      <c r="H36" s="192">
        <f>G36*B32</f>
        <v>0</v>
      </c>
      <c r="I36" s="193">
        <v>0</v>
      </c>
      <c r="J36" s="192">
        <f>I36*B32</f>
        <v>0</v>
      </c>
    </row>
  </sheetData>
  <mergeCells count="24">
    <mergeCell ref="A36:B36"/>
    <mergeCell ref="G32:H32"/>
    <mergeCell ref="G33:H33"/>
    <mergeCell ref="G34:G35"/>
    <mergeCell ref="H34:H35"/>
    <mergeCell ref="E32:F32"/>
    <mergeCell ref="E34:E35"/>
    <mergeCell ref="F34:F35"/>
    <mergeCell ref="C33:D33"/>
    <mergeCell ref="E33:F33"/>
    <mergeCell ref="A1:D2"/>
    <mergeCell ref="D4:D5"/>
    <mergeCell ref="D16:D17"/>
    <mergeCell ref="C34:C35"/>
    <mergeCell ref="C32:D32"/>
    <mergeCell ref="A32:A33"/>
    <mergeCell ref="B32:B33"/>
    <mergeCell ref="A34:B35"/>
    <mergeCell ref="I32:J32"/>
    <mergeCell ref="I33:J33"/>
    <mergeCell ref="I34:I35"/>
    <mergeCell ref="J34:J35"/>
    <mergeCell ref="D25:D26"/>
    <mergeCell ref="D34:D3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8"/>
  <sheetViews>
    <sheetView showGridLines="0" workbookViewId="0">
      <selection activeCell="F14" sqref="F14"/>
    </sheetView>
  </sheetViews>
  <sheetFormatPr defaultColWidth="11" defaultRowHeight="15.75" x14ac:dyDescent="0.25"/>
  <cols>
    <col min="2" max="2" width="15.125" bestFit="1" customWidth="1"/>
    <col min="6" max="6" width="21" bestFit="1" customWidth="1"/>
    <col min="7" max="7" width="8" bestFit="1" customWidth="1"/>
    <col min="11" max="11" width="13.875" bestFit="1" customWidth="1"/>
  </cols>
  <sheetData>
    <row r="1" spans="1:23" ht="41.1" customHeight="1" x14ac:dyDescent="0.25">
      <c r="A1" s="295" t="s">
        <v>242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</row>
    <row r="2" spans="1:23" x14ac:dyDescent="0.25">
      <c r="A2" s="230" t="s">
        <v>243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x14ac:dyDescent="0.25">
      <c r="A3" s="230" t="s">
        <v>244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4" spans="1:23" x14ac:dyDescent="0.25">
      <c r="A4" s="296" t="s">
        <v>245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</row>
    <row r="5" spans="1:23" ht="30" customHeight="1" x14ac:dyDescent="0.25">
      <c r="A5" s="47"/>
      <c r="B5" s="47"/>
      <c r="C5" s="292" t="s">
        <v>246</v>
      </c>
      <c r="D5" s="293"/>
      <c r="E5" s="294"/>
      <c r="F5" s="293" t="s">
        <v>247</v>
      </c>
      <c r="G5" s="293"/>
      <c r="H5" s="294"/>
      <c r="I5" s="292" t="s">
        <v>247</v>
      </c>
      <c r="J5" s="293"/>
      <c r="K5" s="294"/>
      <c r="L5" s="292" t="s">
        <v>248</v>
      </c>
      <c r="M5" s="293"/>
      <c r="N5" s="294"/>
      <c r="O5" s="292" t="s">
        <v>249</v>
      </c>
      <c r="P5" s="293"/>
      <c r="Q5" s="294"/>
      <c r="R5" s="292" t="s">
        <v>250</v>
      </c>
      <c r="S5" s="293"/>
      <c r="T5" s="294"/>
      <c r="U5" s="292" t="s">
        <v>251</v>
      </c>
      <c r="V5" s="293"/>
      <c r="W5" s="294"/>
    </row>
    <row r="6" spans="1:23" x14ac:dyDescent="0.25">
      <c r="A6" s="21" t="s">
        <v>224</v>
      </c>
      <c r="B6" s="21" t="s">
        <v>252</v>
      </c>
      <c r="C6" s="22" t="s">
        <v>85</v>
      </c>
      <c r="D6" s="23" t="s">
        <v>253</v>
      </c>
      <c r="E6" s="23" t="s">
        <v>254</v>
      </c>
      <c r="F6" s="21" t="s">
        <v>85</v>
      </c>
      <c r="G6" s="21" t="s">
        <v>253</v>
      </c>
      <c r="H6" s="21" t="s">
        <v>254</v>
      </c>
      <c r="I6" s="22" t="s">
        <v>85</v>
      </c>
      <c r="J6" s="23" t="s">
        <v>253</v>
      </c>
      <c r="K6" s="23" t="s">
        <v>255</v>
      </c>
      <c r="L6" s="22" t="s">
        <v>85</v>
      </c>
      <c r="M6" s="23" t="s">
        <v>253</v>
      </c>
      <c r="N6" s="23" t="s">
        <v>255</v>
      </c>
      <c r="O6" s="22" t="s">
        <v>85</v>
      </c>
      <c r="P6" s="23" t="s">
        <v>253</v>
      </c>
      <c r="Q6" s="23" t="s">
        <v>255</v>
      </c>
      <c r="R6" s="22" t="s">
        <v>85</v>
      </c>
      <c r="S6" s="23" t="s">
        <v>253</v>
      </c>
      <c r="T6" s="23" t="s">
        <v>255</v>
      </c>
      <c r="U6" s="22" t="s">
        <v>85</v>
      </c>
      <c r="V6" s="23" t="s">
        <v>253</v>
      </c>
      <c r="W6" s="23" t="s">
        <v>255</v>
      </c>
    </row>
    <row r="7" spans="1:23" x14ac:dyDescent="0.25">
      <c r="A7" t="str">
        <f>Dados!A29</f>
        <v>express</v>
      </c>
      <c r="B7" s="90">
        <f>Dados!C32</f>
        <v>325100</v>
      </c>
      <c r="C7" s="18">
        <f>((B7*0.015)*0.97)*(5/12)</f>
        <v>1970.91875</v>
      </c>
      <c r="D7" s="19">
        <v>600</v>
      </c>
      <c r="E7" s="19">
        <f>C7+D7</f>
        <v>2570.9187499999998</v>
      </c>
      <c r="F7" s="2">
        <f>(B7*0.015)*0.97</f>
        <v>4730.2049999999999</v>
      </c>
      <c r="G7" s="1">
        <v>150</v>
      </c>
      <c r="H7" s="1">
        <f>F7+G7</f>
        <v>4880.2049999999999</v>
      </c>
      <c r="I7" s="18">
        <f>((B7*0.85)*0.015)*0.97</f>
        <v>4020.6742499999996</v>
      </c>
      <c r="J7" s="19">
        <v>150</v>
      </c>
      <c r="K7" s="19">
        <f>I7+J7</f>
        <v>4170.67425</v>
      </c>
      <c r="L7" s="18">
        <f>(((B7*0.85)*0.85)*0.015)*0.97</f>
        <v>3417.5731124999998</v>
      </c>
      <c r="M7" s="19">
        <v>150</v>
      </c>
      <c r="N7" s="19">
        <f>L7+M7</f>
        <v>3567.5731124999998</v>
      </c>
      <c r="O7" s="18">
        <f>((((B7*0.85)*0.85)*0.85)*0.015)*0.97</f>
        <v>2904.9371456250001</v>
      </c>
      <c r="P7" s="19">
        <v>150</v>
      </c>
      <c r="Q7" s="19">
        <f>O7+P7</f>
        <v>3054.9371456250001</v>
      </c>
      <c r="R7" s="18">
        <f>(((((B7*0.85)*0.85)*0.85)*0.85)*0.015)*0.97</f>
        <v>2469.1965737812502</v>
      </c>
      <c r="S7" s="19">
        <v>150</v>
      </c>
      <c r="T7" s="19">
        <f>R7+S7</f>
        <v>2619.1965737812502</v>
      </c>
      <c r="U7" s="18">
        <f>((((((B7*0.85)*0.85)*0.85)*0.85)*0.85)*0.015)*0.97</f>
        <v>2098.8170877140624</v>
      </c>
      <c r="V7" s="19">
        <v>150</v>
      </c>
      <c r="W7" s="19">
        <f>U7+V7</f>
        <v>2248.8170877140624</v>
      </c>
    </row>
    <row r="8" spans="1:23" x14ac:dyDescent="0.25">
      <c r="B8" s="84"/>
    </row>
  </sheetData>
  <mergeCells count="11">
    <mergeCell ref="R5:T5"/>
    <mergeCell ref="U5:W5"/>
    <mergeCell ref="O5:Q5"/>
    <mergeCell ref="L5:N5"/>
    <mergeCell ref="A1:K1"/>
    <mergeCell ref="I5:K5"/>
    <mergeCell ref="C5:E5"/>
    <mergeCell ref="A3:K3"/>
    <mergeCell ref="A4:K4"/>
    <mergeCell ref="A2:K2"/>
    <mergeCell ref="F5:H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K132"/>
  <sheetViews>
    <sheetView workbookViewId="0">
      <selection activeCell="E9" sqref="E9"/>
    </sheetView>
  </sheetViews>
  <sheetFormatPr defaultColWidth="11" defaultRowHeight="15.75" x14ac:dyDescent="0.25"/>
  <cols>
    <col min="7" max="7" width="21.125" bestFit="1" customWidth="1"/>
    <col min="8" max="8" width="18.375" customWidth="1"/>
    <col min="9" max="9" width="14.875" bestFit="1" customWidth="1"/>
    <col min="11" max="11" width="10.625" bestFit="1" customWidth="1"/>
  </cols>
  <sheetData>
    <row r="8" spans="4:9" x14ac:dyDescent="0.25">
      <c r="E8">
        <v>2.2540000000000001E-2</v>
      </c>
    </row>
    <row r="9" spans="4:9" x14ac:dyDescent="0.25">
      <c r="D9" t="s">
        <v>256</v>
      </c>
      <c r="E9">
        <f>E8*(1-4.3%)</f>
        <v>2.1570780000000001E-2</v>
      </c>
    </row>
    <row r="10" spans="4:9" x14ac:dyDescent="0.25">
      <c r="E10">
        <v>179700</v>
      </c>
      <c r="G10" s="233" t="s">
        <v>257</v>
      </c>
      <c r="H10" s="233"/>
      <c r="I10" s="233"/>
    </row>
    <row r="11" spans="4:9" x14ac:dyDescent="0.25">
      <c r="E11">
        <f>E9*E10</f>
        <v>3876.269166</v>
      </c>
      <c r="I11" t="s">
        <v>258</v>
      </c>
    </row>
    <row r="12" spans="4:9" x14ac:dyDescent="0.25">
      <c r="G12" t="s">
        <v>259</v>
      </c>
      <c r="H12">
        <v>30</v>
      </c>
      <c r="I12" s="182">
        <v>8.0000000000000002E-3</v>
      </c>
    </row>
    <row r="13" spans="4:9" x14ac:dyDescent="0.25">
      <c r="G13" t="s">
        <v>260</v>
      </c>
      <c r="H13">
        <v>1</v>
      </c>
      <c r="I13" s="216">
        <f>I12/30</f>
        <v>2.6666666666666668E-4</v>
      </c>
    </row>
    <row r="15" spans="4:9" x14ac:dyDescent="0.25">
      <c r="G15" t="s">
        <v>261</v>
      </c>
      <c r="H15">
        <v>10</v>
      </c>
      <c r="I15" s="195">
        <v>0</v>
      </c>
    </row>
    <row r="16" spans="4:9" x14ac:dyDescent="0.25">
      <c r="G16" t="s">
        <v>262</v>
      </c>
      <c r="H16">
        <v>90</v>
      </c>
    </row>
    <row r="17" spans="3:11" x14ac:dyDescent="0.25">
      <c r="H17">
        <v>30</v>
      </c>
      <c r="I17" s="182">
        <f>I13*20</f>
        <v>5.333333333333334E-3</v>
      </c>
    </row>
    <row r="18" spans="3:11" x14ac:dyDescent="0.25">
      <c r="H18">
        <v>60</v>
      </c>
      <c r="I18" s="182">
        <f>(I17)+I12</f>
        <v>1.3333333333333334E-2</v>
      </c>
    </row>
    <row r="19" spans="3:11" x14ac:dyDescent="0.25">
      <c r="H19">
        <v>90</v>
      </c>
      <c r="I19" s="182">
        <f>I18+0.8%</f>
        <v>2.1333333333333336E-2</v>
      </c>
    </row>
    <row r="20" spans="3:11" x14ac:dyDescent="0.25">
      <c r="G20" t="s">
        <v>263</v>
      </c>
      <c r="H20">
        <f>H16-H15</f>
        <v>80</v>
      </c>
    </row>
    <row r="25" spans="3:11" x14ac:dyDescent="0.25">
      <c r="C25" t="s">
        <v>264</v>
      </c>
      <c r="D25" t="s">
        <v>265</v>
      </c>
      <c r="E25" s="220">
        <v>1</v>
      </c>
      <c r="F25" s="4">
        <v>79700</v>
      </c>
    </row>
    <row r="26" spans="3:11" x14ac:dyDescent="0.25">
      <c r="C26" t="s">
        <v>266</v>
      </c>
      <c r="D26" t="s">
        <v>267</v>
      </c>
      <c r="E26" t="s">
        <v>268</v>
      </c>
      <c r="F26" t="s">
        <v>269</v>
      </c>
      <c r="G26" t="s">
        <v>270</v>
      </c>
      <c r="H26" t="s">
        <v>271</v>
      </c>
      <c r="I26" t="s">
        <v>272</v>
      </c>
      <c r="J26" t="s">
        <v>273</v>
      </c>
      <c r="K26" t="s">
        <v>274</v>
      </c>
    </row>
    <row r="27" spans="3:11" x14ac:dyDescent="0.25">
      <c r="C27">
        <v>0</v>
      </c>
      <c r="D27" t="s">
        <v>275</v>
      </c>
      <c r="E27" s="4">
        <v>179700</v>
      </c>
      <c r="F27">
        <v>0</v>
      </c>
      <c r="G27">
        <v>0</v>
      </c>
      <c r="H27">
        <v>0</v>
      </c>
      <c r="I27">
        <v>0</v>
      </c>
      <c r="J27" s="4">
        <v>179700</v>
      </c>
      <c r="K27">
        <v>0</v>
      </c>
    </row>
    <row r="28" spans="3:11" x14ac:dyDescent="0.25">
      <c r="C28">
        <v>0</v>
      </c>
      <c r="D28" t="s">
        <v>276</v>
      </c>
      <c r="E28" s="4">
        <v>179700</v>
      </c>
      <c r="F28">
        <v>0</v>
      </c>
      <c r="G28">
        <v>0</v>
      </c>
      <c r="H28">
        <v>0</v>
      </c>
      <c r="I28">
        <v>0</v>
      </c>
      <c r="J28" s="4">
        <v>179700</v>
      </c>
      <c r="K28">
        <v>0</v>
      </c>
    </row>
    <row r="29" spans="3:11" x14ac:dyDescent="0.25">
      <c r="C29">
        <v>0</v>
      </c>
      <c r="D29" t="s">
        <v>277</v>
      </c>
      <c r="E29" s="4">
        <v>179700</v>
      </c>
      <c r="F29">
        <v>0</v>
      </c>
      <c r="G29">
        <v>0</v>
      </c>
      <c r="H29">
        <v>0</v>
      </c>
      <c r="I29">
        <v>0</v>
      </c>
      <c r="J29" s="4">
        <v>179700</v>
      </c>
      <c r="K29">
        <v>0</v>
      </c>
    </row>
    <row r="30" spans="3:11" x14ac:dyDescent="0.25">
      <c r="C30">
        <v>1</v>
      </c>
      <c r="D30" t="s">
        <v>278</v>
      </c>
      <c r="E30" s="4">
        <v>179700</v>
      </c>
      <c r="F30">
        <v>0</v>
      </c>
      <c r="G30" s="4">
        <v>4802.3</v>
      </c>
      <c r="H30" s="4">
        <v>4802</v>
      </c>
      <c r="I30">
        <v>0</v>
      </c>
      <c r="J30" s="4">
        <v>179700</v>
      </c>
      <c r="K30" s="4">
        <v>179700</v>
      </c>
    </row>
    <row r="31" spans="3:11" x14ac:dyDescent="0.25">
      <c r="C31">
        <v>3</v>
      </c>
      <c r="D31" t="s">
        <v>279</v>
      </c>
      <c r="E31" s="4">
        <v>179700</v>
      </c>
      <c r="F31" s="4">
        <v>3327.7</v>
      </c>
      <c r="G31" s="4">
        <v>1561.7</v>
      </c>
      <c r="H31" s="4">
        <v>4889</v>
      </c>
      <c r="I31">
        <v>0</v>
      </c>
      <c r="J31" s="4">
        <v>176372.22</v>
      </c>
      <c r="K31" s="4">
        <v>176372.22</v>
      </c>
    </row>
    <row r="32" spans="3:11" x14ac:dyDescent="0.25">
      <c r="C32">
        <v>4</v>
      </c>
      <c r="D32" t="s">
        <v>280</v>
      </c>
      <c r="E32" s="4">
        <v>176372</v>
      </c>
      <c r="F32" s="4">
        <v>3327.7</v>
      </c>
      <c r="G32" s="4">
        <v>1686.8</v>
      </c>
      <c r="H32" s="4">
        <v>5014</v>
      </c>
      <c r="I32">
        <v>0</v>
      </c>
      <c r="J32" s="4">
        <v>173044.44</v>
      </c>
      <c r="K32" s="4">
        <v>173044.44</v>
      </c>
    </row>
    <row r="33" spans="3:11" x14ac:dyDescent="0.25">
      <c r="C33">
        <v>5</v>
      </c>
      <c r="D33" t="s">
        <v>281</v>
      </c>
      <c r="E33" s="4">
        <v>173044</v>
      </c>
      <c r="F33" s="4">
        <v>3327.7</v>
      </c>
      <c r="G33" s="4">
        <v>1604.4</v>
      </c>
      <c r="H33" s="4">
        <v>4932</v>
      </c>
      <c r="I33">
        <v>0</v>
      </c>
      <c r="J33" s="4">
        <v>169716.66</v>
      </c>
      <c r="K33" s="4">
        <v>169716.66</v>
      </c>
    </row>
    <row r="34" spans="3:11" x14ac:dyDescent="0.25">
      <c r="C34">
        <v>6</v>
      </c>
      <c r="D34" t="s">
        <v>282</v>
      </c>
      <c r="E34" s="4">
        <v>169716</v>
      </c>
      <c r="F34" s="4">
        <v>3327.7</v>
      </c>
      <c r="G34" s="4">
        <v>1475</v>
      </c>
      <c r="H34" s="4">
        <v>4802</v>
      </c>
      <c r="I34">
        <v>0</v>
      </c>
      <c r="J34" s="4">
        <v>166388.88</v>
      </c>
      <c r="K34" s="4">
        <v>166388.88</v>
      </c>
    </row>
    <row r="35" spans="3:11" x14ac:dyDescent="0.25">
      <c r="C35">
        <v>7</v>
      </c>
      <c r="D35" t="s">
        <v>283</v>
      </c>
      <c r="E35" s="4">
        <v>166388</v>
      </c>
      <c r="F35" s="4">
        <v>3327.7</v>
      </c>
      <c r="G35" s="4">
        <v>1639.6</v>
      </c>
      <c r="H35" s="4">
        <v>4967</v>
      </c>
      <c r="I35">
        <v>0</v>
      </c>
      <c r="J35" s="4">
        <v>163061.1</v>
      </c>
      <c r="K35" s="4">
        <v>163061.1</v>
      </c>
    </row>
    <row r="36" spans="3:11" x14ac:dyDescent="0.25">
      <c r="C36">
        <v>8</v>
      </c>
      <c r="D36" t="s">
        <v>284</v>
      </c>
      <c r="E36" s="4">
        <v>163061</v>
      </c>
      <c r="F36" s="4">
        <v>3327.7</v>
      </c>
      <c r="G36" s="4">
        <v>1370</v>
      </c>
      <c r="H36" s="4">
        <v>4697</v>
      </c>
      <c r="I36">
        <v>0</v>
      </c>
      <c r="J36" s="4">
        <v>159733.32</v>
      </c>
      <c r="K36" s="4">
        <v>159733.32</v>
      </c>
    </row>
    <row r="37" spans="3:11" x14ac:dyDescent="0.25">
      <c r="C37">
        <v>10</v>
      </c>
      <c r="D37" t="s">
        <v>277</v>
      </c>
      <c r="E37" s="4">
        <v>156405</v>
      </c>
      <c r="F37" s="4">
        <v>3327.7</v>
      </c>
      <c r="G37" s="4">
        <v>1404.9</v>
      </c>
      <c r="H37" s="4">
        <v>4732</v>
      </c>
      <c r="I37">
        <v>0</v>
      </c>
      <c r="J37" s="4">
        <v>153077.76000000001</v>
      </c>
      <c r="K37" s="4">
        <v>153077.76000000001</v>
      </c>
    </row>
    <row r="38" spans="3:11" x14ac:dyDescent="0.25">
      <c r="C38">
        <v>11</v>
      </c>
      <c r="D38" t="s">
        <v>285</v>
      </c>
      <c r="E38" s="4">
        <v>153077</v>
      </c>
      <c r="F38" s="4">
        <v>3327.7</v>
      </c>
      <c r="G38" s="4">
        <v>1508.4</v>
      </c>
      <c r="H38" s="4">
        <v>4836</v>
      </c>
      <c r="I38">
        <v>0</v>
      </c>
      <c r="J38" s="4">
        <v>149749.98000000001</v>
      </c>
      <c r="K38" s="4">
        <v>149749.98000000001</v>
      </c>
    </row>
    <row r="39" spans="3:11" x14ac:dyDescent="0.25">
      <c r="C39">
        <v>12</v>
      </c>
      <c r="D39" t="s">
        <v>286</v>
      </c>
      <c r="E39" s="4">
        <v>149749</v>
      </c>
      <c r="F39" s="4">
        <v>3327.7</v>
      </c>
      <c r="G39" s="4">
        <v>1301.4000000000001</v>
      </c>
      <c r="H39" s="4">
        <v>4629</v>
      </c>
      <c r="I39">
        <v>0</v>
      </c>
      <c r="J39" s="4">
        <v>146422.20000000001</v>
      </c>
      <c r="K39" s="4">
        <v>146422.20000000001</v>
      </c>
    </row>
    <row r="40" spans="3:11" x14ac:dyDescent="0.25">
      <c r="C40">
        <v>13</v>
      </c>
      <c r="D40" t="s">
        <v>287</v>
      </c>
      <c r="E40" s="4">
        <v>146422</v>
      </c>
      <c r="F40" s="4">
        <v>3327.7</v>
      </c>
      <c r="G40" s="4">
        <v>1442.8</v>
      </c>
      <c r="H40" s="4">
        <v>4770</v>
      </c>
      <c r="I40">
        <v>0</v>
      </c>
      <c r="J40" s="4">
        <v>143094.42000000001</v>
      </c>
      <c r="K40" s="4">
        <v>143094.42000000001</v>
      </c>
    </row>
    <row r="41" spans="3:11" x14ac:dyDescent="0.25">
      <c r="C41">
        <v>14</v>
      </c>
      <c r="D41" t="s">
        <v>288</v>
      </c>
      <c r="E41" s="4">
        <v>143094</v>
      </c>
      <c r="F41" s="4">
        <v>3327.7</v>
      </c>
      <c r="G41" s="4">
        <v>1368.5</v>
      </c>
      <c r="H41" s="4">
        <v>4696</v>
      </c>
      <c r="I41">
        <v>0</v>
      </c>
      <c r="J41" s="4">
        <v>139766.64000000001</v>
      </c>
      <c r="K41" s="4">
        <v>139766.64000000001</v>
      </c>
    </row>
    <row r="42" spans="3:11" x14ac:dyDescent="0.25">
      <c r="C42">
        <v>15</v>
      </c>
      <c r="D42" t="s">
        <v>279</v>
      </c>
      <c r="E42" s="4">
        <v>139766</v>
      </c>
      <c r="F42" s="4">
        <v>3327.7</v>
      </c>
      <c r="G42" s="4">
        <v>1295.9000000000001</v>
      </c>
      <c r="H42" s="4">
        <v>4623</v>
      </c>
      <c r="I42">
        <v>0</v>
      </c>
      <c r="J42" s="4">
        <v>136438.85999999999</v>
      </c>
      <c r="K42" s="4">
        <v>136438.85999999999</v>
      </c>
    </row>
    <row r="43" spans="3:11" x14ac:dyDescent="0.25">
      <c r="C43">
        <v>17</v>
      </c>
      <c r="D43" t="s">
        <v>289</v>
      </c>
      <c r="E43" s="4">
        <v>133111</v>
      </c>
      <c r="F43" s="4">
        <v>3327.7</v>
      </c>
      <c r="G43" s="4">
        <v>1195.7</v>
      </c>
      <c r="H43" s="4">
        <v>4523</v>
      </c>
      <c r="I43">
        <v>0</v>
      </c>
      <c r="J43" s="4">
        <v>129783.3</v>
      </c>
      <c r="K43" s="4">
        <v>129783.3</v>
      </c>
    </row>
    <row r="44" spans="3:11" x14ac:dyDescent="0.25">
      <c r="C44">
        <v>18</v>
      </c>
      <c r="D44" t="s">
        <v>282</v>
      </c>
      <c r="E44" s="4">
        <v>129783</v>
      </c>
      <c r="F44" s="4">
        <v>3327.7</v>
      </c>
      <c r="G44" s="4">
        <v>1165.8</v>
      </c>
      <c r="H44" s="4">
        <v>4493</v>
      </c>
      <c r="I44">
        <v>0</v>
      </c>
      <c r="J44" s="4">
        <v>126455.52</v>
      </c>
      <c r="K44" s="4">
        <v>126455.52</v>
      </c>
    </row>
    <row r="45" spans="3:11" x14ac:dyDescent="0.25">
      <c r="C45">
        <v>19</v>
      </c>
      <c r="D45" t="s">
        <v>290</v>
      </c>
      <c r="E45" s="4">
        <v>126455</v>
      </c>
      <c r="F45" s="4">
        <v>3327.7</v>
      </c>
      <c r="G45" s="4">
        <v>1246</v>
      </c>
      <c r="H45" s="4">
        <v>4573</v>
      </c>
      <c r="I45">
        <v>0</v>
      </c>
      <c r="J45" s="4">
        <v>123127.74</v>
      </c>
      <c r="K45" s="4">
        <v>123127.74</v>
      </c>
    </row>
    <row r="46" spans="3:11" x14ac:dyDescent="0.25">
      <c r="C46">
        <v>20</v>
      </c>
      <c r="D46" t="s">
        <v>291</v>
      </c>
      <c r="E46" s="4">
        <v>123127</v>
      </c>
      <c r="F46" s="4">
        <v>3327.7</v>
      </c>
      <c r="G46" s="4">
        <v>1034.5</v>
      </c>
      <c r="H46" s="4">
        <v>4362</v>
      </c>
      <c r="I46">
        <v>0</v>
      </c>
      <c r="J46" s="4">
        <v>119799.96</v>
      </c>
      <c r="K46" s="4">
        <v>119799.96</v>
      </c>
    </row>
    <row r="47" spans="3:11" x14ac:dyDescent="0.25">
      <c r="C47">
        <v>21</v>
      </c>
      <c r="D47" t="s">
        <v>276</v>
      </c>
      <c r="E47" s="4">
        <v>119799</v>
      </c>
      <c r="F47" s="4">
        <v>3327.7</v>
      </c>
      <c r="G47" s="4">
        <v>1110.7</v>
      </c>
      <c r="H47" s="4">
        <v>4438</v>
      </c>
      <c r="I47">
        <v>0</v>
      </c>
      <c r="J47" s="4">
        <v>116472.18</v>
      </c>
      <c r="K47" s="4">
        <v>116472.18</v>
      </c>
    </row>
    <row r="48" spans="3:11" x14ac:dyDescent="0.25">
      <c r="C48">
        <v>23</v>
      </c>
      <c r="D48" t="s">
        <v>278</v>
      </c>
      <c r="E48" s="4">
        <v>113144</v>
      </c>
      <c r="F48" s="4">
        <v>3327.7</v>
      </c>
      <c r="G48" s="4">
        <v>1016.3</v>
      </c>
      <c r="H48" s="4">
        <v>4344</v>
      </c>
      <c r="I48">
        <v>0</v>
      </c>
      <c r="J48" s="4">
        <v>109816.62</v>
      </c>
      <c r="K48" s="4">
        <v>109816.62</v>
      </c>
    </row>
    <row r="49" spans="3:11" x14ac:dyDescent="0.25">
      <c r="C49">
        <v>24</v>
      </c>
      <c r="D49" t="s">
        <v>286</v>
      </c>
      <c r="E49" s="4">
        <v>109816</v>
      </c>
      <c r="F49" s="4">
        <v>3327.7</v>
      </c>
      <c r="G49" s="4">
        <v>1050.2</v>
      </c>
      <c r="H49" s="4">
        <v>4378</v>
      </c>
      <c r="I49">
        <v>0</v>
      </c>
      <c r="J49" s="4">
        <v>106488.84</v>
      </c>
      <c r="K49" s="4">
        <v>106488.84</v>
      </c>
    </row>
    <row r="50" spans="3:11" x14ac:dyDescent="0.25">
      <c r="C50">
        <v>25</v>
      </c>
      <c r="D50" t="s">
        <v>292</v>
      </c>
      <c r="E50" s="4">
        <v>106488</v>
      </c>
      <c r="F50" s="4">
        <v>3327.7</v>
      </c>
      <c r="G50" s="4">
        <v>1049.3</v>
      </c>
      <c r="H50" s="4">
        <v>4377</v>
      </c>
      <c r="I50">
        <v>0</v>
      </c>
      <c r="J50" s="4">
        <v>103161.06</v>
      </c>
      <c r="K50" s="4">
        <v>103161.06</v>
      </c>
    </row>
    <row r="51" spans="3:11" x14ac:dyDescent="0.25">
      <c r="C51">
        <v>26</v>
      </c>
      <c r="D51" t="s">
        <v>293</v>
      </c>
      <c r="E51" s="4">
        <v>103161</v>
      </c>
      <c r="F51" s="4">
        <v>3327.7</v>
      </c>
      <c r="G51">
        <v>926.7</v>
      </c>
      <c r="H51" s="4">
        <v>4254</v>
      </c>
      <c r="I51">
        <v>0</v>
      </c>
      <c r="J51" s="4">
        <v>99833.279999999999</v>
      </c>
      <c r="K51" s="4">
        <v>99833.279999999999</v>
      </c>
    </row>
    <row r="52" spans="3:11" x14ac:dyDescent="0.25">
      <c r="C52">
        <v>27</v>
      </c>
      <c r="D52" t="s">
        <v>279</v>
      </c>
      <c r="E52" s="4">
        <v>99833</v>
      </c>
      <c r="F52" s="4">
        <v>3327.7</v>
      </c>
      <c r="G52">
        <v>925.6</v>
      </c>
      <c r="H52" s="4">
        <v>4253</v>
      </c>
      <c r="I52">
        <v>0</v>
      </c>
      <c r="J52" s="4">
        <v>96505.5</v>
      </c>
      <c r="K52" s="4">
        <v>96505.5</v>
      </c>
    </row>
    <row r="53" spans="3:11" x14ac:dyDescent="0.25">
      <c r="C53">
        <v>28</v>
      </c>
      <c r="D53" t="s">
        <v>280</v>
      </c>
      <c r="E53" s="4">
        <v>96505</v>
      </c>
      <c r="F53" s="4">
        <v>3327.7</v>
      </c>
      <c r="G53">
        <v>894.8</v>
      </c>
      <c r="H53" s="4">
        <v>4222</v>
      </c>
      <c r="I53">
        <v>0</v>
      </c>
      <c r="J53" s="4">
        <v>93177.72</v>
      </c>
      <c r="K53" s="4">
        <v>93177.72</v>
      </c>
    </row>
    <row r="54" spans="3:11" x14ac:dyDescent="0.25">
      <c r="C54">
        <v>30</v>
      </c>
      <c r="D54" t="s">
        <v>282</v>
      </c>
      <c r="E54" s="4">
        <v>89849</v>
      </c>
      <c r="F54" s="4">
        <v>3327.7</v>
      </c>
      <c r="G54">
        <v>833</v>
      </c>
      <c r="H54" s="4">
        <v>4160</v>
      </c>
      <c r="I54">
        <v>0</v>
      </c>
      <c r="J54" s="4">
        <v>86522.16</v>
      </c>
      <c r="K54" s="4">
        <v>86522.16</v>
      </c>
    </row>
    <row r="55" spans="3:11" x14ac:dyDescent="0.25">
      <c r="C55">
        <v>31</v>
      </c>
      <c r="D55" t="s">
        <v>290</v>
      </c>
      <c r="E55" s="4">
        <v>86522</v>
      </c>
      <c r="F55" s="4">
        <v>3327.7</v>
      </c>
      <c r="G55">
        <v>802.2</v>
      </c>
      <c r="H55" s="4">
        <v>4130</v>
      </c>
      <c r="I55">
        <v>0</v>
      </c>
      <c r="J55" s="4">
        <v>83194.38</v>
      </c>
      <c r="K55" s="4">
        <v>83194.38</v>
      </c>
    </row>
    <row r="56" spans="3:11" x14ac:dyDescent="0.25">
      <c r="C56">
        <v>32</v>
      </c>
      <c r="D56" t="s">
        <v>284</v>
      </c>
      <c r="E56" s="4">
        <v>83194</v>
      </c>
      <c r="F56" s="4">
        <v>3327.7</v>
      </c>
      <c r="G56">
        <v>699</v>
      </c>
      <c r="H56" s="4">
        <v>4026</v>
      </c>
      <c r="I56">
        <v>0</v>
      </c>
      <c r="J56" s="4">
        <v>79866.600000000006</v>
      </c>
      <c r="K56" s="4">
        <v>79866.600000000006</v>
      </c>
    </row>
    <row r="57" spans="3:11" x14ac:dyDescent="0.25">
      <c r="C57">
        <v>33</v>
      </c>
      <c r="D57" t="s">
        <v>276</v>
      </c>
      <c r="E57" s="4">
        <v>79866</v>
      </c>
      <c r="F57" s="4">
        <v>3327.7</v>
      </c>
      <c r="G57">
        <v>763.8</v>
      </c>
      <c r="H57" s="4">
        <v>4091</v>
      </c>
      <c r="I57">
        <v>0</v>
      </c>
      <c r="J57" s="4">
        <v>76538.820000000007</v>
      </c>
      <c r="K57" s="4">
        <v>76538.820000000007</v>
      </c>
    </row>
    <row r="58" spans="3:11" x14ac:dyDescent="0.25">
      <c r="C58">
        <v>34</v>
      </c>
      <c r="D58" t="s">
        <v>294</v>
      </c>
      <c r="E58" s="4">
        <v>76538</v>
      </c>
      <c r="F58" s="4">
        <v>3327.7</v>
      </c>
      <c r="G58">
        <v>709.6</v>
      </c>
      <c r="H58" s="4">
        <v>4037</v>
      </c>
      <c r="I58">
        <v>0</v>
      </c>
      <c r="J58" s="4">
        <v>73211.039999999994</v>
      </c>
      <c r="K58" s="4">
        <v>73211.039999999994</v>
      </c>
    </row>
    <row r="59" spans="3:11" x14ac:dyDescent="0.25">
      <c r="C59">
        <v>35</v>
      </c>
      <c r="D59" t="s">
        <v>278</v>
      </c>
      <c r="E59" s="4">
        <v>73211</v>
      </c>
      <c r="F59" s="4">
        <v>3327.7</v>
      </c>
      <c r="G59">
        <v>657.6</v>
      </c>
      <c r="H59" s="4">
        <v>3985</v>
      </c>
      <c r="I59">
        <v>0</v>
      </c>
      <c r="J59" s="4">
        <v>69883.259999999995</v>
      </c>
      <c r="K59" s="4">
        <v>69883.259999999995</v>
      </c>
    </row>
    <row r="60" spans="3:11" x14ac:dyDescent="0.25">
      <c r="C60">
        <v>37</v>
      </c>
      <c r="D60" t="s">
        <v>295</v>
      </c>
      <c r="E60" s="4">
        <v>66555</v>
      </c>
      <c r="F60" s="4">
        <v>3327.7</v>
      </c>
      <c r="G60">
        <v>636.5</v>
      </c>
      <c r="H60" s="4">
        <v>3964</v>
      </c>
      <c r="I60">
        <v>0</v>
      </c>
      <c r="J60" s="4">
        <v>63227.7</v>
      </c>
      <c r="K60" s="4">
        <v>63227.7</v>
      </c>
    </row>
    <row r="61" spans="3:11" x14ac:dyDescent="0.25">
      <c r="C61">
        <v>38</v>
      </c>
      <c r="D61" t="s">
        <v>293</v>
      </c>
      <c r="E61" s="4">
        <v>63227</v>
      </c>
      <c r="F61" s="4">
        <v>3327.7</v>
      </c>
      <c r="G61">
        <v>586.20000000000005</v>
      </c>
      <c r="H61" s="4">
        <v>3914</v>
      </c>
      <c r="I61">
        <v>0</v>
      </c>
      <c r="J61" s="4">
        <v>59899.92</v>
      </c>
      <c r="K61" s="4">
        <v>59899.92</v>
      </c>
    </row>
    <row r="62" spans="3:11" x14ac:dyDescent="0.25">
      <c r="C62">
        <v>39</v>
      </c>
      <c r="D62" t="s">
        <v>279</v>
      </c>
      <c r="E62" s="4">
        <v>59899</v>
      </c>
      <c r="F62" s="4">
        <v>3327.7</v>
      </c>
      <c r="G62">
        <v>555.29999999999995</v>
      </c>
      <c r="H62" s="4">
        <v>3883</v>
      </c>
      <c r="I62">
        <v>0</v>
      </c>
      <c r="J62" s="4">
        <v>56572.14</v>
      </c>
      <c r="K62" s="4">
        <v>56572.14</v>
      </c>
    </row>
    <row r="63" spans="3:11" x14ac:dyDescent="0.25">
      <c r="C63">
        <v>40</v>
      </c>
      <c r="D63" t="s">
        <v>280</v>
      </c>
      <c r="E63" s="4">
        <v>56572</v>
      </c>
      <c r="F63" s="4">
        <v>3327.7</v>
      </c>
      <c r="G63">
        <v>508.1</v>
      </c>
      <c r="H63" s="4">
        <v>3835</v>
      </c>
      <c r="I63">
        <v>0</v>
      </c>
      <c r="J63" s="4">
        <v>53244.36</v>
      </c>
      <c r="K63" s="4">
        <v>53244.36</v>
      </c>
    </row>
    <row r="64" spans="3:11" x14ac:dyDescent="0.25">
      <c r="C64">
        <v>41</v>
      </c>
      <c r="D64" t="s">
        <v>296</v>
      </c>
      <c r="E64" s="4">
        <v>53244</v>
      </c>
      <c r="F64" s="4">
        <v>3327.7</v>
      </c>
      <c r="G64">
        <v>493.6</v>
      </c>
      <c r="H64" s="4">
        <v>3821</v>
      </c>
      <c r="I64">
        <v>0</v>
      </c>
      <c r="J64" s="4">
        <v>49916.58</v>
      </c>
      <c r="K64" s="4">
        <v>49916.58</v>
      </c>
    </row>
    <row r="65" spans="3:11" x14ac:dyDescent="0.25">
      <c r="C65">
        <v>43</v>
      </c>
      <c r="D65" t="s">
        <v>283</v>
      </c>
      <c r="E65" s="4">
        <v>46588</v>
      </c>
      <c r="F65" s="4">
        <v>3327.7</v>
      </c>
      <c r="G65">
        <v>431.9</v>
      </c>
      <c r="H65" s="4">
        <v>3759</v>
      </c>
      <c r="I65">
        <v>0</v>
      </c>
      <c r="J65" s="4">
        <v>43261.02</v>
      </c>
      <c r="K65" s="4">
        <v>43261.02</v>
      </c>
    </row>
    <row r="66" spans="3:11" x14ac:dyDescent="0.25">
      <c r="C66">
        <v>44</v>
      </c>
      <c r="D66" t="s">
        <v>284</v>
      </c>
      <c r="E66" s="4">
        <v>43261</v>
      </c>
      <c r="F66" s="4">
        <v>3327.7</v>
      </c>
      <c r="G66">
        <v>363.4</v>
      </c>
      <c r="H66" s="4">
        <v>3691</v>
      </c>
      <c r="I66">
        <v>0</v>
      </c>
      <c r="J66" s="4">
        <v>39933.24</v>
      </c>
      <c r="K66" s="4">
        <v>39933.24</v>
      </c>
    </row>
    <row r="67" spans="3:11" x14ac:dyDescent="0.25">
      <c r="C67">
        <v>45</v>
      </c>
      <c r="D67" t="s">
        <v>297</v>
      </c>
      <c r="E67" s="4">
        <v>39933</v>
      </c>
      <c r="F67" s="4">
        <v>3327.7</v>
      </c>
      <c r="G67">
        <v>393.5</v>
      </c>
      <c r="H67" s="4">
        <v>3721</v>
      </c>
      <c r="I67">
        <v>0</v>
      </c>
      <c r="J67" s="4">
        <v>36605.46</v>
      </c>
      <c r="K67" s="4">
        <v>36605.46</v>
      </c>
    </row>
    <row r="68" spans="3:11" x14ac:dyDescent="0.25">
      <c r="C68">
        <v>46</v>
      </c>
      <c r="D68" t="s">
        <v>298</v>
      </c>
      <c r="E68" s="4">
        <v>36605</v>
      </c>
      <c r="F68" s="4">
        <v>3327.7</v>
      </c>
      <c r="G68">
        <v>318.10000000000002</v>
      </c>
      <c r="H68" s="4">
        <v>3645</v>
      </c>
      <c r="I68">
        <v>0</v>
      </c>
      <c r="J68" s="4">
        <v>33277.68</v>
      </c>
      <c r="K68" s="4">
        <v>33277.68</v>
      </c>
    </row>
    <row r="69" spans="3:11" x14ac:dyDescent="0.25">
      <c r="C69">
        <v>47</v>
      </c>
      <c r="D69" t="s">
        <v>278</v>
      </c>
      <c r="E69" s="4">
        <v>33277</v>
      </c>
      <c r="F69" s="4">
        <v>3327.7</v>
      </c>
      <c r="G69">
        <v>318.2</v>
      </c>
      <c r="H69" s="4">
        <v>3646</v>
      </c>
      <c r="I69">
        <v>0</v>
      </c>
      <c r="J69" s="4">
        <v>29949.9</v>
      </c>
      <c r="K69" s="4">
        <v>29949.9</v>
      </c>
    </row>
    <row r="70" spans="3:11" x14ac:dyDescent="0.25">
      <c r="C70">
        <v>48</v>
      </c>
      <c r="D70" t="s">
        <v>286</v>
      </c>
      <c r="E70" s="4">
        <v>29949</v>
      </c>
      <c r="F70" s="4">
        <v>3327.7</v>
      </c>
      <c r="G70">
        <v>277.7</v>
      </c>
      <c r="H70" s="4">
        <v>3605</v>
      </c>
      <c r="I70">
        <v>0</v>
      </c>
      <c r="J70" s="4">
        <v>26622.12</v>
      </c>
      <c r="K70" s="4">
        <v>26622.12</v>
      </c>
    </row>
    <row r="71" spans="3:11" x14ac:dyDescent="0.25">
      <c r="C71">
        <v>50</v>
      </c>
      <c r="D71" t="s">
        <v>293</v>
      </c>
      <c r="E71" s="4">
        <v>23294</v>
      </c>
      <c r="F71" s="4">
        <v>3327.7</v>
      </c>
      <c r="G71">
        <v>222.7</v>
      </c>
      <c r="H71" s="4">
        <v>3550</v>
      </c>
      <c r="I71">
        <v>0</v>
      </c>
      <c r="J71" s="4">
        <v>19966.560000000001</v>
      </c>
      <c r="K71" s="4">
        <v>19966.560000000001</v>
      </c>
    </row>
    <row r="72" spans="3:11" x14ac:dyDescent="0.25">
      <c r="C72">
        <v>51</v>
      </c>
      <c r="D72" t="s">
        <v>299</v>
      </c>
      <c r="E72" s="4">
        <v>19966</v>
      </c>
      <c r="F72" s="4">
        <v>3327.7</v>
      </c>
      <c r="G72">
        <v>185.1</v>
      </c>
      <c r="H72" s="4">
        <v>3512</v>
      </c>
      <c r="I72">
        <v>0</v>
      </c>
      <c r="J72" s="4">
        <v>16638.78</v>
      </c>
      <c r="K72" s="4">
        <v>16638.78</v>
      </c>
    </row>
    <row r="73" spans="3:11" x14ac:dyDescent="0.25">
      <c r="C73">
        <v>52</v>
      </c>
      <c r="D73" t="s">
        <v>280</v>
      </c>
      <c r="E73" s="4">
        <v>16638</v>
      </c>
      <c r="F73" s="4">
        <v>3327.7</v>
      </c>
      <c r="G73">
        <v>149.4</v>
      </c>
      <c r="H73" s="4">
        <v>3477</v>
      </c>
      <c r="I73">
        <v>0</v>
      </c>
      <c r="J73" s="4">
        <v>13311</v>
      </c>
      <c r="K73" s="4">
        <v>13311</v>
      </c>
    </row>
    <row r="74" spans="3:11" x14ac:dyDescent="0.25">
      <c r="C74">
        <v>53</v>
      </c>
      <c r="D74" t="s">
        <v>296</v>
      </c>
      <c r="E74" s="4">
        <v>13311</v>
      </c>
      <c r="F74" s="4">
        <v>3327.7</v>
      </c>
      <c r="G74">
        <v>123.4</v>
      </c>
      <c r="H74" s="4">
        <v>3451</v>
      </c>
      <c r="I74">
        <v>0</v>
      </c>
      <c r="J74" s="4">
        <v>9983.2199999999993</v>
      </c>
      <c r="K74" s="4">
        <v>9983.2199999999993</v>
      </c>
    </row>
    <row r="75" spans="3:11" x14ac:dyDescent="0.25">
      <c r="C75">
        <v>54</v>
      </c>
      <c r="D75" t="s">
        <v>300</v>
      </c>
      <c r="E75" s="4">
        <v>9983</v>
      </c>
      <c r="F75" s="4">
        <v>3327.7</v>
      </c>
      <c r="G75">
        <v>95.4</v>
      </c>
      <c r="H75" s="4">
        <v>3423</v>
      </c>
      <c r="I75">
        <v>0</v>
      </c>
      <c r="J75" s="4">
        <v>6655.44</v>
      </c>
      <c r="K75" s="4">
        <v>6655.44</v>
      </c>
    </row>
    <row r="76" spans="3:11" x14ac:dyDescent="0.25">
      <c r="C76">
        <v>55</v>
      </c>
      <c r="D76" t="s">
        <v>283</v>
      </c>
      <c r="E76" s="4">
        <v>6655</v>
      </c>
      <c r="F76" s="4">
        <v>3327.7</v>
      </c>
      <c r="G76">
        <v>63.6</v>
      </c>
      <c r="H76" s="4">
        <v>3391</v>
      </c>
      <c r="I76">
        <v>0</v>
      </c>
      <c r="J76" s="4">
        <v>3327.66</v>
      </c>
      <c r="K76" s="4">
        <v>3327.66</v>
      </c>
    </row>
    <row r="77" spans="3:11" x14ac:dyDescent="0.25">
      <c r="C77" t="s">
        <v>301</v>
      </c>
      <c r="D77" t="s">
        <v>302</v>
      </c>
      <c r="E77" s="4">
        <v>3327</v>
      </c>
      <c r="F77" s="4">
        <v>179700</v>
      </c>
      <c r="G77" s="4">
        <v>55589.5</v>
      </c>
      <c r="H77" s="4">
        <v>235289</v>
      </c>
      <c r="I77">
        <v>0</v>
      </c>
      <c r="J77">
        <v>0</v>
      </c>
      <c r="K77">
        <v>0</v>
      </c>
    </row>
    <row r="83" spans="3:11" x14ac:dyDescent="0.25">
      <c r="C83">
        <v>0</v>
      </c>
      <c r="D83" t="s">
        <v>275</v>
      </c>
      <c r="E83" s="4">
        <v>179700</v>
      </c>
      <c r="F83">
        <v>0</v>
      </c>
      <c r="G83">
        <v>0</v>
      </c>
      <c r="H83">
        <v>0</v>
      </c>
      <c r="I83">
        <v>0</v>
      </c>
      <c r="J83" s="4">
        <v>179700</v>
      </c>
      <c r="K83">
        <v>0</v>
      </c>
    </row>
    <row r="84" spans="3:11" x14ac:dyDescent="0.25">
      <c r="C84">
        <v>0</v>
      </c>
      <c r="D84" t="s">
        <v>276</v>
      </c>
      <c r="E84" s="4">
        <v>179700</v>
      </c>
      <c r="F84">
        <v>0</v>
      </c>
      <c r="G84">
        <v>0</v>
      </c>
      <c r="H84">
        <v>0</v>
      </c>
      <c r="I84">
        <v>0</v>
      </c>
      <c r="J84" s="4">
        <v>179700</v>
      </c>
      <c r="K84">
        <v>0</v>
      </c>
    </row>
    <row r="85" spans="3:11" x14ac:dyDescent="0.25">
      <c r="C85">
        <v>0</v>
      </c>
      <c r="D85" t="s">
        <v>277</v>
      </c>
      <c r="E85" s="4">
        <v>179700</v>
      </c>
      <c r="F85">
        <v>0</v>
      </c>
      <c r="G85">
        <v>0</v>
      </c>
      <c r="H85">
        <v>0</v>
      </c>
      <c r="I85">
        <v>0</v>
      </c>
      <c r="J85" s="4">
        <v>179700</v>
      </c>
      <c r="K85">
        <v>0</v>
      </c>
    </row>
    <row r="86" spans="3:11" x14ac:dyDescent="0.25">
      <c r="C86">
        <v>1</v>
      </c>
      <c r="D86" t="s">
        <v>278</v>
      </c>
      <c r="E86" s="4">
        <v>179700</v>
      </c>
      <c r="F86">
        <v>0</v>
      </c>
      <c r="G86" s="4">
        <v>4802.3</v>
      </c>
      <c r="H86" s="4">
        <v>4802</v>
      </c>
      <c r="I86">
        <v>0</v>
      </c>
      <c r="J86" s="4">
        <v>179700</v>
      </c>
      <c r="K86" s="4">
        <v>179700</v>
      </c>
    </row>
    <row r="87" spans="3:11" x14ac:dyDescent="0.25">
      <c r="C87">
        <v>3</v>
      </c>
      <c r="D87" t="s">
        <v>279</v>
      </c>
      <c r="E87" s="4">
        <v>179700</v>
      </c>
      <c r="F87" s="4">
        <v>3327.7</v>
      </c>
      <c r="G87" s="4">
        <v>1561.7</v>
      </c>
      <c r="H87" s="4">
        <v>4889</v>
      </c>
      <c r="I87">
        <v>0</v>
      </c>
      <c r="J87" s="4">
        <v>176372.22</v>
      </c>
      <c r="K87" s="4">
        <v>176372.22</v>
      </c>
    </row>
    <row r="88" spans="3:11" x14ac:dyDescent="0.25">
      <c r="C88">
        <v>4</v>
      </c>
      <c r="D88" t="s">
        <v>280</v>
      </c>
      <c r="E88" s="4">
        <v>176372</v>
      </c>
      <c r="F88" s="4">
        <v>3327.7</v>
      </c>
      <c r="G88" s="4">
        <v>1686.8</v>
      </c>
      <c r="H88" s="4">
        <v>5014</v>
      </c>
      <c r="I88">
        <v>0</v>
      </c>
      <c r="J88" s="4">
        <v>173044.44</v>
      </c>
      <c r="K88" s="4">
        <v>173044.44</v>
      </c>
    </row>
    <row r="89" spans="3:11" x14ac:dyDescent="0.25">
      <c r="C89">
        <v>5</v>
      </c>
      <c r="D89" t="s">
        <v>281</v>
      </c>
      <c r="E89" s="4">
        <v>173044</v>
      </c>
      <c r="F89" s="4">
        <v>3327.7</v>
      </c>
      <c r="G89" s="4">
        <v>1604.4</v>
      </c>
      <c r="H89" s="4">
        <v>4932</v>
      </c>
      <c r="I89">
        <v>0</v>
      </c>
      <c r="J89" s="4">
        <v>169716.66</v>
      </c>
      <c r="K89" s="4">
        <v>169716.66</v>
      </c>
    </row>
    <row r="90" spans="3:11" x14ac:dyDescent="0.25">
      <c r="C90">
        <v>6</v>
      </c>
      <c r="D90" t="s">
        <v>282</v>
      </c>
      <c r="E90" s="4">
        <v>169716</v>
      </c>
      <c r="F90" s="4">
        <v>3327.7</v>
      </c>
      <c r="G90" s="4">
        <v>1475</v>
      </c>
      <c r="H90" s="4">
        <v>4802</v>
      </c>
      <c r="I90">
        <v>0</v>
      </c>
      <c r="J90" s="4">
        <v>166388.88</v>
      </c>
      <c r="K90" s="4">
        <v>166388.88</v>
      </c>
    </row>
    <row r="91" spans="3:11" x14ac:dyDescent="0.25">
      <c r="C91">
        <v>7</v>
      </c>
      <c r="D91" t="s">
        <v>283</v>
      </c>
      <c r="E91" s="4">
        <v>166388</v>
      </c>
      <c r="F91" s="4">
        <v>3327.7</v>
      </c>
      <c r="G91" s="4">
        <v>1639.6</v>
      </c>
      <c r="H91" s="4">
        <v>4967</v>
      </c>
      <c r="I91">
        <v>0</v>
      </c>
      <c r="J91" s="4">
        <v>163061.1</v>
      </c>
      <c r="K91" s="4">
        <v>163061.1</v>
      </c>
    </row>
    <row r="92" spans="3:11" x14ac:dyDescent="0.25">
      <c r="C92">
        <v>8</v>
      </c>
      <c r="D92" t="s">
        <v>284</v>
      </c>
      <c r="E92" s="4">
        <v>163061</v>
      </c>
      <c r="F92" s="4">
        <v>3327.7</v>
      </c>
      <c r="G92" s="4">
        <v>1370</v>
      </c>
      <c r="H92" s="4">
        <v>4697</v>
      </c>
      <c r="I92">
        <v>0</v>
      </c>
      <c r="J92" s="4">
        <v>159733.32</v>
      </c>
      <c r="K92" s="4">
        <v>159733.32</v>
      </c>
    </row>
    <row r="93" spans="3:11" x14ac:dyDescent="0.25">
      <c r="C93">
        <v>10</v>
      </c>
      <c r="D93" t="s">
        <v>277</v>
      </c>
      <c r="E93" s="4">
        <v>156405</v>
      </c>
      <c r="F93" s="4">
        <v>3327.7</v>
      </c>
      <c r="G93" s="4">
        <v>1404.9</v>
      </c>
      <c r="H93" s="4">
        <v>4732</v>
      </c>
      <c r="I93">
        <v>0</v>
      </c>
      <c r="J93" s="4">
        <v>153077.76000000001</v>
      </c>
      <c r="K93" s="4">
        <v>153077.76000000001</v>
      </c>
    </row>
    <row r="94" spans="3:11" x14ac:dyDescent="0.25">
      <c r="C94">
        <v>11</v>
      </c>
      <c r="D94" t="s">
        <v>285</v>
      </c>
      <c r="E94" s="4">
        <v>153077</v>
      </c>
      <c r="F94" s="4">
        <v>3327.7</v>
      </c>
      <c r="G94" s="4">
        <v>1508.4</v>
      </c>
      <c r="H94" s="4">
        <v>4836</v>
      </c>
      <c r="I94">
        <v>0</v>
      </c>
      <c r="J94" s="4">
        <v>149749.98000000001</v>
      </c>
      <c r="K94" s="4">
        <v>149749.98000000001</v>
      </c>
    </row>
    <row r="95" spans="3:11" x14ac:dyDescent="0.25">
      <c r="C95">
        <v>12</v>
      </c>
      <c r="D95" t="s">
        <v>286</v>
      </c>
      <c r="E95" s="4">
        <v>149749</v>
      </c>
      <c r="F95" s="4">
        <v>3327.7</v>
      </c>
      <c r="G95" s="4">
        <v>1301.4000000000001</v>
      </c>
      <c r="H95" s="4">
        <v>4629</v>
      </c>
      <c r="I95">
        <v>0</v>
      </c>
      <c r="J95" s="4">
        <v>146422.20000000001</v>
      </c>
      <c r="K95" s="4">
        <v>146422.20000000001</v>
      </c>
    </row>
    <row r="96" spans="3:11" x14ac:dyDescent="0.25">
      <c r="C96">
        <v>13</v>
      </c>
      <c r="D96" t="s">
        <v>287</v>
      </c>
      <c r="E96" s="4">
        <v>146422</v>
      </c>
      <c r="F96" s="4">
        <v>3327.7</v>
      </c>
      <c r="G96" s="4">
        <v>1442.8</v>
      </c>
      <c r="H96" s="4">
        <v>4770</v>
      </c>
      <c r="I96">
        <v>0</v>
      </c>
      <c r="J96" s="4">
        <v>143094.42000000001</v>
      </c>
      <c r="K96" s="4">
        <v>143094.42000000001</v>
      </c>
    </row>
    <row r="97" spans="3:11" x14ac:dyDescent="0.25">
      <c r="C97">
        <v>14</v>
      </c>
      <c r="D97" t="s">
        <v>288</v>
      </c>
      <c r="E97" s="4">
        <v>143094</v>
      </c>
      <c r="F97" s="4">
        <v>3327.7</v>
      </c>
      <c r="G97" s="4">
        <v>1368.5</v>
      </c>
      <c r="H97" s="4">
        <v>4696</v>
      </c>
      <c r="I97">
        <v>0</v>
      </c>
      <c r="J97" s="4">
        <v>139766.64000000001</v>
      </c>
      <c r="K97" s="4">
        <v>139766.64000000001</v>
      </c>
    </row>
    <row r="98" spans="3:11" x14ac:dyDescent="0.25">
      <c r="C98">
        <v>15</v>
      </c>
      <c r="D98" t="s">
        <v>279</v>
      </c>
      <c r="E98" s="4">
        <v>139766</v>
      </c>
      <c r="F98" s="4">
        <v>3327.7</v>
      </c>
      <c r="G98" s="4">
        <v>1295.9000000000001</v>
      </c>
      <c r="H98" s="4">
        <v>4623</v>
      </c>
      <c r="I98">
        <v>0</v>
      </c>
      <c r="J98" s="4">
        <v>136438.85999999999</v>
      </c>
      <c r="K98" s="4">
        <v>136438.85999999999</v>
      </c>
    </row>
    <row r="99" spans="3:11" x14ac:dyDescent="0.25">
      <c r="C99">
        <v>17</v>
      </c>
      <c r="D99" t="s">
        <v>289</v>
      </c>
      <c r="E99" s="4">
        <v>133111</v>
      </c>
      <c r="F99" s="4">
        <v>3327.7</v>
      </c>
      <c r="G99" s="4">
        <v>1195.7</v>
      </c>
      <c r="H99" s="4">
        <v>4523</v>
      </c>
      <c r="I99">
        <v>0</v>
      </c>
      <c r="J99" s="4">
        <v>129783.3</v>
      </c>
      <c r="K99" s="4">
        <v>129783.3</v>
      </c>
    </row>
    <row r="100" spans="3:11" x14ac:dyDescent="0.25">
      <c r="C100">
        <v>18</v>
      </c>
      <c r="D100" t="s">
        <v>282</v>
      </c>
      <c r="E100" s="4">
        <v>129783</v>
      </c>
      <c r="F100" s="4">
        <v>3327.7</v>
      </c>
      <c r="G100" s="4">
        <v>1165.8</v>
      </c>
      <c r="H100" s="4">
        <v>4493</v>
      </c>
      <c r="I100">
        <v>0</v>
      </c>
      <c r="J100" s="4">
        <v>126455.52</v>
      </c>
      <c r="K100" s="4">
        <v>126455.52</v>
      </c>
    </row>
    <row r="101" spans="3:11" x14ac:dyDescent="0.25">
      <c r="C101">
        <v>19</v>
      </c>
      <c r="D101" t="s">
        <v>290</v>
      </c>
      <c r="E101" s="4">
        <v>126455</v>
      </c>
      <c r="F101" s="4">
        <v>3327.7</v>
      </c>
      <c r="G101" s="4">
        <v>1246</v>
      </c>
      <c r="H101" s="4">
        <v>4573</v>
      </c>
      <c r="I101">
        <v>0</v>
      </c>
      <c r="J101" s="4">
        <v>123127.74</v>
      </c>
      <c r="K101" s="4">
        <v>123127.74</v>
      </c>
    </row>
    <row r="102" spans="3:11" x14ac:dyDescent="0.25">
      <c r="C102">
        <v>20</v>
      </c>
      <c r="D102" t="s">
        <v>291</v>
      </c>
      <c r="E102" s="4">
        <v>123127</v>
      </c>
      <c r="F102" s="4">
        <v>3327.7</v>
      </c>
      <c r="G102" s="4">
        <v>1034.5</v>
      </c>
      <c r="H102" s="4">
        <v>4362</v>
      </c>
      <c r="I102">
        <v>0</v>
      </c>
      <c r="J102" s="4">
        <v>119799.96</v>
      </c>
      <c r="K102" s="4">
        <v>119799.96</v>
      </c>
    </row>
    <row r="103" spans="3:11" x14ac:dyDescent="0.25">
      <c r="C103">
        <v>21</v>
      </c>
      <c r="D103" t="s">
        <v>276</v>
      </c>
      <c r="E103" s="4">
        <v>119799</v>
      </c>
      <c r="F103" s="4">
        <v>3327.7</v>
      </c>
      <c r="G103" s="4">
        <v>1110.7</v>
      </c>
      <c r="H103" s="4">
        <v>4438</v>
      </c>
      <c r="I103">
        <v>0</v>
      </c>
      <c r="J103" s="4">
        <v>116472.18</v>
      </c>
      <c r="K103" s="4">
        <v>116472.18</v>
      </c>
    </row>
    <row r="104" spans="3:11" x14ac:dyDescent="0.25">
      <c r="C104">
        <v>23</v>
      </c>
      <c r="D104" t="s">
        <v>278</v>
      </c>
      <c r="E104" s="4">
        <v>113144</v>
      </c>
      <c r="F104" s="4">
        <v>3327.7</v>
      </c>
      <c r="G104" s="4">
        <v>1016.3</v>
      </c>
      <c r="H104" s="4">
        <v>4344</v>
      </c>
      <c r="I104">
        <v>0</v>
      </c>
      <c r="J104" s="4">
        <v>109816.62</v>
      </c>
      <c r="K104" s="4">
        <v>109816.62</v>
      </c>
    </row>
    <row r="105" spans="3:11" x14ac:dyDescent="0.25">
      <c r="C105">
        <v>24</v>
      </c>
      <c r="D105" t="s">
        <v>286</v>
      </c>
      <c r="E105" s="4">
        <v>109816</v>
      </c>
      <c r="F105" s="4">
        <v>3327.7</v>
      </c>
      <c r="G105" s="4">
        <v>1050.2</v>
      </c>
      <c r="H105" s="4">
        <v>4378</v>
      </c>
      <c r="I105">
        <v>0</v>
      </c>
      <c r="J105" s="4">
        <v>106488.84</v>
      </c>
      <c r="K105" s="4">
        <v>106488.84</v>
      </c>
    </row>
    <row r="106" spans="3:11" x14ac:dyDescent="0.25">
      <c r="C106">
        <v>25</v>
      </c>
      <c r="D106" t="s">
        <v>292</v>
      </c>
      <c r="E106" s="4">
        <v>106488</v>
      </c>
      <c r="F106" s="4">
        <v>3327.7</v>
      </c>
      <c r="G106" s="4">
        <v>1049.3</v>
      </c>
      <c r="H106" s="4">
        <v>4377</v>
      </c>
      <c r="I106">
        <v>0</v>
      </c>
      <c r="J106" s="4">
        <v>103161.06</v>
      </c>
      <c r="K106" s="4">
        <v>103161.06</v>
      </c>
    </row>
    <row r="107" spans="3:11" x14ac:dyDescent="0.25">
      <c r="C107">
        <v>26</v>
      </c>
      <c r="D107" t="s">
        <v>293</v>
      </c>
      <c r="E107" s="4">
        <v>103161</v>
      </c>
      <c r="F107" s="4">
        <v>3327.7</v>
      </c>
      <c r="G107">
        <v>926.7</v>
      </c>
      <c r="H107" s="4">
        <v>4254</v>
      </c>
      <c r="I107">
        <v>0</v>
      </c>
      <c r="J107" s="4">
        <v>99833.279999999999</v>
      </c>
      <c r="K107" s="4">
        <v>99833.279999999999</v>
      </c>
    </row>
    <row r="108" spans="3:11" x14ac:dyDescent="0.25">
      <c r="C108">
        <v>27</v>
      </c>
      <c r="D108" t="s">
        <v>279</v>
      </c>
      <c r="E108" s="4">
        <v>99833</v>
      </c>
      <c r="F108" s="4">
        <v>3327.7</v>
      </c>
      <c r="G108">
        <v>925.6</v>
      </c>
      <c r="H108" s="4">
        <v>4253</v>
      </c>
      <c r="I108">
        <v>0</v>
      </c>
      <c r="J108" s="4">
        <v>96505.5</v>
      </c>
      <c r="K108" s="4">
        <v>96505.5</v>
      </c>
    </row>
    <row r="109" spans="3:11" x14ac:dyDescent="0.25">
      <c r="C109">
        <v>28</v>
      </c>
      <c r="D109" t="s">
        <v>280</v>
      </c>
      <c r="E109" s="4">
        <v>96505</v>
      </c>
      <c r="F109" s="4">
        <v>3327.7</v>
      </c>
      <c r="G109">
        <v>894.8</v>
      </c>
      <c r="H109" s="4">
        <v>4222</v>
      </c>
      <c r="I109">
        <v>0</v>
      </c>
      <c r="J109" s="4">
        <v>93177.72</v>
      </c>
      <c r="K109" s="4">
        <v>93177.72</v>
      </c>
    </row>
    <row r="110" spans="3:11" x14ac:dyDescent="0.25">
      <c r="C110">
        <v>30</v>
      </c>
      <c r="D110" t="s">
        <v>282</v>
      </c>
      <c r="E110" s="4">
        <v>89849</v>
      </c>
      <c r="F110" s="4">
        <v>3327.7</v>
      </c>
      <c r="G110">
        <v>833</v>
      </c>
      <c r="H110" s="4">
        <v>4160</v>
      </c>
      <c r="I110">
        <v>0</v>
      </c>
      <c r="J110" s="4">
        <v>86522.16</v>
      </c>
      <c r="K110" s="4">
        <v>86522.16</v>
      </c>
    </row>
    <row r="111" spans="3:11" x14ac:dyDescent="0.25">
      <c r="C111">
        <v>31</v>
      </c>
      <c r="D111" t="s">
        <v>290</v>
      </c>
      <c r="E111" s="4">
        <v>86522</v>
      </c>
      <c r="F111" s="4">
        <v>3327.7</v>
      </c>
      <c r="G111">
        <v>802.2</v>
      </c>
      <c r="H111" s="4">
        <v>4130</v>
      </c>
      <c r="I111">
        <v>0</v>
      </c>
      <c r="J111" s="4">
        <v>83194.38</v>
      </c>
      <c r="K111" s="4">
        <v>83194.38</v>
      </c>
    </row>
    <row r="112" spans="3:11" x14ac:dyDescent="0.25">
      <c r="C112">
        <v>32</v>
      </c>
      <c r="D112" t="s">
        <v>284</v>
      </c>
      <c r="E112" s="4">
        <v>83194</v>
      </c>
      <c r="F112" s="4">
        <v>3327.7</v>
      </c>
      <c r="G112">
        <v>699</v>
      </c>
      <c r="H112" s="4">
        <v>4026</v>
      </c>
      <c r="I112">
        <v>0</v>
      </c>
      <c r="J112" s="4">
        <v>79866.600000000006</v>
      </c>
      <c r="K112" s="4">
        <v>79866.600000000006</v>
      </c>
    </row>
    <row r="113" spans="3:11" x14ac:dyDescent="0.25">
      <c r="C113">
        <v>33</v>
      </c>
      <c r="D113" t="s">
        <v>276</v>
      </c>
      <c r="E113" s="4">
        <v>79866</v>
      </c>
      <c r="F113" s="4">
        <v>3327.7</v>
      </c>
      <c r="G113">
        <v>763.8</v>
      </c>
      <c r="H113" s="4">
        <v>4091</v>
      </c>
      <c r="I113">
        <v>0</v>
      </c>
      <c r="J113" s="4">
        <v>76538.820000000007</v>
      </c>
      <c r="K113" s="4">
        <v>76538.820000000007</v>
      </c>
    </row>
    <row r="114" spans="3:11" x14ac:dyDescent="0.25">
      <c r="C114">
        <v>34</v>
      </c>
      <c r="D114" t="s">
        <v>294</v>
      </c>
      <c r="E114" s="4">
        <v>76538</v>
      </c>
      <c r="F114" s="4">
        <v>3327.7</v>
      </c>
      <c r="G114">
        <v>709.6</v>
      </c>
      <c r="H114" s="4">
        <v>4037</v>
      </c>
      <c r="I114">
        <v>0</v>
      </c>
      <c r="J114" s="4">
        <v>73211.039999999994</v>
      </c>
      <c r="K114" s="4">
        <v>73211.039999999994</v>
      </c>
    </row>
    <row r="115" spans="3:11" x14ac:dyDescent="0.25">
      <c r="C115">
        <v>35</v>
      </c>
      <c r="D115" t="s">
        <v>278</v>
      </c>
      <c r="E115" s="4">
        <v>73211</v>
      </c>
      <c r="F115" s="4">
        <v>3327.7</v>
      </c>
      <c r="G115">
        <v>657.6</v>
      </c>
      <c r="H115" s="4">
        <v>3985</v>
      </c>
      <c r="I115">
        <v>0</v>
      </c>
      <c r="J115" s="4">
        <v>69883.259999999995</v>
      </c>
      <c r="K115" s="4">
        <v>69883.259999999995</v>
      </c>
    </row>
    <row r="116" spans="3:11" x14ac:dyDescent="0.25">
      <c r="C116">
        <v>37</v>
      </c>
      <c r="D116" t="s">
        <v>295</v>
      </c>
      <c r="E116" s="4">
        <v>66555</v>
      </c>
      <c r="F116" s="4">
        <v>3327.7</v>
      </c>
      <c r="G116">
        <v>636.5</v>
      </c>
      <c r="H116" s="4">
        <v>3964</v>
      </c>
      <c r="I116">
        <v>0</v>
      </c>
      <c r="J116" s="4">
        <v>63227.7</v>
      </c>
      <c r="K116" s="4">
        <v>63227.7</v>
      </c>
    </row>
    <row r="117" spans="3:11" x14ac:dyDescent="0.25">
      <c r="C117">
        <v>38</v>
      </c>
      <c r="D117" t="s">
        <v>293</v>
      </c>
      <c r="E117" s="4">
        <v>63227</v>
      </c>
      <c r="F117" s="4">
        <v>3327.7</v>
      </c>
      <c r="G117">
        <v>586.20000000000005</v>
      </c>
      <c r="H117" s="4">
        <v>3914</v>
      </c>
      <c r="I117">
        <v>0</v>
      </c>
      <c r="J117" s="4">
        <v>59899.92</v>
      </c>
      <c r="K117" s="4">
        <v>59899.92</v>
      </c>
    </row>
    <row r="118" spans="3:11" x14ac:dyDescent="0.25">
      <c r="C118">
        <v>39</v>
      </c>
      <c r="D118" t="s">
        <v>279</v>
      </c>
      <c r="E118" s="4">
        <v>59899</v>
      </c>
      <c r="F118" s="4">
        <v>3327.7</v>
      </c>
      <c r="G118">
        <v>555.29999999999995</v>
      </c>
      <c r="H118" s="4">
        <v>3883</v>
      </c>
      <c r="I118">
        <v>0</v>
      </c>
      <c r="J118" s="4">
        <v>56572.14</v>
      </c>
      <c r="K118" s="4">
        <v>56572.14</v>
      </c>
    </row>
    <row r="119" spans="3:11" x14ac:dyDescent="0.25">
      <c r="C119">
        <v>40</v>
      </c>
      <c r="D119" t="s">
        <v>280</v>
      </c>
      <c r="E119" s="4">
        <v>56572</v>
      </c>
      <c r="F119" s="4">
        <v>3327.7</v>
      </c>
      <c r="G119">
        <v>508.1</v>
      </c>
      <c r="H119" s="4">
        <v>3835</v>
      </c>
      <c r="I119">
        <v>0</v>
      </c>
      <c r="J119" s="4">
        <v>53244.36</v>
      </c>
      <c r="K119" s="4">
        <v>53244.36</v>
      </c>
    </row>
    <row r="120" spans="3:11" x14ac:dyDescent="0.25">
      <c r="C120">
        <v>41</v>
      </c>
      <c r="D120" t="s">
        <v>296</v>
      </c>
      <c r="E120" s="4">
        <v>53244</v>
      </c>
      <c r="F120" s="4">
        <v>3327.7</v>
      </c>
      <c r="G120">
        <v>493.6</v>
      </c>
      <c r="H120" s="4">
        <v>3821</v>
      </c>
      <c r="I120">
        <v>0</v>
      </c>
      <c r="J120" s="4">
        <v>49916.58</v>
      </c>
      <c r="K120" s="4">
        <v>49916.58</v>
      </c>
    </row>
    <row r="121" spans="3:11" x14ac:dyDescent="0.25">
      <c r="C121">
        <v>43</v>
      </c>
      <c r="D121" t="s">
        <v>283</v>
      </c>
      <c r="E121" s="4">
        <v>46588</v>
      </c>
      <c r="F121" s="4">
        <v>3327.7</v>
      </c>
      <c r="G121">
        <v>431.9</v>
      </c>
      <c r="H121" s="4">
        <v>3759</v>
      </c>
      <c r="I121">
        <v>0</v>
      </c>
      <c r="J121" s="4">
        <v>43261.02</v>
      </c>
      <c r="K121" s="4">
        <v>43261.02</v>
      </c>
    </row>
    <row r="122" spans="3:11" x14ac:dyDescent="0.25">
      <c r="C122">
        <v>44</v>
      </c>
      <c r="D122" t="s">
        <v>284</v>
      </c>
      <c r="E122" s="4">
        <v>43261</v>
      </c>
      <c r="F122" s="4">
        <v>3327.7</v>
      </c>
      <c r="G122">
        <v>363.4</v>
      </c>
      <c r="H122" s="4">
        <v>3691</v>
      </c>
      <c r="I122">
        <v>0</v>
      </c>
      <c r="J122" s="4">
        <v>39933.24</v>
      </c>
      <c r="K122" s="4">
        <v>39933.24</v>
      </c>
    </row>
    <row r="123" spans="3:11" x14ac:dyDescent="0.25">
      <c r="C123">
        <v>45</v>
      </c>
      <c r="D123" t="s">
        <v>297</v>
      </c>
      <c r="E123" s="4">
        <v>39933</v>
      </c>
      <c r="F123" s="4">
        <v>3327.7</v>
      </c>
      <c r="G123">
        <v>393.5</v>
      </c>
      <c r="H123" s="4">
        <v>3721</v>
      </c>
      <c r="I123">
        <v>0</v>
      </c>
      <c r="J123" s="4">
        <v>36605.46</v>
      </c>
      <c r="K123" s="4">
        <v>36605.46</v>
      </c>
    </row>
    <row r="124" spans="3:11" x14ac:dyDescent="0.25">
      <c r="C124">
        <v>46</v>
      </c>
      <c r="D124" t="s">
        <v>298</v>
      </c>
      <c r="E124" s="4">
        <v>36605</v>
      </c>
      <c r="F124" s="4">
        <v>3327.7</v>
      </c>
      <c r="G124">
        <v>318.10000000000002</v>
      </c>
      <c r="H124" s="4">
        <v>3645</v>
      </c>
      <c r="I124">
        <v>0</v>
      </c>
      <c r="J124" s="4">
        <v>33277.68</v>
      </c>
      <c r="K124" s="4">
        <v>33277.68</v>
      </c>
    </row>
    <row r="125" spans="3:11" x14ac:dyDescent="0.25">
      <c r="C125">
        <v>47</v>
      </c>
      <c r="D125" t="s">
        <v>278</v>
      </c>
      <c r="E125" s="4">
        <v>33277</v>
      </c>
      <c r="F125" s="4">
        <v>3327.7</v>
      </c>
      <c r="G125">
        <v>318.2</v>
      </c>
      <c r="H125" s="4">
        <v>3646</v>
      </c>
      <c r="I125">
        <v>0</v>
      </c>
      <c r="J125" s="4">
        <v>29949.9</v>
      </c>
      <c r="K125" s="4">
        <v>29949.9</v>
      </c>
    </row>
    <row r="126" spans="3:11" x14ac:dyDescent="0.25">
      <c r="C126">
        <v>48</v>
      </c>
      <c r="D126" t="s">
        <v>286</v>
      </c>
      <c r="E126" s="4">
        <v>29949</v>
      </c>
      <c r="F126" s="4">
        <v>3327.7</v>
      </c>
      <c r="G126">
        <v>277.7</v>
      </c>
      <c r="H126" s="4">
        <v>3605</v>
      </c>
      <c r="I126">
        <v>0</v>
      </c>
      <c r="J126" s="4">
        <v>26622.12</v>
      </c>
      <c r="K126" s="4">
        <v>26622.12</v>
      </c>
    </row>
    <row r="127" spans="3:11" x14ac:dyDescent="0.25">
      <c r="C127">
        <v>50</v>
      </c>
      <c r="D127" t="s">
        <v>293</v>
      </c>
      <c r="E127" s="4">
        <v>23294</v>
      </c>
      <c r="F127" s="4">
        <v>3327.7</v>
      </c>
      <c r="G127">
        <v>222.7</v>
      </c>
      <c r="H127" s="4">
        <v>3550</v>
      </c>
      <c r="I127">
        <v>0</v>
      </c>
      <c r="J127" s="4">
        <v>19966.560000000001</v>
      </c>
      <c r="K127" s="4">
        <v>19966.560000000001</v>
      </c>
    </row>
    <row r="128" spans="3:11" x14ac:dyDescent="0.25">
      <c r="C128">
        <v>51</v>
      </c>
      <c r="D128" t="s">
        <v>299</v>
      </c>
      <c r="E128" s="4">
        <v>19966</v>
      </c>
      <c r="F128" s="4">
        <v>3327.7</v>
      </c>
      <c r="G128">
        <v>185.1</v>
      </c>
      <c r="H128" s="4">
        <v>3512</v>
      </c>
      <c r="I128">
        <v>0</v>
      </c>
      <c r="J128" s="4">
        <v>16638.78</v>
      </c>
      <c r="K128" s="4">
        <v>16638.78</v>
      </c>
    </row>
    <row r="129" spans="3:11" x14ac:dyDescent="0.25">
      <c r="C129">
        <v>52</v>
      </c>
      <c r="D129" t="s">
        <v>280</v>
      </c>
      <c r="E129" s="4">
        <v>16638</v>
      </c>
      <c r="F129" s="4">
        <v>3327.7</v>
      </c>
      <c r="G129">
        <v>149.4</v>
      </c>
      <c r="H129" s="4">
        <v>3477</v>
      </c>
      <c r="I129">
        <v>0</v>
      </c>
      <c r="J129" s="4">
        <v>13311</v>
      </c>
      <c r="K129" s="4">
        <v>13311</v>
      </c>
    </row>
    <row r="130" spans="3:11" x14ac:dyDescent="0.25">
      <c r="C130">
        <v>53</v>
      </c>
      <c r="D130" t="s">
        <v>296</v>
      </c>
      <c r="E130" s="4">
        <v>13311</v>
      </c>
      <c r="F130" s="4">
        <v>3327.7</v>
      </c>
      <c r="G130">
        <v>123.4</v>
      </c>
      <c r="H130" s="4">
        <v>3451</v>
      </c>
      <c r="I130">
        <v>0</v>
      </c>
      <c r="J130" s="4">
        <v>9983.2199999999993</v>
      </c>
      <c r="K130" s="4">
        <v>9983.2199999999993</v>
      </c>
    </row>
    <row r="131" spans="3:11" x14ac:dyDescent="0.25">
      <c r="C131">
        <v>54</v>
      </c>
      <c r="D131" t="s">
        <v>300</v>
      </c>
      <c r="E131" s="4">
        <v>9983</v>
      </c>
      <c r="F131" s="4">
        <v>3327.7</v>
      </c>
      <c r="G131">
        <v>95.4</v>
      </c>
      <c r="H131" s="4">
        <v>3423</v>
      </c>
      <c r="I131">
        <v>0</v>
      </c>
      <c r="J131" s="4">
        <v>6655.44</v>
      </c>
      <c r="K131" s="4">
        <v>6655.44</v>
      </c>
    </row>
    <row r="132" spans="3:11" x14ac:dyDescent="0.25">
      <c r="C132">
        <v>55</v>
      </c>
      <c r="D132" t="s">
        <v>283</v>
      </c>
      <c r="E132" s="4">
        <v>6655</v>
      </c>
      <c r="F132" s="4">
        <v>3327.7</v>
      </c>
      <c r="G132">
        <v>63.6</v>
      </c>
      <c r="H132" s="4">
        <v>3391</v>
      </c>
      <c r="I132">
        <v>0</v>
      </c>
      <c r="J132" s="4">
        <v>3327.66</v>
      </c>
      <c r="K132" s="4">
        <v>3327.66</v>
      </c>
    </row>
  </sheetData>
  <mergeCells count="1">
    <mergeCell ref="G10:I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Cashflow</vt:lpstr>
      <vt:lpstr>Financ </vt:lpstr>
      <vt:lpstr>Receita</vt:lpstr>
      <vt:lpstr>Tributos</vt:lpstr>
      <vt:lpstr>Seguros-Rastreamento</vt:lpstr>
      <vt:lpstr>Manutenção</vt:lpstr>
      <vt:lpstr>Licenciamento</vt:lpstr>
      <vt:lpstr>Sheet1</vt:lpstr>
    </vt:vector>
  </TitlesOfParts>
  <Manager/>
  <Company>VSI Transportes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Augusto Roso Pelosini</dc:creator>
  <cp:keywords/>
  <dc:description/>
  <cp:lastModifiedBy>Samuel Fernandes</cp:lastModifiedBy>
  <cp:revision/>
  <dcterms:created xsi:type="dcterms:W3CDTF">2014-07-29T11:47:19Z</dcterms:created>
  <dcterms:modified xsi:type="dcterms:W3CDTF">2026-07-17T01:01:32Z</dcterms:modified>
  <cp:category/>
  <cp:contentStatus/>
</cp:coreProperties>
</file>