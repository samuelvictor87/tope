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76806902-6C4F-4F54-87AB-744DBC57C9E8}" xr6:coauthVersionLast="47" xr6:coauthVersionMax="47" xr10:uidLastSave="{00000000-0000-0000-0000-000000000000}"/>
  <bookViews>
    <workbookView xWindow="11568" yWindow="12984" windowWidth="23256" windowHeight="12456" tabRatio="806" firstSheet="1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C41" i="14"/>
  <c r="Y8" i="10"/>
  <c r="V8" i="10"/>
  <c r="S8" i="10"/>
  <c r="P8" i="10"/>
  <c r="M8" i="10"/>
  <c r="J8" i="10"/>
  <c r="G8" i="10"/>
  <c r="D8" i="10"/>
  <c r="BP42" i="42"/>
  <c r="BP16" i="42"/>
  <c r="BQ42" i="42"/>
  <c r="BQ16" i="42"/>
  <c r="BR42" i="42"/>
  <c r="BR16" i="42"/>
  <c r="BS42" i="42"/>
  <c r="BS16" i="42"/>
  <c r="BT42" i="42"/>
  <c r="BT16" i="42"/>
  <c r="CC42" i="42"/>
  <c r="CB42" i="42"/>
  <c r="CA42" i="42"/>
  <c r="BZ42" i="42"/>
  <c r="BY42" i="42"/>
  <c r="BX42" i="42"/>
  <c r="BW42" i="42"/>
  <c r="CA18" i="42"/>
  <c r="BZ18" i="42"/>
  <c r="CA17" i="42"/>
  <c r="BZ17" i="42"/>
  <c r="BY17" i="42"/>
  <c r="BX17" i="42"/>
  <c r="BW17" i="42"/>
  <c r="CC16" i="42"/>
  <c r="CB16" i="42"/>
  <c r="CA16" i="42"/>
  <c r="BZ16" i="42"/>
  <c r="BY16" i="42"/>
  <c r="BX16" i="42"/>
  <c r="BW16" i="42"/>
  <c r="CC11" i="42"/>
  <c r="CB11" i="42"/>
  <c r="CA11" i="42"/>
  <c r="BZ11" i="42"/>
  <c r="BY11" i="42"/>
  <c r="BX11" i="42"/>
  <c r="BW11" i="42"/>
  <c r="B29" i="14"/>
  <c r="I66" i="42"/>
  <c r="J66" i="42" s="1"/>
  <c r="E9" i="43"/>
  <c r="E11" i="43"/>
  <c r="K28" i="42"/>
  <c r="T28" i="42" s="1"/>
  <c r="E4" i="7"/>
  <c r="K16" i="42"/>
  <c r="G12" i="7"/>
  <c r="M17" i="42"/>
  <c r="B32" i="8"/>
  <c r="D36" i="8" s="1"/>
  <c r="L16" i="42"/>
  <c r="M16" i="42"/>
  <c r="N16" i="42"/>
  <c r="N17" i="42"/>
  <c r="H55" i="14"/>
  <c r="O16" i="42"/>
  <c r="O17" i="42"/>
  <c r="I55" i="14"/>
  <c r="P16" i="42"/>
  <c r="J55" i="14"/>
  <c r="Q16" i="42"/>
  <c r="K55" i="14"/>
  <c r="R16" i="42"/>
  <c r="L55" i="14"/>
  <c r="S16" i="42"/>
  <c r="M55" i="14"/>
  <c r="T16" i="42"/>
  <c r="N55" i="14"/>
  <c r="U16" i="42"/>
  <c r="O55" i="14"/>
  <c r="V16" i="42"/>
  <c r="P55" i="14"/>
  <c r="E5" i="7"/>
  <c r="W16" i="42"/>
  <c r="E13" i="7"/>
  <c r="G13" i="7"/>
  <c r="W17" i="42"/>
  <c r="F36" i="8"/>
  <c r="AA18" i="42" s="1"/>
  <c r="W18" i="42"/>
  <c r="Q55" i="14"/>
  <c r="X16" i="42"/>
  <c r="R55" i="14"/>
  <c r="Y18" i="42"/>
  <c r="S55" i="14"/>
  <c r="Z17" i="42"/>
  <c r="Z18" i="42"/>
  <c r="T55" i="14"/>
  <c r="AA16" i="42"/>
  <c r="U55" i="14"/>
  <c r="AB16" i="42"/>
  <c r="V55" i="14"/>
  <c r="W55" i="14"/>
  <c r="X55" i="14"/>
  <c r="AE16" i="42"/>
  <c r="AE18" i="42"/>
  <c r="Y55" i="14"/>
  <c r="AF16" i="42"/>
  <c r="AF18" i="42"/>
  <c r="Z55" i="14"/>
  <c r="AG16" i="42"/>
  <c r="AG18" i="42"/>
  <c r="AA55" i="14"/>
  <c r="E14" i="7"/>
  <c r="G14" i="7"/>
  <c r="AB55" i="14"/>
  <c r="AI16" i="42"/>
  <c r="H36" i="8"/>
  <c r="AJ18" i="42" s="1"/>
  <c r="AI18" i="42"/>
  <c r="AC55" i="14"/>
  <c r="AJ16" i="42"/>
  <c r="AD55" i="14"/>
  <c r="AK16" i="42"/>
  <c r="AE55" i="14"/>
  <c r="AL16" i="42"/>
  <c r="AF55" i="14"/>
  <c r="AM16" i="42"/>
  <c r="AM18" i="42"/>
  <c r="AG55" i="14"/>
  <c r="AN16" i="42"/>
  <c r="AH55" i="14"/>
  <c r="AO16" i="42"/>
  <c r="AI55" i="14"/>
  <c r="AP16" i="42"/>
  <c r="AJ55" i="14"/>
  <c r="AQ16" i="42"/>
  <c r="AK55" i="14"/>
  <c r="AR16" i="42"/>
  <c r="AL55" i="14"/>
  <c r="AS16" i="42"/>
  <c r="AM55" i="14"/>
  <c r="AT16" i="42"/>
  <c r="AT18" i="42"/>
  <c r="AN55" i="14"/>
  <c r="AU16" i="42"/>
  <c r="AO55" i="14"/>
  <c r="AV16" i="42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L88" i="14"/>
  <c r="CD11" i="42"/>
  <c r="L51" i="14"/>
  <c r="AP55" i="14"/>
  <c r="AW16" i="42"/>
  <c r="AQ55" i="14"/>
  <c r="AX16" i="42"/>
  <c r="AX18" i="42"/>
  <c r="AY16" i="42"/>
  <c r="AY18" i="42"/>
  <c r="AZ16" i="42"/>
  <c r="AZ18" i="42"/>
  <c r="BA16" i="42"/>
  <c r="BB16" i="42"/>
  <c r="BC16" i="42"/>
  <c r="BC18" i="42"/>
  <c r="BD16" i="42"/>
  <c r="BE16" i="42"/>
  <c r="BE18" i="42"/>
  <c r="BF16" i="42"/>
  <c r="BF18" i="42"/>
  <c r="BG16" i="42"/>
  <c r="BH16" i="42"/>
  <c r="BI16" i="42"/>
  <c r="BJ16" i="42"/>
  <c r="BK16" i="42"/>
  <c r="BK18" i="42"/>
  <c r="BL16" i="42"/>
  <c r="BM16" i="42"/>
  <c r="BN16" i="42"/>
  <c r="BO16" i="42"/>
  <c r="BU16" i="42"/>
  <c r="BV16" i="42"/>
  <c r="BK88" i="14"/>
  <c r="CD15" i="42"/>
  <c r="CD16" i="42"/>
  <c r="J36" i="8"/>
  <c r="CD18" i="42" s="1"/>
  <c r="C39" i="2"/>
  <c r="CF15" i="42"/>
  <c r="CF13" i="42" s="1"/>
  <c r="CF11" i="42"/>
  <c r="CF50" i="42"/>
  <c r="CF51" i="42"/>
  <c r="H13" i="42"/>
  <c r="B78" i="14"/>
  <c r="H50" i="42"/>
  <c r="H51" i="42"/>
  <c r="H54" i="42"/>
  <c r="I50" i="42"/>
  <c r="I51" i="42"/>
  <c r="I54" i="42"/>
  <c r="J17" i="42"/>
  <c r="J50" i="42"/>
  <c r="J51" i="42"/>
  <c r="J54" i="42"/>
  <c r="CE15" i="42"/>
  <c r="CE13" i="42" s="1"/>
  <c r="BM55" i="14"/>
  <c r="BM88" i="14"/>
  <c r="CE11" i="42" s="1"/>
  <c r="CE50" i="42"/>
  <c r="CE51" i="42"/>
  <c r="CE54" i="42"/>
  <c r="H70" i="42"/>
  <c r="G8" i="2"/>
  <c r="I13" i="43"/>
  <c r="I17" i="43"/>
  <c r="I18" i="43"/>
  <c r="I19" i="43"/>
  <c r="H20" i="43"/>
  <c r="I78" i="42"/>
  <c r="J78" i="42" s="1"/>
  <c r="J79" i="42" s="1"/>
  <c r="J80" i="42" s="1"/>
  <c r="H79" i="42"/>
  <c r="J71" i="42"/>
  <c r="J69" i="42"/>
  <c r="B39" i="14"/>
  <c r="C39" i="14" s="1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BE7" i="42" s="1"/>
  <c r="BF7" i="42" s="1"/>
  <c r="BG7" i="42" s="1"/>
  <c r="BH7" i="42" s="1"/>
  <c r="BI7" i="42" s="1"/>
  <c r="BJ7" i="42" s="1"/>
  <c r="BK7" i="42" s="1"/>
  <c r="BL7" i="42" s="1"/>
  <c r="BM7" i="42" s="1"/>
  <c r="BN7" i="42" s="1"/>
  <c r="I8" i="42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BE8" i="42" s="1"/>
  <c r="BF8" i="42" s="1"/>
  <c r="BG8" i="42" s="1"/>
  <c r="BH8" i="42" s="1"/>
  <c r="BI8" i="42" s="1"/>
  <c r="BJ8" i="42" s="1"/>
  <c r="BK8" i="42" s="1"/>
  <c r="BL8" i="42" s="1"/>
  <c r="BM8" i="42" s="1"/>
  <c r="BN8" i="42" s="1"/>
  <c r="BO8" i="42" s="1"/>
  <c r="BP8" i="42" s="1"/>
  <c r="BQ8" i="42" s="1"/>
  <c r="BR8" i="42" s="1"/>
  <c r="BS8" i="42" s="1"/>
  <c r="BT8" i="42" s="1"/>
  <c r="BU8" i="42" s="1"/>
  <c r="BV8" i="42" s="1"/>
  <c r="BW8" i="42" s="1"/>
  <c r="BX8" i="42" s="1"/>
  <c r="BY8" i="42" s="1"/>
  <c r="BZ8" i="42" s="1"/>
  <c r="CA8" i="42" s="1"/>
  <c r="CB8" i="42" s="1"/>
  <c r="CC8" i="42" s="1"/>
  <c r="CD8" i="42" s="1"/>
  <c r="CE8" i="42" s="1"/>
  <c r="CF8" i="42" s="1"/>
  <c r="BV42" i="42"/>
  <c r="BU42" i="42"/>
  <c r="BO42" i="42"/>
  <c r="BN42" i="42"/>
  <c r="BM42" i="42"/>
  <c r="BL42" i="42"/>
  <c r="BK42" i="42"/>
  <c r="BJ42" i="42"/>
  <c r="BI42" i="42"/>
  <c r="BH42" i="42"/>
  <c r="BG42" i="42"/>
  <c r="BF42" i="42"/>
  <c r="B5" i="6"/>
  <c r="K9" i="42"/>
  <c r="L9" i="42" s="1"/>
  <c r="M9" i="42" s="1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BE9" i="42" s="1"/>
  <c r="BF9" i="42" s="1"/>
  <c r="BG9" i="42" s="1"/>
  <c r="BH9" i="42" s="1"/>
  <c r="BI9" i="42" s="1"/>
  <c r="BJ9" i="42" s="1"/>
  <c r="BK9" i="42" s="1"/>
  <c r="BL9" i="42" s="1"/>
  <c r="BM9" i="42" s="1"/>
  <c r="BN9" i="42" s="1"/>
  <c r="BO9" i="42" s="1"/>
  <c r="BP9" i="42" s="1"/>
  <c r="BQ9" i="42" s="1"/>
  <c r="BR9" i="42" s="1"/>
  <c r="BS9" i="42" s="1"/>
  <c r="BT9" i="42" s="1"/>
  <c r="BU9" i="42" s="1"/>
  <c r="BV9" i="42" s="1"/>
  <c r="BW9" i="42" s="1"/>
  <c r="BX9" i="42" s="1"/>
  <c r="BY9" i="42" s="1"/>
  <c r="BZ9" i="42" s="1"/>
  <c r="CA9" i="42" s="1"/>
  <c r="CB9" i="42" s="1"/>
  <c r="CC9" i="42" s="1"/>
  <c r="BE42" i="42"/>
  <c r="BD42" i="42"/>
  <c r="BC42" i="42"/>
  <c r="BB42" i="42"/>
  <c r="BA42" i="42"/>
  <c r="AZ42" i="42"/>
  <c r="AY42" i="42"/>
  <c r="AX42" i="42"/>
  <c r="AW42" i="42"/>
  <c r="AV42" i="42"/>
  <c r="AU42" i="42"/>
  <c r="AT42" i="42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 s="1"/>
  <c r="D47" i="14" s="1"/>
  <c r="E47" i="14" s="1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 s="1"/>
  <c r="E53" i="14" s="1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 s="1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 s="1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 s="1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 s="1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CE36" i="42"/>
  <c r="CE40" i="42" s="1"/>
  <c r="CF36" i="42"/>
  <c r="CF40" i="42" s="1"/>
  <c r="CD42" i="42"/>
  <c r="CE42" i="42"/>
  <c r="CE60" i="42" s="1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I36" i="42"/>
  <c r="I40" i="42" s="1"/>
  <c r="J36" i="42"/>
  <c r="J40" i="42" s="1"/>
  <c r="A36" i="2"/>
  <c r="D25" i="14"/>
  <c r="E29" i="2"/>
  <c r="C10" i="2"/>
  <c r="C15" i="2" s="1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E6" i="7"/>
  <c r="B12" i="7"/>
  <c r="H36" i="42"/>
  <c r="H40" i="42" s="1"/>
  <c r="C51" i="14"/>
  <c r="A8" i="10"/>
  <c r="A36" i="8"/>
  <c r="H42" i="42"/>
  <c r="H4" i="42"/>
  <c r="A30" i="14"/>
  <c r="D33" i="14"/>
  <c r="C33" i="14"/>
  <c r="D34" i="14"/>
  <c r="D30" i="14"/>
  <c r="D32" i="14"/>
  <c r="G25" i="42"/>
  <c r="G51" i="14"/>
  <c r="I51" i="14"/>
  <c r="B69" i="14"/>
  <c r="E69" i="14"/>
  <c r="H69" i="14"/>
  <c r="I69" i="14"/>
  <c r="B19" i="14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X20" i="14"/>
  <c r="Y20" i="14"/>
  <c r="C19" i="14"/>
  <c r="D19" i="14" s="1"/>
  <c r="E19" i="14" s="1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7" i="14"/>
  <c r="C11" i="14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/>
  <c r="AG73" i="14"/>
  <c r="AH73" i="14"/>
  <c r="AI73" i="14"/>
  <c r="AJ73" i="14"/>
  <c r="D74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X68" i="14"/>
  <c r="Y68" i="14"/>
  <c r="Z68" i="14"/>
  <c r="AA68" i="14"/>
  <c r="AB68" i="14"/>
  <c r="AC68" i="14"/>
  <c r="AD68" i="14"/>
  <c r="D6" i="8"/>
  <c r="D7" i="8"/>
  <c r="C28" i="12"/>
  <c r="C29" i="12"/>
  <c r="C30" i="12"/>
  <c r="C31" i="12"/>
  <c r="C33" i="12"/>
  <c r="C32" i="12"/>
  <c r="C27" i="12"/>
  <c r="C17" i="12"/>
  <c r="F17" i="12"/>
  <c r="C18" i="12"/>
  <c r="F18" i="12"/>
  <c r="C19" i="12"/>
  <c r="C20" i="12"/>
  <c r="C16" i="12"/>
  <c r="C15" i="12"/>
  <c r="F15" i="12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5" i="12"/>
  <c r="E6" i="12"/>
  <c r="D33" i="12"/>
  <c r="E15" i="12"/>
  <c r="E16" i="12"/>
  <c r="F16" i="12"/>
  <c r="E17" i="12"/>
  <c r="E18" i="12"/>
  <c r="E19" i="12"/>
  <c r="F19" i="12"/>
  <c r="E20" i="12"/>
  <c r="F20" i="12"/>
  <c r="E21" i="12"/>
  <c r="C21" i="12"/>
  <c r="D11" i="12"/>
  <c r="C11" i="12"/>
  <c r="B8" i="8"/>
  <c r="C5" i="6"/>
  <c r="E33" i="12"/>
  <c r="F21" i="12"/>
  <c r="D23" i="12"/>
  <c r="E11" i="12"/>
  <c r="AK17" i="42"/>
  <c r="AT17" i="42"/>
  <c r="AU17" i="42"/>
  <c r="AV17" i="42"/>
  <c r="BH17" i="42"/>
  <c r="AH17" i="42"/>
  <c r="BG17" i="42"/>
  <c r="AJ17" i="42"/>
  <c r="AL17" i="42"/>
  <c r="AW17" i="42"/>
  <c r="AX17" i="42"/>
  <c r="BF17" i="42"/>
  <c r="BJ17" i="42"/>
  <c r="AI17" i="42"/>
  <c r="BI17" i="42"/>
  <c r="K17" i="42"/>
  <c r="AS18" i="42"/>
  <c r="AO18" i="42"/>
  <c r="AH16" i="42"/>
  <c r="AC16" i="42"/>
  <c r="Z16" i="42"/>
  <c r="Y17" i="42"/>
  <c r="X18" i="42"/>
  <c r="AP18" i="42"/>
  <c r="AK18" i="42"/>
  <c r="AD16" i="42"/>
  <c r="AB17" i="42"/>
  <c r="Y16" i="42"/>
  <c r="X17" i="42"/>
  <c r="L17" i="42"/>
  <c r="AA17" i="42"/>
  <c r="D35" i="12"/>
  <c r="J60" i="42" l="1"/>
  <c r="CB18" i="42"/>
  <c r="BG18" i="42"/>
  <c r="BG13" i="42" s="1"/>
  <c r="AN18" i="42"/>
  <c r="AN13" i="42" s="1"/>
  <c r="AD18" i="42"/>
  <c r="AD13" i="42" s="1"/>
  <c r="AB18" i="42"/>
  <c r="AB13" i="42" s="1"/>
  <c r="CC18" i="42"/>
  <c r="BS18" i="42"/>
  <c r="BS13" i="42" s="1"/>
  <c r="BQ18" i="42"/>
  <c r="BI18" i="42"/>
  <c r="BI13" i="42" s="1"/>
  <c r="AU18" i="42"/>
  <c r="BW18" i="42"/>
  <c r="AQ18" i="42"/>
  <c r="AQ13" i="42" s="1"/>
  <c r="BX18" i="42"/>
  <c r="BX13" i="42" s="1"/>
  <c r="BM18" i="42"/>
  <c r="BM13" i="42" s="1"/>
  <c r="AV18" i="42"/>
  <c r="AC18" i="42"/>
  <c r="AC13" i="42" s="1"/>
  <c r="BY18" i="42"/>
  <c r="BT18" i="42"/>
  <c r="BR18" i="42"/>
  <c r="BR13" i="42" s="1"/>
  <c r="BP18" i="42"/>
  <c r="BP13" i="42" s="1"/>
  <c r="AP13" i="42"/>
  <c r="Z13" i="42"/>
  <c r="BP7" i="42"/>
  <c r="AX13" i="42"/>
  <c r="AI13" i="42"/>
  <c r="BQ7" i="42"/>
  <c r="AU13" i="42"/>
  <c r="BR7" i="42"/>
  <c r="I60" i="42"/>
  <c r="BK13" i="42"/>
  <c r="B67" i="14"/>
  <c r="C67" i="14" s="1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W13" i="42"/>
  <c r="H60" i="42"/>
  <c r="BT13" i="42"/>
  <c r="BS7" i="42"/>
  <c r="AT13" i="42"/>
  <c r="AK13" i="42"/>
  <c r="AZ13" i="42"/>
  <c r="BO7" i="42"/>
  <c r="BU7" i="42" s="1"/>
  <c r="BV7" i="42" s="1"/>
  <c r="BT7" i="42"/>
  <c r="CA13" i="42"/>
  <c r="Y13" i="42"/>
  <c r="BW13" i="42"/>
  <c r="BF13" i="42"/>
  <c r="AV13" i="42"/>
  <c r="AO13" i="42"/>
  <c r="CD13" i="42"/>
  <c r="BZ13" i="42"/>
  <c r="BY13" i="42"/>
  <c r="J13" i="42"/>
  <c r="X13" i="42"/>
  <c r="AF13" i="42"/>
  <c r="CB13" i="42"/>
  <c r="CE45" i="42"/>
  <c r="CE59" i="42" s="1"/>
  <c r="CE63" i="42" s="1"/>
  <c r="AE13" i="42"/>
  <c r="AY13" i="42"/>
  <c r="BC13" i="42"/>
  <c r="AM13" i="42"/>
  <c r="AJ13" i="42"/>
  <c r="AA13" i="42"/>
  <c r="K18" i="42"/>
  <c r="K13" i="42" s="1"/>
  <c r="R18" i="42"/>
  <c r="R13" i="42" s="1"/>
  <c r="T18" i="42"/>
  <c r="T13" i="42" s="1"/>
  <c r="O18" i="42"/>
  <c r="O13" i="42" s="1"/>
  <c r="Q18" i="42"/>
  <c r="Q13" i="42" s="1"/>
  <c r="L18" i="42"/>
  <c r="L13" i="42" s="1"/>
  <c r="P18" i="42"/>
  <c r="P13" i="42" s="1"/>
  <c r="V18" i="42"/>
  <c r="V13" i="42" s="1"/>
  <c r="S18" i="42"/>
  <c r="S13" i="42" s="1"/>
  <c r="M18" i="42"/>
  <c r="M13" i="42" s="1"/>
  <c r="N18" i="42"/>
  <c r="N13" i="42" s="1"/>
  <c r="U18" i="42"/>
  <c r="C12" i="2"/>
  <c r="C16" i="2"/>
  <c r="C20" i="2"/>
  <c r="BV18" i="42"/>
  <c r="BL18" i="42"/>
  <c r="BL13" i="42" s="1"/>
  <c r="BJ18" i="42"/>
  <c r="BJ13" i="42" s="1"/>
  <c r="BH18" i="42"/>
  <c r="BH13" i="42" s="1"/>
  <c r="BD18" i="42"/>
  <c r="BD13" i="42" s="1"/>
  <c r="AW18" i="42"/>
  <c r="AW13" i="42" s="1"/>
  <c r="BO18" i="42"/>
  <c r="BO13" i="42" s="1"/>
  <c r="BB18" i="42"/>
  <c r="BB13" i="42" s="1"/>
  <c r="AH18" i="42"/>
  <c r="AH13" i="42" s="1"/>
  <c r="BU18" i="42"/>
  <c r="BU13" i="42" s="1"/>
  <c r="BA18" i="42"/>
  <c r="BA13" i="42" s="1"/>
  <c r="AL18" i="42"/>
  <c r="AL13" i="42" s="1"/>
  <c r="CF45" i="42"/>
  <c r="CF59" i="42" s="1"/>
  <c r="BN18" i="42"/>
  <c r="BN13" i="42" s="1"/>
  <c r="AR18" i="42"/>
  <c r="AR13" i="42" s="1"/>
  <c r="D32" i="2"/>
  <c r="C32" i="2"/>
  <c r="C33" i="2" s="1"/>
  <c r="B28" i="14"/>
  <c r="B58" i="14" s="1"/>
  <c r="B81" i="14" s="1"/>
  <c r="B88" i="14" s="1"/>
  <c r="H11" i="42" s="1"/>
  <c r="H45" i="42" s="1"/>
  <c r="H59" i="42" s="1"/>
  <c r="H63" i="42" s="1"/>
  <c r="P28" i="42"/>
  <c r="P54" i="42" s="1"/>
  <c r="P60" i="42" s="1"/>
  <c r="AC28" i="42"/>
  <c r="Y28" i="42"/>
  <c r="Y54" i="42" s="1"/>
  <c r="Y60" i="42" s="1"/>
  <c r="O28" i="42"/>
  <c r="O54" i="42" s="1"/>
  <c r="O60" i="42" s="1"/>
  <c r="V28" i="42"/>
  <c r="V51" i="42" s="1"/>
  <c r="AG28" i="42"/>
  <c r="AG36" i="42" s="1"/>
  <c r="AG40" i="42" s="1"/>
  <c r="S28" i="42"/>
  <c r="Q28" i="42"/>
  <c r="Q54" i="42" s="1"/>
  <c r="Q60" i="42" s="1"/>
  <c r="Z28" i="42"/>
  <c r="AH28" i="42"/>
  <c r="AS28" i="42" s="1"/>
  <c r="U28" i="42"/>
  <c r="X28" i="42"/>
  <c r="AA28" i="42"/>
  <c r="AA54" i="42" s="1"/>
  <c r="AA60" i="42" s="1"/>
  <c r="W28" i="42"/>
  <c r="AF28" i="42"/>
  <c r="L28" i="42"/>
  <c r="R28" i="42"/>
  <c r="M28" i="42"/>
  <c r="K50" i="42"/>
  <c r="K51" i="42"/>
  <c r="K36" i="42"/>
  <c r="K40" i="42" s="1"/>
  <c r="T51" i="42"/>
  <c r="T54" i="42"/>
  <c r="T60" i="42" s="1"/>
  <c r="T50" i="42"/>
  <c r="T36" i="42"/>
  <c r="T40" i="42" s="1"/>
  <c r="K54" i="42"/>
  <c r="K60" i="42" s="1"/>
  <c r="AE28" i="42"/>
  <c r="N28" i="42"/>
  <c r="AB28" i="42"/>
  <c r="AD28" i="42"/>
  <c r="E22" i="2" l="1"/>
  <c r="E23" i="2" s="1"/>
  <c r="E24" i="2" s="1"/>
  <c r="E25" i="2" s="1"/>
  <c r="E26" i="2" s="1"/>
  <c r="E27" i="2" s="1"/>
  <c r="E28" i="2" s="1"/>
  <c r="BW7" i="42"/>
  <c r="BX7" i="42" s="1"/>
  <c r="BY7" i="42" s="1"/>
  <c r="BZ7" i="42" s="1"/>
  <c r="CA7" i="42" s="1"/>
  <c r="CB7" i="42" s="1"/>
  <c r="CC7" i="42" s="1"/>
  <c r="CD7" i="42" s="1"/>
  <c r="CE7" i="42" s="1"/>
  <c r="CF7" i="42" s="1"/>
  <c r="H87" i="42"/>
  <c r="P51" i="42"/>
  <c r="H29" i="2"/>
  <c r="C40" i="2"/>
  <c r="C41" i="2" s="1"/>
  <c r="Z21" i="42" s="1"/>
  <c r="C62" i="14"/>
  <c r="B37" i="14"/>
  <c r="D36" i="14" s="1"/>
  <c r="B8" i="10"/>
  <c r="X8" i="10" s="1"/>
  <c r="Z8" i="10" s="1"/>
  <c r="B44" i="14"/>
  <c r="B51" i="14"/>
  <c r="B84" i="14"/>
  <c r="H83" i="42"/>
  <c r="AC50" i="42"/>
  <c r="AG51" i="42"/>
  <c r="P36" i="42"/>
  <c r="P40" i="42" s="1"/>
  <c r="AC54" i="42"/>
  <c r="AC60" i="42" s="1"/>
  <c r="P50" i="42"/>
  <c r="Y51" i="42"/>
  <c r="AG54" i="42"/>
  <c r="AG60" i="42" s="1"/>
  <c r="Y50" i="42"/>
  <c r="AG50" i="42"/>
  <c r="Y36" i="42"/>
  <c r="Y40" i="42" s="1"/>
  <c r="AC36" i="42"/>
  <c r="AC40" i="42" s="1"/>
  <c r="AC51" i="42"/>
  <c r="O36" i="42"/>
  <c r="O40" i="42" s="1"/>
  <c r="O51" i="42"/>
  <c r="Q51" i="42"/>
  <c r="O50" i="42"/>
  <c r="V36" i="42"/>
  <c r="V40" i="42" s="1"/>
  <c r="V50" i="42"/>
  <c r="AQ28" i="42"/>
  <c r="AQ50" i="42" s="1"/>
  <c r="Q50" i="42"/>
  <c r="Q36" i="42"/>
  <c r="Q40" i="42" s="1"/>
  <c r="S54" i="42"/>
  <c r="S60" i="42" s="1"/>
  <c r="S36" i="42"/>
  <c r="S40" i="42" s="1"/>
  <c r="S51" i="42"/>
  <c r="S50" i="42"/>
  <c r="V54" i="42"/>
  <c r="V60" i="42" s="1"/>
  <c r="AO28" i="42"/>
  <c r="AO54" i="42" s="1"/>
  <c r="AO60" i="42" s="1"/>
  <c r="AL28" i="42"/>
  <c r="AN28" i="42"/>
  <c r="AN51" i="42" s="1"/>
  <c r="L51" i="42"/>
  <c r="L50" i="42"/>
  <c r="L36" i="42"/>
  <c r="L40" i="42" s="1"/>
  <c r="L54" i="42"/>
  <c r="L60" i="42" s="1"/>
  <c r="AF51" i="42"/>
  <c r="AF54" i="42"/>
  <c r="AF60" i="42" s="1"/>
  <c r="AF50" i="42"/>
  <c r="AF36" i="42"/>
  <c r="AF40" i="42" s="1"/>
  <c r="R36" i="42"/>
  <c r="R40" i="42" s="1"/>
  <c r="R51" i="42"/>
  <c r="R54" i="42"/>
  <c r="R60" i="42" s="1"/>
  <c r="R50" i="42"/>
  <c r="X54" i="42"/>
  <c r="X60" i="42" s="1"/>
  <c r="X50" i="42"/>
  <c r="X36" i="42"/>
  <c r="X40" i="42" s="1"/>
  <c r="X51" i="42"/>
  <c r="AH54" i="42"/>
  <c r="AH60" i="42" s="1"/>
  <c r="AT28" i="42"/>
  <c r="AK28" i="42"/>
  <c r="AI28" i="42"/>
  <c r="AM28" i="42"/>
  <c r="AR28" i="42"/>
  <c r="AH50" i="42"/>
  <c r="AH36" i="42"/>
  <c r="AH40" i="42" s="1"/>
  <c r="AH51" i="42"/>
  <c r="AP28" i="42"/>
  <c r="AJ28" i="42"/>
  <c r="W51" i="42"/>
  <c r="W54" i="42"/>
  <c r="W60" i="42" s="1"/>
  <c r="W36" i="42"/>
  <c r="W40" i="42" s="1"/>
  <c r="W50" i="42"/>
  <c r="U54" i="42"/>
  <c r="U60" i="42" s="1"/>
  <c r="U36" i="42"/>
  <c r="U40" i="42" s="1"/>
  <c r="U51" i="42"/>
  <c r="U50" i="42"/>
  <c r="Z50" i="42"/>
  <c r="Z54" i="42"/>
  <c r="Z60" i="42" s="1"/>
  <c r="Z51" i="42"/>
  <c r="Z36" i="42"/>
  <c r="Z40" i="42" s="1"/>
  <c r="M36" i="42"/>
  <c r="M40" i="42" s="1"/>
  <c r="M51" i="42"/>
  <c r="M50" i="42"/>
  <c r="M54" i="42"/>
  <c r="M60" i="42" s="1"/>
  <c r="AA51" i="42"/>
  <c r="AA36" i="42"/>
  <c r="AA40" i="42" s="1"/>
  <c r="AA50" i="42"/>
  <c r="AD51" i="42"/>
  <c r="AD36" i="42"/>
  <c r="AD40" i="42" s="1"/>
  <c r="AD50" i="42"/>
  <c r="AD54" i="42"/>
  <c r="AD60" i="42" s="1"/>
  <c r="N54" i="42"/>
  <c r="N60" i="42" s="1"/>
  <c r="N36" i="42"/>
  <c r="N40" i="42" s="1"/>
  <c r="N51" i="42"/>
  <c r="N50" i="42"/>
  <c r="BD28" i="42"/>
  <c r="AS36" i="42"/>
  <c r="AS40" i="42" s="1"/>
  <c r="AS51" i="42"/>
  <c r="AZ28" i="42"/>
  <c r="BF28" i="42"/>
  <c r="AU28" i="42"/>
  <c r="AY28" i="42"/>
  <c r="BE28" i="42"/>
  <c r="AS54" i="42"/>
  <c r="AS60" i="42" s="1"/>
  <c r="AV28" i="42"/>
  <c r="AX28" i="42"/>
  <c r="AS50" i="42"/>
  <c r="BB28" i="42"/>
  <c r="AW28" i="42"/>
  <c r="BA28" i="42"/>
  <c r="BC28" i="42"/>
  <c r="AB51" i="42"/>
  <c r="AB36" i="42"/>
  <c r="AB40" i="42" s="1"/>
  <c r="AB50" i="42"/>
  <c r="AB54" i="42"/>
  <c r="AB60" i="42" s="1"/>
  <c r="AE36" i="42"/>
  <c r="AE40" i="42" s="1"/>
  <c r="AE54" i="42"/>
  <c r="AE60" i="42" s="1"/>
  <c r="AE51" i="42"/>
  <c r="AE50" i="42"/>
  <c r="C69" i="14" l="1"/>
  <c r="I11" i="42"/>
  <c r="C88" i="14"/>
  <c r="H89" i="42"/>
  <c r="H90" i="42"/>
  <c r="U8" i="10"/>
  <c r="W8" i="10" s="1"/>
  <c r="C8" i="10"/>
  <c r="E8" i="10" s="1"/>
  <c r="I14" i="42" s="1"/>
  <c r="I13" i="42" s="1"/>
  <c r="I45" i="42" s="1"/>
  <c r="I59" i="42" s="1"/>
  <c r="I63" i="42" s="1"/>
  <c r="BP28" i="42"/>
  <c r="BP36" i="42" s="1"/>
  <c r="BP40" i="42" s="1"/>
  <c r="BR28" i="42"/>
  <c r="CD28" i="42" s="1"/>
  <c r="BQ28" i="42"/>
  <c r="D38" i="2"/>
  <c r="E38" i="2" s="1"/>
  <c r="D41" i="2"/>
  <c r="AW21" i="42"/>
  <c r="AF21" i="42"/>
  <c r="BE21" i="42"/>
  <c r="AX21" i="42"/>
  <c r="AC21" i="42"/>
  <c r="BA21" i="42"/>
  <c r="AR21" i="42"/>
  <c r="AA21" i="42"/>
  <c r="M21" i="42"/>
  <c r="X21" i="42"/>
  <c r="AU21" i="42"/>
  <c r="AM21" i="42"/>
  <c r="W21" i="42"/>
  <c r="AG21" i="42"/>
  <c r="AY21" i="42"/>
  <c r="AK21" i="42"/>
  <c r="N21" i="42"/>
  <c r="AS21" i="42"/>
  <c r="V21" i="42"/>
  <c r="R21" i="42"/>
  <c r="U21" i="42"/>
  <c r="AE21" i="42"/>
  <c r="BC21" i="42"/>
  <c r="S21" i="42"/>
  <c r="AI21" i="42"/>
  <c r="K21" i="42"/>
  <c r="AD21" i="42"/>
  <c r="Q21" i="42"/>
  <c r="AZ21" i="42"/>
  <c r="AQ21" i="42"/>
  <c r="L21" i="42"/>
  <c r="T21" i="42"/>
  <c r="J21" i="42"/>
  <c r="AJ21" i="42"/>
  <c r="AL21" i="42"/>
  <c r="AO21" i="42"/>
  <c r="B65" i="14"/>
  <c r="AB21" i="42"/>
  <c r="O21" i="42"/>
  <c r="P21" i="42"/>
  <c r="BB21" i="42"/>
  <c r="BD21" i="42"/>
  <c r="AH21" i="42"/>
  <c r="AV21" i="42"/>
  <c r="AN21" i="42"/>
  <c r="AT21" i="42"/>
  <c r="Y21" i="42"/>
  <c r="AP21" i="42"/>
  <c r="I8" i="10"/>
  <c r="K8" i="10" s="1"/>
  <c r="AG14" i="42" s="1"/>
  <c r="AG13" i="42" s="1"/>
  <c r="R8" i="10"/>
  <c r="T8" i="10" s="1"/>
  <c r="O8" i="10"/>
  <c r="Q8" i="10" s="1"/>
  <c r="BE14" i="42" s="1"/>
  <c r="L8" i="10"/>
  <c r="N8" i="10" s="1"/>
  <c r="AS14" i="42" s="1"/>
  <c r="AS13" i="42" s="1"/>
  <c r="F8" i="10"/>
  <c r="H8" i="10" s="1"/>
  <c r="U14" i="42" s="1"/>
  <c r="U13" i="42" s="1"/>
  <c r="AQ54" i="42"/>
  <c r="AQ60" i="42" s="1"/>
  <c r="AQ51" i="42"/>
  <c r="AO50" i="42"/>
  <c r="AQ36" i="42"/>
  <c r="AQ40" i="42" s="1"/>
  <c r="AO51" i="42"/>
  <c r="AO36" i="42"/>
  <c r="AO40" i="42" s="1"/>
  <c r="AL50" i="42"/>
  <c r="AL54" i="42"/>
  <c r="AL60" i="42" s="1"/>
  <c r="AN50" i="42"/>
  <c r="AL36" i="42"/>
  <c r="AL40" i="42" s="1"/>
  <c r="AN54" i="42"/>
  <c r="AN60" i="42" s="1"/>
  <c r="AL51" i="42"/>
  <c r="AN36" i="42"/>
  <c r="AN40" i="42" s="1"/>
  <c r="AT50" i="42"/>
  <c r="AT36" i="42"/>
  <c r="AT40" i="42" s="1"/>
  <c r="AT51" i="42"/>
  <c r="AT54" i="42"/>
  <c r="AT60" i="42" s="1"/>
  <c r="AR50" i="42"/>
  <c r="AR36" i="42"/>
  <c r="AR40" i="42" s="1"/>
  <c r="AR51" i="42"/>
  <c r="AR54" i="42"/>
  <c r="AR60" i="42" s="1"/>
  <c r="AM36" i="42"/>
  <c r="AM40" i="42" s="1"/>
  <c r="AM50" i="42"/>
  <c r="AM54" i="42"/>
  <c r="AM60" i="42" s="1"/>
  <c r="AM51" i="42"/>
  <c r="AJ36" i="42"/>
  <c r="AJ40" i="42" s="1"/>
  <c r="AJ51" i="42"/>
  <c r="AJ50" i="42"/>
  <c r="AJ54" i="42"/>
  <c r="AJ60" i="42" s="1"/>
  <c r="AI50" i="42"/>
  <c r="AI51" i="42"/>
  <c r="AI54" i="42"/>
  <c r="AI60" i="42" s="1"/>
  <c r="AI36" i="42"/>
  <c r="AI40" i="42" s="1"/>
  <c r="AP54" i="42"/>
  <c r="AP60" i="42" s="1"/>
  <c r="AP50" i="42"/>
  <c r="AP36" i="42"/>
  <c r="AP40" i="42" s="1"/>
  <c r="AP51" i="42"/>
  <c r="AK50" i="42"/>
  <c r="AK54" i="42"/>
  <c r="AK60" i="42" s="1"/>
  <c r="AK51" i="42"/>
  <c r="AK36" i="42"/>
  <c r="AK40" i="42" s="1"/>
  <c r="AV51" i="42"/>
  <c r="AV54" i="42"/>
  <c r="AV60" i="42" s="1"/>
  <c r="AV50" i="42"/>
  <c r="AV36" i="42"/>
  <c r="AV40" i="42" s="1"/>
  <c r="BC51" i="42"/>
  <c r="BC54" i="42"/>
  <c r="BC60" i="42" s="1"/>
  <c r="BC36" i="42"/>
  <c r="BC40" i="42" s="1"/>
  <c r="BC50" i="42"/>
  <c r="AZ54" i="42"/>
  <c r="AZ60" i="42" s="1"/>
  <c r="AZ50" i="42"/>
  <c r="AZ51" i="42"/>
  <c r="AZ36" i="42"/>
  <c r="AZ40" i="42" s="1"/>
  <c r="AX51" i="42"/>
  <c r="AX54" i="42"/>
  <c r="AX60" i="42" s="1"/>
  <c r="AX36" i="42"/>
  <c r="AX40" i="42" s="1"/>
  <c r="AX50" i="42"/>
  <c r="BD36" i="42"/>
  <c r="BD40" i="42" s="1"/>
  <c r="BD51" i="42"/>
  <c r="BD50" i="42"/>
  <c r="BD54" i="42"/>
  <c r="BD60" i="42" s="1"/>
  <c r="BE50" i="42"/>
  <c r="BE54" i="42"/>
  <c r="BE60" i="42" s="1"/>
  <c r="BE36" i="42"/>
  <c r="BE40" i="42" s="1"/>
  <c r="BE51" i="42"/>
  <c r="BA54" i="42"/>
  <c r="BA60" i="42" s="1"/>
  <c r="BA50" i="42"/>
  <c r="BA36" i="42"/>
  <c r="BA40" i="42" s="1"/>
  <c r="BA51" i="42"/>
  <c r="AY50" i="42"/>
  <c r="AY36" i="42"/>
  <c r="AY40" i="42" s="1"/>
  <c r="AY54" i="42"/>
  <c r="AY60" i="42" s="1"/>
  <c r="AY51" i="42"/>
  <c r="AW36" i="42"/>
  <c r="AW40" i="42" s="1"/>
  <c r="AW54" i="42"/>
  <c r="AW60" i="42" s="1"/>
  <c r="AW51" i="42"/>
  <c r="AW50" i="42"/>
  <c r="AU54" i="42"/>
  <c r="AU60" i="42" s="1"/>
  <c r="AU36" i="42"/>
  <c r="AU40" i="42" s="1"/>
  <c r="AU50" i="42"/>
  <c r="AU51" i="42"/>
  <c r="BB54" i="42"/>
  <c r="BB60" i="42" s="1"/>
  <c r="BB51" i="42"/>
  <c r="BB50" i="42"/>
  <c r="BB36" i="42"/>
  <c r="BB40" i="42" s="1"/>
  <c r="BJ28" i="42"/>
  <c r="BI28" i="42"/>
  <c r="BF54" i="42"/>
  <c r="BF60" i="42" s="1"/>
  <c r="BM28" i="42"/>
  <c r="BO28" i="42"/>
  <c r="BN28" i="42"/>
  <c r="BK28" i="42"/>
  <c r="BL28" i="42"/>
  <c r="BF50" i="42"/>
  <c r="BG28" i="42"/>
  <c r="BF36" i="42"/>
  <c r="BF40" i="42" s="1"/>
  <c r="BH28" i="42"/>
  <c r="BF51" i="42"/>
  <c r="K11" i="42" l="1"/>
  <c r="K45" i="42" s="1"/>
  <c r="K59" i="42" s="1"/>
  <c r="K63" i="42" s="1"/>
  <c r="E88" i="14"/>
  <c r="BG88" i="14"/>
  <c r="BM11" i="42"/>
  <c r="F69" i="14"/>
  <c r="O11" i="42"/>
  <c r="O45" i="42" s="1"/>
  <c r="O59" i="42" s="1"/>
  <c r="O63" i="42" s="1"/>
  <c r="I88" i="14"/>
  <c r="W11" i="42"/>
  <c r="W45" i="42" s="1"/>
  <c r="W59" i="42" s="1"/>
  <c r="W63" i="42" s="1"/>
  <c r="Q88" i="14"/>
  <c r="AP88" i="14"/>
  <c r="AV11" i="42"/>
  <c r="AV45" i="42" s="1"/>
  <c r="BG11" i="42"/>
  <c r="BA88" i="14"/>
  <c r="BN11" i="42"/>
  <c r="BH88" i="14"/>
  <c r="AY88" i="14"/>
  <c r="BE11" i="42"/>
  <c r="N11" i="42"/>
  <c r="N45" i="42" s="1"/>
  <c r="N59" i="42" s="1"/>
  <c r="N63" i="42" s="1"/>
  <c r="H88" i="14"/>
  <c r="AU88" i="14"/>
  <c r="BA11" i="42"/>
  <c r="BA45" i="42" s="1"/>
  <c r="BA59" i="42" s="1"/>
  <c r="BA63" i="42" s="1"/>
  <c r="AR11" i="42"/>
  <c r="AR45" i="42" s="1"/>
  <c r="AR59" i="42" s="1"/>
  <c r="AR63" i="42" s="1"/>
  <c r="AL88" i="14"/>
  <c r="AH88" i="14"/>
  <c r="AN11" i="42"/>
  <c r="AN45" i="42" s="1"/>
  <c r="AN59" i="42" s="1"/>
  <c r="AN63" i="42" s="1"/>
  <c r="AY11" i="42"/>
  <c r="AY45" i="42" s="1"/>
  <c r="AY59" i="42" s="1"/>
  <c r="AY63" i="42" s="1"/>
  <c r="AS88" i="14"/>
  <c r="AQ88" i="14"/>
  <c r="AW11" i="42"/>
  <c r="AW45" i="42" s="1"/>
  <c r="AW59" i="42" s="1"/>
  <c r="AW63" i="42" s="1"/>
  <c r="M11" i="42"/>
  <c r="M45" i="42" s="1"/>
  <c r="M59" i="42" s="1"/>
  <c r="M63" i="42" s="1"/>
  <c r="G88" i="14"/>
  <c r="BD88" i="14"/>
  <c r="BJ11" i="42"/>
  <c r="BJ45" i="42" s="1"/>
  <c r="AS11" i="42"/>
  <c r="AS45" i="42" s="1"/>
  <c r="AS59" i="42" s="1"/>
  <c r="AS63" i="42" s="1"/>
  <c r="AM88" i="14"/>
  <c r="AJ11" i="42"/>
  <c r="AJ45" i="42" s="1"/>
  <c r="AD88" i="14"/>
  <c r="Z88" i="14"/>
  <c r="AA69" i="14"/>
  <c r="AF11" i="42"/>
  <c r="AF45" i="42" s="1"/>
  <c r="AF59" i="42" s="1"/>
  <c r="AF63" i="42" s="1"/>
  <c r="AQ11" i="42"/>
  <c r="AQ45" i="42" s="1"/>
  <c r="AQ59" i="42" s="1"/>
  <c r="AQ63" i="42" s="1"/>
  <c r="AK88" i="14"/>
  <c r="AX11" i="42"/>
  <c r="AX45" i="42" s="1"/>
  <c r="AR88" i="14"/>
  <c r="AO11" i="42"/>
  <c r="AO45" i="42" s="1"/>
  <c r="AO59" i="42" s="1"/>
  <c r="AO63" i="42" s="1"/>
  <c r="AI88" i="14"/>
  <c r="BE88" i="14"/>
  <c r="BK11" i="42"/>
  <c r="BK45" i="42" s="1"/>
  <c r="BB11" i="42"/>
  <c r="BB45" i="42" s="1"/>
  <c r="BB59" i="42" s="1"/>
  <c r="BB63" i="42" s="1"/>
  <c r="AV88" i="14"/>
  <c r="AE88" i="14"/>
  <c r="AK11" i="42"/>
  <c r="AK45" i="42" s="1"/>
  <c r="V88" i="14"/>
  <c r="AB11" i="42"/>
  <c r="AB45" i="42" s="1"/>
  <c r="AB59" i="42" s="1"/>
  <c r="AB63" i="42" s="1"/>
  <c r="R88" i="14"/>
  <c r="X11" i="42"/>
  <c r="X45" i="42" s="1"/>
  <c r="X59" i="42" s="1"/>
  <c r="X63" i="42" s="1"/>
  <c r="AD69" i="14"/>
  <c r="AC88" i="14"/>
  <c r="AI11" i="42"/>
  <c r="AI45" i="42" s="1"/>
  <c r="AP11" i="42"/>
  <c r="AP45" i="42" s="1"/>
  <c r="AP59" i="42" s="1"/>
  <c r="AP63" i="42" s="1"/>
  <c r="AJ88" i="14"/>
  <c r="AG11" i="42"/>
  <c r="AG45" i="42" s="1"/>
  <c r="AG59" i="42" s="1"/>
  <c r="AG63" i="42" s="1"/>
  <c r="AA88" i="14"/>
  <c r="AB69" i="14"/>
  <c r="AW88" i="14"/>
  <c r="BC11" i="42"/>
  <c r="BC45" i="42" s="1"/>
  <c r="BC59" i="42" s="1"/>
  <c r="BC63" i="42" s="1"/>
  <c r="AT11" i="42"/>
  <c r="AT45" i="42" s="1"/>
  <c r="AT59" i="42" s="1"/>
  <c r="AT63" i="42" s="1"/>
  <c r="AN88" i="14"/>
  <c r="O88" i="14"/>
  <c r="U11" i="42"/>
  <c r="U45" i="42" s="1"/>
  <c r="U59" i="42" s="1"/>
  <c r="U63" i="42" s="1"/>
  <c r="N69" i="14"/>
  <c r="U88" i="14"/>
  <c r="AA11" i="42"/>
  <c r="AA45" i="42" s="1"/>
  <c r="AA59" i="42" s="1"/>
  <c r="AA63" i="42" s="1"/>
  <c r="AT88" i="14"/>
  <c r="AZ11" i="42"/>
  <c r="AZ45" i="42" s="1"/>
  <c r="BF11" i="42"/>
  <c r="BF45" i="42" s="1"/>
  <c r="BF59" i="42" s="1"/>
  <c r="BF63" i="42" s="1"/>
  <c r="AZ88" i="14"/>
  <c r="O69" i="14"/>
  <c r="P88" i="14"/>
  <c r="V11" i="42"/>
  <c r="V45" i="42" s="1"/>
  <c r="V59" i="42" s="1"/>
  <c r="V63" i="42" s="1"/>
  <c r="AH11" i="42"/>
  <c r="AH45" i="42" s="1"/>
  <c r="AH59" i="42" s="1"/>
  <c r="AH63" i="42" s="1"/>
  <c r="AC69" i="14"/>
  <c r="AB88" i="14"/>
  <c r="Y11" i="42"/>
  <c r="Y45" i="42" s="1"/>
  <c r="Y59" i="42" s="1"/>
  <c r="Y63" i="42" s="1"/>
  <c r="S88" i="14"/>
  <c r="AO88" i="14"/>
  <c r="AU11" i="42"/>
  <c r="AU45" i="42" s="1"/>
  <c r="AU59" i="42" s="1"/>
  <c r="AU63" i="42" s="1"/>
  <c r="AL11" i="42"/>
  <c r="AL45" i="42" s="1"/>
  <c r="AL59" i="42" s="1"/>
  <c r="AL63" i="42" s="1"/>
  <c r="AF88" i="14"/>
  <c r="X69" i="14"/>
  <c r="AC11" i="42"/>
  <c r="AC45" i="42" s="1"/>
  <c r="AC59" i="42" s="1"/>
  <c r="AC63" i="42" s="1"/>
  <c r="W88" i="14"/>
  <c r="Z11" i="42"/>
  <c r="Z45" i="42" s="1"/>
  <c r="Z59" i="42" s="1"/>
  <c r="Z63" i="42" s="1"/>
  <c r="T88" i="14"/>
  <c r="K88" i="14"/>
  <c r="J69" i="14"/>
  <c r="Q11" i="42"/>
  <c r="Q45" i="42" s="1"/>
  <c r="Q59" i="42" s="1"/>
  <c r="Q63" i="42" s="1"/>
  <c r="AG88" i="14"/>
  <c r="AM11" i="42"/>
  <c r="AM45" i="42" s="1"/>
  <c r="AM59" i="42" s="1"/>
  <c r="AM63" i="42" s="1"/>
  <c r="X88" i="14"/>
  <c r="AD11" i="42"/>
  <c r="AD45" i="42" s="1"/>
  <c r="AD59" i="42" s="1"/>
  <c r="AD63" i="42" s="1"/>
  <c r="Y69" i="14"/>
  <c r="BP11" i="42"/>
  <c r="BJ88" i="14"/>
  <c r="BF88" i="14"/>
  <c r="BL11" i="42"/>
  <c r="BL45" i="42" s="1"/>
  <c r="BC88" i="14"/>
  <c r="BI11" i="42"/>
  <c r="T11" i="42"/>
  <c r="T45" i="42" s="1"/>
  <c r="T59" i="42" s="1"/>
  <c r="T63" i="42" s="1"/>
  <c r="M69" i="14"/>
  <c r="N88" i="14"/>
  <c r="L11" i="42"/>
  <c r="L45" i="42" s="1"/>
  <c r="L59" i="42" s="1"/>
  <c r="L63" i="42" s="1"/>
  <c r="F88" i="14"/>
  <c r="M88" i="14"/>
  <c r="S11" i="42"/>
  <c r="S45" i="42" s="1"/>
  <c r="S59" i="42" s="1"/>
  <c r="S63" i="42" s="1"/>
  <c r="L69" i="14"/>
  <c r="R11" i="42"/>
  <c r="R45" i="42" s="1"/>
  <c r="R59" i="42" s="1"/>
  <c r="R63" i="42" s="1"/>
  <c r="L88" i="14"/>
  <c r="K69" i="14"/>
  <c r="G69" i="14"/>
  <c r="J88" i="14"/>
  <c r="P11" i="42"/>
  <c r="P45" i="42" s="1"/>
  <c r="P59" i="42" s="1"/>
  <c r="P63" i="42" s="1"/>
  <c r="Z69" i="14"/>
  <c r="Y88" i="14"/>
  <c r="AE11" i="42"/>
  <c r="AE45" i="42" s="1"/>
  <c r="AE59" i="42" s="1"/>
  <c r="AE63" i="42" s="1"/>
  <c r="D69" i="14"/>
  <c r="D88" i="14"/>
  <c r="J11" i="42"/>
  <c r="J45" i="42" s="1"/>
  <c r="J59" i="42" s="1"/>
  <c r="J63" i="42" s="1"/>
  <c r="BB88" i="14"/>
  <c r="BH11" i="42"/>
  <c r="BH45" i="42" s="1"/>
  <c r="BD11" i="42"/>
  <c r="BD45" i="42" s="1"/>
  <c r="BD59" i="42" s="1"/>
  <c r="BD63" i="42" s="1"/>
  <c r="AX88" i="14"/>
  <c r="BO11" i="42"/>
  <c r="BO45" i="42" s="1"/>
  <c r="BI88" i="14"/>
  <c r="BE13" i="42"/>
  <c r="BQ14" i="42"/>
  <c r="BQ13" i="42" s="1"/>
  <c r="BQ45" i="42" s="1"/>
  <c r="BV13" i="42"/>
  <c r="CC14" i="42"/>
  <c r="CC13" i="42" s="1"/>
  <c r="BR51" i="42"/>
  <c r="BW28" i="42"/>
  <c r="BZ28" i="42"/>
  <c r="BZ51" i="42" s="1"/>
  <c r="BX28" i="42"/>
  <c r="BX50" i="42" s="1"/>
  <c r="CA28" i="42"/>
  <c r="CA51" i="42" s="1"/>
  <c r="BY28" i="42"/>
  <c r="BY54" i="42" s="1"/>
  <c r="BY60" i="42" s="1"/>
  <c r="BT28" i="42"/>
  <c r="BT54" i="42" s="1"/>
  <c r="BT60" i="42" s="1"/>
  <c r="BU28" i="42"/>
  <c r="BU50" i="42" s="1"/>
  <c r="CC28" i="42"/>
  <c r="CC54" i="42" s="1"/>
  <c r="CC60" i="42" s="1"/>
  <c r="BV28" i="42"/>
  <c r="BV36" i="42" s="1"/>
  <c r="BV40" i="42" s="1"/>
  <c r="BS28" i="42"/>
  <c r="BS36" i="42" s="1"/>
  <c r="BS40" i="42" s="1"/>
  <c r="CB28" i="42"/>
  <c r="CB50" i="42" s="1"/>
  <c r="BP45" i="42"/>
  <c r="BP51" i="42"/>
  <c r="BP50" i="42"/>
  <c r="BP54" i="42"/>
  <c r="BP60" i="42" s="1"/>
  <c r="BR36" i="42"/>
  <c r="BR40" i="42" s="1"/>
  <c r="BR45" i="42"/>
  <c r="BR50" i="42"/>
  <c r="BR54" i="42"/>
  <c r="BR60" i="42" s="1"/>
  <c r="BQ36" i="42"/>
  <c r="BQ40" i="42" s="1"/>
  <c r="BQ54" i="42"/>
  <c r="BQ60" i="42" s="1"/>
  <c r="BQ51" i="42"/>
  <c r="BQ50" i="42"/>
  <c r="C42" i="2"/>
  <c r="H81" i="42"/>
  <c r="H84" i="42"/>
  <c r="AI59" i="42"/>
  <c r="AI63" i="42" s="1"/>
  <c r="AJ59" i="42"/>
  <c r="AJ63" i="42" s="1"/>
  <c r="AK59" i="42"/>
  <c r="AK63" i="42" s="1"/>
  <c r="BL36" i="42"/>
  <c r="BL40" i="42" s="1"/>
  <c r="BL51" i="42"/>
  <c r="BL50" i="42"/>
  <c r="BL54" i="42"/>
  <c r="BL60" i="42" s="1"/>
  <c r="AZ59" i="42"/>
  <c r="AZ63" i="42" s="1"/>
  <c r="AX59" i="42"/>
  <c r="AX63" i="42" s="1"/>
  <c r="BN50" i="42"/>
  <c r="BN36" i="42"/>
  <c r="BN40" i="42" s="1"/>
  <c r="BN45" i="42"/>
  <c r="BN54" i="42"/>
  <c r="BN60" i="42" s="1"/>
  <c r="BN51" i="42"/>
  <c r="BK51" i="42"/>
  <c r="BK54" i="42"/>
  <c r="BK60" i="42" s="1"/>
  <c r="BK50" i="42"/>
  <c r="BK36" i="42"/>
  <c r="BK40" i="42" s="1"/>
  <c r="BJ36" i="42"/>
  <c r="BJ40" i="42" s="1"/>
  <c r="BJ51" i="42"/>
  <c r="BJ54" i="42"/>
  <c r="BJ60" i="42" s="1"/>
  <c r="BJ50" i="42"/>
  <c r="BH51" i="42"/>
  <c r="BH54" i="42"/>
  <c r="BH60" i="42" s="1"/>
  <c r="BH50" i="42"/>
  <c r="BH36" i="42"/>
  <c r="BH40" i="42" s="1"/>
  <c r="BO51" i="42"/>
  <c r="BO36" i="42"/>
  <c r="BO40" i="42" s="1"/>
  <c r="BO50" i="42"/>
  <c r="BO54" i="42"/>
  <c r="BO60" i="42" s="1"/>
  <c r="BI36" i="42"/>
  <c r="BI40" i="42" s="1"/>
  <c r="BI50" i="42"/>
  <c r="BI54" i="42"/>
  <c r="BI60" i="42" s="1"/>
  <c r="BI51" i="42"/>
  <c r="BI45" i="42"/>
  <c r="BG36" i="42"/>
  <c r="BG40" i="42" s="1"/>
  <c r="BG50" i="42"/>
  <c r="BG45" i="42"/>
  <c r="BG51" i="42"/>
  <c r="BG54" i="42"/>
  <c r="BG60" i="42" s="1"/>
  <c r="BM51" i="42"/>
  <c r="BM36" i="42"/>
  <c r="BM40" i="42" s="1"/>
  <c r="BM50" i="42"/>
  <c r="BM54" i="42"/>
  <c r="BM60" i="42" s="1"/>
  <c r="BM45" i="42"/>
  <c r="AV59" i="42"/>
  <c r="AV63" i="42" s="1"/>
  <c r="BE45" i="42" l="1"/>
  <c r="BE59" i="42" s="1"/>
  <c r="BE63" i="42" s="1"/>
  <c r="BU54" i="42"/>
  <c r="BU60" i="42" s="1"/>
  <c r="BV50" i="42"/>
  <c r="BU51" i="42"/>
  <c r="BU36" i="42"/>
  <c r="BU40" i="42" s="1"/>
  <c r="BV45" i="42"/>
  <c r="BV54" i="42"/>
  <c r="BV60" i="42" s="1"/>
  <c r="BU45" i="42"/>
  <c r="BZ50" i="42"/>
  <c r="CC51" i="42"/>
  <c r="CC45" i="42"/>
  <c r="BS54" i="42"/>
  <c r="BS60" i="42" s="1"/>
  <c r="BZ36" i="42"/>
  <c r="BZ40" i="42" s="1"/>
  <c r="BZ54" i="42"/>
  <c r="BZ60" i="42" s="1"/>
  <c r="BZ45" i="42"/>
  <c r="CC50" i="42"/>
  <c r="CA45" i="42"/>
  <c r="CC36" i="42"/>
  <c r="CC40" i="42" s="1"/>
  <c r="BS45" i="42"/>
  <c r="CA36" i="42"/>
  <c r="CA40" i="42" s="1"/>
  <c r="BY45" i="42"/>
  <c r="BX36" i="42"/>
  <c r="BX40" i="42" s="1"/>
  <c r="CB51" i="42"/>
  <c r="BY50" i="42"/>
  <c r="BX54" i="42"/>
  <c r="BX60" i="42" s="1"/>
  <c r="BY51" i="42"/>
  <c r="BX51" i="42"/>
  <c r="CA50" i="42"/>
  <c r="BT51" i="42"/>
  <c r="CB45" i="42"/>
  <c r="BX45" i="42"/>
  <c r="BY36" i="42"/>
  <c r="BY40" i="42" s="1"/>
  <c r="BT50" i="42"/>
  <c r="BT45" i="42"/>
  <c r="BT36" i="42"/>
  <c r="BT40" i="42" s="1"/>
  <c r="BV51" i="42"/>
  <c r="CB54" i="42"/>
  <c r="CB60" i="42" s="1"/>
  <c r="CA54" i="42"/>
  <c r="CA60" i="42" s="1"/>
  <c r="BS51" i="42"/>
  <c r="BW45" i="42"/>
  <c r="BW36" i="42"/>
  <c r="BW40" i="42" s="1"/>
  <c r="BW51" i="42"/>
  <c r="BW54" i="42"/>
  <c r="BW60" i="42" s="1"/>
  <c r="BW50" i="42"/>
  <c r="CB36" i="42"/>
  <c r="CB40" i="42" s="1"/>
  <c r="BS50" i="42"/>
  <c r="BP59" i="42"/>
  <c r="BP63" i="42" s="1"/>
  <c r="BR59" i="42"/>
  <c r="BR63" i="42" s="1"/>
  <c r="BQ59" i="42"/>
  <c r="BQ63" i="42" s="1"/>
  <c r="BO59" i="42"/>
  <c r="BO63" i="42" s="1"/>
  <c r="BG59" i="42"/>
  <c r="BG63" i="42" s="1"/>
  <c r="BN59" i="42"/>
  <c r="BN63" i="42" s="1"/>
  <c r="BM59" i="42"/>
  <c r="BM63" i="42" s="1"/>
  <c r="BI59" i="42"/>
  <c r="BI63" i="42" s="1"/>
  <c r="BL59" i="42"/>
  <c r="BL63" i="42" s="1"/>
  <c r="BH59" i="42"/>
  <c r="BH63" i="42" s="1"/>
  <c r="BK59" i="42"/>
  <c r="BK63" i="42" s="1"/>
  <c r="BJ59" i="42"/>
  <c r="BJ63" i="42" s="1"/>
  <c r="BU59" i="42" l="1"/>
  <c r="BU63" i="42" s="1"/>
  <c r="BV59" i="42"/>
  <c r="BV63" i="42" s="1"/>
  <c r="CC59" i="42"/>
  <c r="CC63" i="42" s="1"/>
  <c r="BZ59" i="42"/>
  <c r="BZ63" i="42" s="1"/>
  <c r="BY59" i="42"/>
  <c r="BY63" i="42" s="1"/>
  <c r="BX59" i="42"/>
  <c r="BX63" i="42" s="1"/>
  <c r="CB59" i="42"/>
  <c r="CB63" i="42" s="1"/>
  <c r="CA59" i="42"/>
  <c r="CA63" i="42" s="1"/>
  <c r="BS59" i="42"/>
  <c r="BS63" i="42" s="1"/>
  <c r="BT59" i="42"/>
  <c r="BT63" i="42" s="1"/>
  <c r="CD45" i="42"/>
  <c r="CD51" i="42"/>
  <c r="CD54" i="42"/>
  <c r="CD60" i="42" s="1"/>
  <c r="CD36" i="42"/>
  <c r="CD40" i="42" s="1"/>
  <c r="CD50" i="42"/>
  <c r="BW59" i="42"/>
  <c r="BW63" i="42" s="1"/>
  <c r="CD59" i="42" l="1"/>
  <c r="CD63" i="42" s="1"/>
  <c r="H92" i="42" l="1"/>
  <c r="H94" i="42"/>
  <c r="H93" i="42"/>
  <c r="H95" i="42" l="1"/>
  <c r="H96" i="42" s="1"/>
  <c r="CF32" i="42" l="1"/>
  <c r="CF42" i="42" s="1"/>
  <c r="CF60" i="42"/>
  <c r="CF63" i="42" s="1"/>
  <c r="H72" i="42" l="1"/>
  <c r="H74" i="42"/>
  <c r="CG63" i="42"/>
  <c r="H85" i="42"/>
</calcChain>
</file>

<file path=xl/sharedStrings.xml><?xml version="1.0" encoding="utf-8"?>
<sst xmlns="http://schemas.openxmlformats.org/spreadsheetml/2006/main" count="497" uniqueCount="307">
  <si>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</si>
  <si>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</si>
  <si>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</si>
  <si>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</si>
  <si>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</si>
  <si>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</si>
  <si>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</si>
  <si>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</si>
  <si>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</si>
  <si>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</si>
  <si>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</si>
  <si>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</si>
  <si>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</si>
  <si>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</si>
  <si>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</si>
  <si>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</si>
  <si>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</si>
  <si>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</si>
  <si>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</si>
  <si>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</si>
  <si>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</si>
  <si>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</si>
  <si>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</si>
  <si>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</si>
  <si>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</si>
  <si>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</si>
  <si>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</si>
  <si>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</si>
  <si>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</si>
  <si>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</si>
  <si>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</si>
  <si>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</si>
  <si>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</si>
  <si>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</si>
  <si>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</si>
  <si>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</si>
  <si>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</si>
  <si>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</si>
  <si>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</si>
  <si>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</si>
  <si>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</si>
  <si>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</si>
  <si>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</si>
  <si>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</si>
  <si>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</si>
  <si>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</si>
  <si>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</si>
  <si>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</si>
  <si>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baú</t>
  </si>
  <si>
    <t>Comissão Dibracam Venda usado</t>
  </si>
  <si>
    <t>Adesivos e Acessórios</t>
  </si>
  <si>
    <t>Valor/un. (fornecedor Braspeso)</t>
  </si>
  <si>
    <t>Equipamento (veículo + Implemento)</t>
  </si>
  <si>
    <t>Valor Total Equipamento + Peso</t>
  </si>
  <si>
    <t>Não Finamizável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</si>
  <si>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</si>
  <si>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</si>
  <si>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72 parcelas de R$ 3700</t>
  </si>
  <si>
    <t>Depreciação Contábil Ativo Imobilizado (Equipamento - Veículo + Implemento)</t>
  </si>
  <si>
    <t>% do Valor de Compra</t>
  </si>
  <si>
    <t>% desvalorização ao término do contrato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</si>
  <si>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</si>
  <si>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</si>
  <si>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</si>
  <si>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</si>
  <si>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</si>
  <si>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</si>
  <si>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</si>
  <si>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</si>
  <si>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</si>
  <si>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</si>
  <si>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</si>
  <si>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</si>
  <si>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</si>
  <si>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</si>
  <si>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</si>
  <si>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</si>
  <si>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</si>
  <si>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Ano 4</t>
  </si>
  <si>
    <t>Ano 5</t>
  </si>
  <si>
    <t>Ano 6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</si>
  <si>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</si>
  <si>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</si>
  <si>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</si>
  <si>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</si>
  <si>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</si>
  <si>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</si>
  <si>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</si>
  <si>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</si>
  <si>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</si>
  <si>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</si>
  <si>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</si>
  <si>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</si>
  <si>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</si>
  <si>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</si>
  <si>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</si>
  <si>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</si>
  <si>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</si>
  <si>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</si>
  <si>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</si>
  <si>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</si>
  <si>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</si>
  <si>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</si>
  <si>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</si>
  <si>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</si>
  <si>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</si>
  <si>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</si>
  <si>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</si>
  <si>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</si>
  <si>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</si>
  <si>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</si>
  <si>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</si>
  <si>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</si>
  <si>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</si>
  <si>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</si>
  <si>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</si>
  <si>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</si>
  <si>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</si>
  <si>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</si>
  <si>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</si>
  <si>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</si>
  <si>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</si>
  <si>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</si>
  <si>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</si>
  <si>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</si>
  <si>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</si>
  <si>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</si>
  <si>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</si>
  <si>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</si>
  <si>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atenção a última célula do fluxo (CR63 foi digitada manualmente)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</si>
  <si>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</si>
  <si>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</si>
  <si>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</si>
  <si>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</si>
  <si>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</si>
  <si>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</si>
  <si>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</si>
  <si>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</si>
  <si>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</si>
  <si>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</si>
  <si>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</si>
  <si>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</si>
  <si>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</si>
  <si>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</si>
  <si>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</si>
  <si>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</si>
  <si>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</si>
  <si>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</si>
  <si>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</si>
  <si>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</si>
  <si>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</si>
  <si>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</si>
  <si>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</si>
  <si>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</si>
  <si>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</si>
  <si>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</si>
  <si>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</si>
  <si>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</si>
  <si>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</si>
  <si>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</si>
  <si>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</si>
  <si>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</si>
  <si>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</si>
  <si>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</si>
  <si>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</si>
  <si>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</si>
  <si>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</si>
  <si>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</si>
  <si>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</si>
  <si>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</si>
  <si>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 a.m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</si>
  <si>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</si>
  <si>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</si>
  <si>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</si>
  <si>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</si>
  <si>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</si>
  <si>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</si>
  <si>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</si>
  <si>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</si>
  <si>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</si>
  <si>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</si>
  <si>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</si>
  <si>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</si>
  <si>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</si>
  <si>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</si>
  <si>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</si>
  <si>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</si>
  <si>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</si>
  <si>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</si>
  <si>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</si>
  <si>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</si>
  <si>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</si>
  <si>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</si>
  <si>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</si>
  <si>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</si>
  <si>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</si>
  <si>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</si>
  <si>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</si>
  <si>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</si>
  <si>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</si>
  <si>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</si>
  <si>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</si>
  <si>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</si>
  <si>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</si>
  <si>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</si>
  <si>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</si>
  <si>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</si>
  <si>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</si>
  <si>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</si>
  <si>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</si>
  <si>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</si>
  <si>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</si>
  <si>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</si>
  <si>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</si>
  <si>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</si>
  <si>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</si>
  <si>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</si>
  <si>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</si>
  <si>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</si>
  <si>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</si>
  <si>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</si>
  <si>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</si>
  <si>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</si>
  <si>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</si>
  <si>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</si>
  <si>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</si>
  <si>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</si>
  <si>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</si>
  <si>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</si>
  <si>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</si>
  <si>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</si>
  <si>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</si>
  <si>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</si>
  <si>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</si>
  <si>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</si>
  <si>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</si>
  <si>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</si>
  <si>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</si>
  <si>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</si>
  <si>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</si>
  <si>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</si>
  <si>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</si>
  <si>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</si>
  <si>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</si>
  <si>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</si>
  <si>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</si>
  <si>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</si>
  <si>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abaixo</t>
  </si>
  <si>
    <t>Cenário - Preço Venda</t>
  </si>
  <si>
    <t>Despesa ano 1</t>
  </si>
  <si>
    <t>Despesa Ano 2</t>
  </si>
  <si>
    <t>Despesa Ano 3</t>
  </si>
  <si>
    <t>Despesa Ano 4</t>
  </si>
  <si>
    <t>Despesa Ano 5</t>
  </si>
  <si>
    <t>Despesa Ano 6</t>
  </si>
  <si>
    <t>Despesa Ano 7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</si>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</sst>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6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9" fontId="0" fillId="20" borderId="0" xfId="0" applyNumberFormat="1" applyFill="1"/>
    <xf numFmtId="8" fontId="0" fillId="0" borderId="0" xfId="0" applyNumberFormat="1"/>
    <xf numFmtId="0" fontId="37" fillId="20" borderId="0" xfId="0" applyFont="1" applyFill="1"/>
    <xf numFmtId="0" fontId="38" fillId="20" borderId="0" xfId="0" applyFont="1" applyFill="1"/>
    <xf numFmtId="165" fontId="39" fillId="33" borderId="10" xfId="1" applyFont="1" applyFill="1" applyBorder="1"/>
    <xf numFmtId="0" fontId="39" fillId="33" borderId="0" xfId="0" applyFont="1" applyFill="1"/>
    <xf numFmtId="10" fontId="39" fillId="33" borderId="0" xfId="0" applyNumberFormat="1" applyFont="1" applyFill="1"/>
    <xf numFmtId="8" fontId="34" fillId="0" borderId="0" xfId="0" applyNumberFormat="1" applyFont="1"/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36" fillId="32" borderId="0" xfId="0" applyFont="1" applyFill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33" builtinId="8" hidden="1"/>
    <cellStyle name="Hiperlink" xfId="237" builtinId="8" hidden="1"/>
    <cellStyle name="Hiperlink" xfId="241" builtinId="8" hidden="1"/>
    <cellStyle name="Hiperlink" xfId="245" builtinId="8" hidden="1"/>
    <cellStyle name="Hiperlink" xfId="249" builtinId="8" hidden="1"/>
    <cellStyle name="Hiperlink" xfId="253" builtinId="8" hidden="1"/>
    <cellStyle name="Hiperlink" xfId="257" builtinId="8" hidden="1"/>
    <cellStyle name="Hiperlink" xfId="261" builtinId="8" hidden="1"/>
    <cellStyle name="Hiperlink" xfId="265" builtinId="8" hidden="1"/>
    <cellStyle name="Hiperlink" xfId="269" builtinId="8" hidden="1"/>
    <cellStyle name="Hiperlink" xfId="273" builtinId="8" hidden="1"/>
    <cellStyle name="Hiperlink" xfId="277" builtinId="8" hidden="1"/>
    <cellStyle name="Hiperlink" xfId="281" builtinId="8" hidden="1"/>
    <cellStyle name="Hiperlink" xfId="285" builtinId="8" hidden="1"/>
    <cellStyle name="Hiperlink" xfId="289" builtinId="8" hidden="1"/>
    <cellStyle name="Hiperlink" xfId="293" builtinId="8" hidden="1"/>
    <cellStyle name="Hiperlink" xfId="297" builtinId="8" hidden="1"/>
    <cellStyle name="Hiperlink" xfId="301" builtinId="8" hidden="1"/>
    <cellStyle name="Hiperlink" xfId="305" builtinId="8" hidden="1"/>
    <cellStyle name="Hiperlink" xfId="309" builtinId="8" hidden="1"/>
    <cellStyle name="Hiperlink" xfId="313" builtinId="8" hidden="1"/>
    <cellStyle name="Hiperlink" xfId="317" builtinId="8" hidden="1"/>
    <cellStyle name="Hiperlink" xfId="321" builtinId="8" hidden="1"/>
    <cellStyle name="Hiperlink" xfId="325" builtinId="8" hidden="1"/>
    <cellStyle name="Hiperlink" xfId="329" builtinId="8" hidden="1"/>
    <cellStyle name="Hiperlink" xfId="333" builtinId="8" hidden="1"/>
    <cellStyle name="Hiperlink" xfId="337" builtinId="8" hidden="1"/>
    <cellStyle name="Hiperlink" xfId="341" builtinId="8" hidden="1"/>
    <cellStyle name="Hiperlink" xfId="345" builtinId="8" hidden="1"/>
    <cellStyle name="Hiperlink" xfId="349" builtinId="8" hidden="1"/>
    <cellStyle name="Hiperlink" xfId="353" builtinId="8" hidden="1"/>
    <cellStyle name="Hiperlink" xfId="357" builtinId="8" hidden="1"/>
    <cellStyle name="Hiperlink" xfId="361" builtinId="8" hidden="1"/>
    <cellStyle name="Hiperlink" xfId="365" builtinId="8" hidden="1"/>
    <cellStyle name="Hiperlink" xfId="369" builtinId="8" hidden="1"/>
    <cellStyle name="Hiperlink" xfId="373" builtinId="8" hidden="1"/>
    <cellStyle name="Hiperlink" xfId="377" builtinId="8" hidden="1"/>
    <cellStyle name="Hiperlink" xfId="381" builtinId="8" hidden="1"/>
    <cellStyle name="Hiperlink" xfId="385" builtinId="8" hidden="1"/>
    <cellStyle name="Hiperlink" xfId="389" builtinId="8" hidden="1"/>
    <cellStyle name="Hiperlink" xfId="393" builtinId="8" hidden="1"/>
    <cellStyle name="Hiperlink" xfId="397" builtinId="8" hidden="1"/>
    <cellStyle name="Hiperlink" xfId="401" builtinId="8" hidden="1"/>
    <cellStyle name="Hiperlink" xfId="405" builtinId="8" hidden="1"/>
    <cellStyle name="Hiperlink" xfId="409" builtinId="8" hidden="1"/>
    <cellStyle name="Hiperlink" xfId="413" builtinId="8" hidden="1"/>
    <cellStyle name="Hiperlink" xfId="417" builtinId="8" hidden="1"/>
    <cellStyle name="Hiperlink" xfId="421" builtinId="8" hidden="1"/>
    <cellStyle name="Hiperlink" xfId="425" builtinId="8" hidden="1"/>
    <cellStyle name="Hiperlink" xfId="429" builtinId="8" hidden="1"/>
    <cellStyle name="Hiperlink" xfId="433" builtinId="8" hidden="1"/>
    <cellStyle name="Hiperlink" xfId="437" builtinId="8" hidden="1"/>
    <cellStyle name="Hiperlink" xfId="441" builtinId="8" hidden="1"/>
    <cellStyle name="Hiperlink" xfId="445" builtinId="8" hidden="1"/>
    <cellStyle name="Hiperlink" xfId="449" builtinId="8" hidden="1"/>
    <cellStyle name="Hiperlink" xfId="453" builtinId="8" hidden="1"/>
    <cellStyle name="Hiperlink" xfId="457" builtinId="8" hidden="1"/>
    <cellStyle name="Hiperlink" xfId="461" builtinId="8" hidden="1"/>
    <cellStyle name="Hiperlink" xfId="465" builtinId="8" hidden="1"/>
    <cellStyle name="Hiperlink" xfId="469" builtinId="8" hidden="1"/>
    <cellStyle name="Hiperlink" xfId="473" builtinId="8" hidden="1"/>
    <cellStyle name="Hiperlink" xfId="477" builtinId="8" hidden="1"/>
    <cellStyle name="Hiperlink" xfId="481" builtinId="8" hidden="1"/>
    <cellStyle name="Hiperlink" xfId="485" builtinId="8" hidden="1"/>
    <cellStyle name="Hiperlink" xfId="489" builtinId="8" hidden="1"/>
    <cellStyle name="Hiperlink" xfId="493" builtinId="8" hidden="1"/>
    <cellStyle name="Hiperlink" xfId="497" builtinId="8" hidden="1"/>
    <cellStyle name="Hiperlink" xfId="501" builtinId="8" hidden="1"/>
    <cellStyle name="Hiperlink" xfId="505" builtinId="8" hidden="1"/>
    <cellStyle name="Hiperlink" xfId="509" builtinId="8" hidden="1"/>
    <cellStyle name="Hiperlink" xfId="513" builtinId="8" hidden="1"/>
    <cellStyle name="Hiperlink" xfId="517" builtinId="8" hidden="1"/>
    <cellStyle name="Hiperlink" xfId="521" builtinId="8" hidden="1"/>
    <cellStyle name="Hiperlink" xfId="525" builtinId="8" hidden="1"/>
    <cellStyle name="Hiperlink" xfId="529" builtinId="8" hidden="1"/>
    <cellStyle name="Hiperlink" xfId="533" builtinId="8" hidden="1"/>
    <cellStyle name="Hiperlink" xfId="537" builtinId="8" hidden="1"/>
    <cellStyle name="Hiperlink" xfId="541" builtinId="8" hidden="1"/>
    <cellStyle name="Hiperlink" xfId="545" builtinId="8" hidden="1"/>
    <cellStyle name="Hiperlink" xfId="549" builtinId="8" hidden="1"/>
    <cellStyle name="Hiperlink" xfId="553" builtinId="8" hidden="1"/>
    <cellStyle name="Hiperlink" xfId="557" builtinId="8" hidden="1"/>
    <cellStyle name="Hiperlink" xfId="561" builtinId="8" hidden="1"/>
    <cellStyle name="Hiperlink" xfId="565" builtinId="8" hidden="1"/>
    <cellStyle name="Hiperlink" xfId="569" builtinId="8" hidden="1"/>
    <cellStyle name="Hiperlink" xfId="573" builtinId="8" hidden="1"/>
    <cellStyle name="Hiperlink" xfId="577" builtinId="8" hidden="1"/>
    <cellStyle name="Hiperlink" xfId="581" builtinId="8" hidden="1"/>
    <cellStyle name="Hiperlink" xfId="585" builtinId="8" hidden="1"/>
    <cellStyle name="Hiperlink" xfId="589" builtinId="8" hidden="1"/>
    <cellStyle name="Hiperlink" xfId="593" builtinId="8" hidden="1"/>
    <cellStyle name="Hiperlink" xfId="597" builtinId="8" hidden="1"/>
    <cellStyle name="Hiperlink" xfId="601" builtinId="8" hidden="1"/>
    <cellStyle name="Hiperlink" xfId="605" builtinId="8" hidden="1"/>
    <cellStyle name="Hiperlink" xfId="609" builtinId="8" hidden="1"/>
    <cellStyle name="Hiperlink" xfId="613" builtinId="8" hidden="1"/>
    <cellStyle name="Hiperlink" xfId="617" builtinId="8" hidden="1"/>
    <cellStyle name="Hiperlink" xfId="621" builtinId="8" hidden="1"/>
    <cellStyle name="Hiperlink" xfId="625" builtinId="8" hidden="1"/>
    <cellStyle name="Hiperlink" xfId="629" builtinId="8" hidden="1"/>
    <cellStyle name="Hiperlink" xfId="633" builtinId="8" hidden="1"/>
    <cellStyle name="Hiperlink" xfId="637" builtinId="8" hidden="1"/>
    <cellStyle name="Hiperlink" xfId="641" builtinId="8" hidden="1"/>
    <cellStyle name="Hiperlink" xfId="645" builtinId="8" hidden="1"/>
    <cellStyle name="Hiperlink" xfId="649" builtinId="8" hidden="1"/>
    <cellStyle name="Hiperlink" xfId="653" builtinId="8" hidden="1"/>
    <cellStyle name="Hiperlink" xfId="657" builtinId="8" hidden="1"/>
    <cellStyle name="Hiperlink" xfId="661" builtinId="8" hidden="1"/>
    <cellStyle name="Hiperlink" xfId="665" builtinId="8" hidden="1"/>
    <cellStyle name="Hiperlink" xfId="669" builtinId="8" hidden="1"/>
    <cellStyle name="Hiperlink" xfId="673" builtinId="8" hidden="1"/>
    <cellStyle name="Hiperlink" xfId="677" builtinId="8" hidden="1"/>
    <cellStyle name="Hiperlink" xfId="681" builtinId="8" hidden="1"/>
    <cellStyle name="Hiperlink" xfId="685" builtinId="8" hidden="1"/>
    <cellStyle name="Hiperlink" xfId="689" builtinId="8" hidden="1"/>
    <cellStyle name="Hiperlink" xfId="693" builtinId="8" hidden="1"/>
    <cellStyle name="Hiperlink" xfId="697" builtinId="8" hidden="1"/>
    <cellStyle name="Hiperlink" xfId="701" builtinId="8" hidden="1"/>
    <cellStyle name="Hiperlink" xfId="705" builtinId="8" hidden="1"/>
    <cellStyle name="Hiperlink" xfId="709" builtinId="8" hidden="1"/>
    <cellStyle name="Hiperlink" xfId="713" builtinId="8" hidden="1"/>
    <cellStyle name="Hiperlink" xfId="717" builtinId="8" hidden="1"/>
    <cellStyle name="Hiperlink" xfId="721" builtinId="8" hidden="1"/>
    <cellStyle name="Hiperlink" xfId="725" builtinId="8" hidden="1"/>
    <cellStyle name="Hiperlink" xfId="729" builtinId="8" hidden="1"/>
    <cellStyle name="Hiperlink" xfId="733" builtinId="8" hidden="1"/>
    <cellStyle name="Hiperlink" xfId="737" builtinId="8" hidden="1"/>
    <cellStyle name="Hiperlink" xfId="741" builtinId="8" hidden="1"/>
    <cellStyle name="Hiperlink" xfId="745" builtinId="8" hidden="1"/>
    <cellStyle name="Hiperlink" xfId="749" builtinId="8" hidden="1"/>
    <cellStyle name="Hiperlink" xfId="753" builtinId="8" hidden="1"/>
    <cellStyle name="Hiperlink" xfId="757" builtinId="8" hidden="1"/>
    <cellStyle name="Hiperlink" xfId="761" builtinId="8" hidden="1"/>
    <cellStyle name="Hiperlink" xfId="765" builtinId="8" hidden="1"/>
    <cellStyle name="Hiperlink" xfId="767" builtinId="8" hidden="1"/>
    <cellStyle name="Hiperlink" xfId="763" builtinId="8" hidden="1"/>
    <cellStyle name="Hiperlink" xfId="759" builtinId="8" hidden="1"/>
    <cellStyle name="Hiperlink" xfId="755" builtinId="8" hidden="1"/>
    <cellStyle name="Hiperlink" xfId="751" builtinId="8" hidden="1"/>
    <cellStyle name="Hiperlink" xfId="747" builtinId="8" hidden="1"/>
    <cellStyle name="Hiperlink" xfId="743" builtinId="8" hidden="1"/>
    <cellStyle name="Hiperlink" xfId="739" builtinId="8" hidden="1"/>
    <cellStyle name="Hiperlink" xfId="735" builtinId="8" hidden="1"/>
    <cellStyle name="Hiperlink" xfId="731" builtinId="8" hidden="1"/>
    <cellStyle name="Hiperlink" xfId="727" builtinId="8" hidden="1"/>
    <cellStyle name="Hiperlink" xfId="723" builtinId="8" hidden="1"/>
    <cellStyle name="Hiperlink" xfId="719" builtinId="8" hidden="1"/>
    <cellStyle name="Hiperlink" xfId="715" builtinId="8" hidden="1"/>
    <cellStyle name="Hiperlink" xfId="711" builtinId="8" hidden="1"/>
    <cellStyle name="Hiperlink" xfId="707" builtinId="8" hidden="1"/>
    <cellStyle name="Hiperlink" xfId="703" builtinId="8" hidden="1"/>
    <cellStyle name="Hiperlink" xfId="699" builtinId="8" hidden="1"/>
    <cellStyle name="Hiperlink" xfId="695" builtinId="8" hidden="1"/>
    <cellStyle name="Hiperlink" xfId="691" builtinId="8" hidden="1"/>
    <cellStyle name="Hiperlink" xfId="687" builtinId="8" hidden="1"/>
    <cellStyle name="Hiperlink" xfId="683" builtinId="8" hidden="1"/>
    <cellStyle name="Hiperlink" xfId="679" builtinId="8" hidden="1"/>
    <cellStyle name="Hiperlink" xfId="675" builtinId="8" hidden="1"/>
    <cellStyle name="Hiperlink" xfId="671" builtinId="8" hidden="1"/>
    <cellStyle name="Hiperlink" xfId="667" builtinId="8" hidden="1"/>
    <cellStyle name="Hiperlink" xfId="663" builtinId="8" hidden="1"/>
    <cellStyle name="Hiperlink" xfId="659" builtinId="8" hidden="1"/>
    <cellStyle name="Hiperlink" xfId="655" builtinId="8" hidden="1"/>
    <cellStyle name="Hiperlink" xfId="651" builtinId="8" hidden="1"/>
    <cellStyle name="Hiperlink" xfId="647" builtinId="8" hidden="1"/>
    <cellStyle name="Hiperlink" xfId="643" builtinId="8" hidden="1"/>
    <cellStyle name="Hiperlink" xfId="639" builtinId="8" hidden="1"/>
    <cellStyle name="Hiperlink" xfId="635" builtinId="8" hidden="1"/>
    <cellStyle name="Hiperlink" xfId="631" builtinId="8" hidden="1"/>
    <cellStyle name="Hiperlink" xfId="627" builtinId="8" hidden="1"/>
    <cellStyle name="Hiperlink" xfId="623" builtinId="8" hidden="1"/>
    <cellStyle name="Hiperlink" xfId="619" builtinId="8" hidden="1"/>
    <cellStyle name="Hiperlink" xfId="615" builtinId="8" hidden="1"/>
    <cellStyle name="Hiperlink" xfId="611" builtinId="8" hidden="1"/>
    <cellStyle name="Hiperlink" xfId="607" builtinId="8" hidden="1"/>
    <cellStyle name="Hiperlink" xfId="603" builtinId="8" hidden="1"/>
    <cellStyle name="Hiperlink" xfId="599" builtinId="8" hidden="1"/>
    <cellStyle name="Hiperlink" xfId="595" builtinId="8" hidden="1"/>
    <cellStyle name="Hiperlink" xfId="591" builtinId="8" hidden="1"/>
    <cellStyle name="Hiperlink" xfId="587" builtinId="8" hidden="1"/>
    <cellStyle name="Hiperlink" xfId="583" builtinId="8" hidden="1"/>
    <cellStyle name="Hiperlink" xfId="579" builtinId="8" hidden="1"/>
    <cellStyle name="Hiperlink" xfId="575" builtinId="8" hidden="1"/>
    <cellStyle name="Hiperlink" xfId="571" builtinId="8" hidden="1"/>
    <cellStyle name="Hiperlink" xfId="567" builtinId="8" hidden="1"/>
    <cellStyle name="Hiperlink" xfId="563" builtinId="8" hidden="1"/>
    <cellStyle name="Hiperlink" xfId="559" builtinId="8" hidden="1"/>
    <cellStyle name="Hiperlink" xfId="555" builtinId="8" hidden="1"/>
    <cellStyle name="Hiperlink" xfId="551" builtinId="8" hidden="1"/>
    <cellStyle name="Hiperlink" xfId="547" builtinId="8" hidden="1"/>
    <cellStyle name="Hiperlink" xfId="543" builtinId="8" hidden="1"/>
    <cellStyle name="Hiperlink" xfId="539" builtinId="8" hidden="1"/>
    <cellStyle name="Hiperlink" xfId="535" builtinId="8" hidden="1"/>
    <cellStyle name="Hiperlink" xfId="531" builtinId="8" hidden="1"/>
    <cellStyle name="Hiperlink" xfId="527" builtinId="8" hidden="1"/>
    <cellStyle name="Hiperlink" xfId="523" builtinId="8" hidden="1"/>
    <cellStyle name="Hiperlink" xfId="519" builtinId="8" hidden="1"/>
    <cellStyle name="Hiperlink" xfId="515" builtinId="8" hidden="1"/>
    <cellStyle name="Hiperlink" xfId="511" builtinId="8" hidden="1"/>
    <cellStyle name="Hiperlink" xfId="507" builtinId="8" hidden="1"/>
    <cellStyle name="Hiperlink" xfId="503" builtinId="8" hidden="1"/>
    <cellStyle name="Hiperlink" xfId="499" builtinId="8" hidden="1"/>
    <cellStyle name="Hiperlink" xfId="495" builtinId="8" hidden="1"/>
    <cellStyle name="Hiperlink" xfId="491" builtinId="8" hidden="1"/>
    <cellStyle name="Hiperlink" xfId="487" builtinId="8" hidden="1"/>
    <cellStyle name="Hiperlink" xfId="483" builtinId="8" hidden="1"/>
    <cellStyle name="Hiperlink" xfId="479" builtinId="8" hidden="1"/>
    <cellStyle name="Hiperlink" xfId="475" builtinId="8" hidden="1"/>
    <cellStyle name="Hiperlink" xfId="471" builtinId="8" hidden="1"/>
    <cellStyle name="Hiperlink" xfId="467" builtinId="8" hidden="1"/>
    <cellStyle name="Hiperlink" xfId="463" builtinId="8" hidden="1"/>
    <cellStyle name="Hiperlink" xfId="459" builtinId="8" hidden="1"/>
    <cellStyle name="Hiperlink" xfId="455" builtinId="8" hidden="1"/>
    <cellStyle name="Hiperlink" xfId="451" builtinId="8" hidden="1"/>
    <cellStyle name="Hiperlink" xfId="447" builtinId="8" hidden="1"/>
    <cellStyle name="Hiperlink" xfId="443" builtinId="8" hidden="1"/>
    <cellStyle name="Hiperlink" xfId="439" builtinId="8" hidden="1"/>
    <cellStyle name="Hiperlink" xfId="435" builtinId="8" hidden="1"/>
    <cellStyle name="Hiperlink" xfId="431" builtinId="8" hidden="1"/>
    <cellStyle name="Hiperlink" xfId="427" builtinId="8" hidden="1"/>
    <cellStyle name="Hiperlink" xfId="423" builtinId="8" hidden="1"/>
    <cellStyle name="Hiperlink" xfId="419" builtinId="8" hidden="1"/>
    <cellStyle name="Hiperlink" xfId="415" builtinId="8" hidden="1"/>
    <cellStyle name="Hiperlink" xfId="411" builtinId="8" hidden="1"/>
    <cellStyle name="Hiperlink" xfId="407" builtinId="8" hidden="1"/>
    <cellStyle name="Hiperlink" xfId="403" builtinId="8" hidden="1"/>
    <cellStyle name="Hiperlink" xfId="399" builtinId="8" hidden="1"/>
    <cellStyle name="Hiperlink" xfId="395" builtinId="8" hidden="1"/>
    <cellStyle name="Hiperlink" xfId="391" builtinId="8" hidden="1"/>
    <cellStyle name="Hiperlink" xfId="387" builtinId="8" hidden="1"/>
    <cellStyle name="Hiperlink" xfId="383" builtinId="8" hidden="1"/>
    <cellStyle name="Hiperlink" xfId="379" builtinId="8" hidden="1"/>
    <cellStyle name="Hiperlink" xfId="375" builtinId="8" hidden="1"/>
    <cellStyle name="Hiperlink" xfId="371" builtinId="8" hidden="1"/>
    <cellStyle name="Hiperlink" xfId="367" builtinId="8" hidden="1"/>
    <cellStyle name="Hiperlink" xfId="363" builtinId="8" hidden="1"/>
    <cellStyle name="Hiperlink" xfId="359" builtinId="8" hidden="1"/>
    <cellStyle name="Hiperlink" xfId="355" builtinId="8" hidden="1"/>
    <cellStyle name="Hiperlink" xfId="351" builtinId="8" hidden="1"/>
    <cellStyle name="Hiperlink" xfId="347" builtinId="8" hidden="1"/>
    <cellStyle name="Hiperlink" xfId="343" builtinId="8" hidden="1"/>
    <cellStyle name="Hiperlink" xfId="339" builtinId="8" hidden="1"/>
    <cellStyle name="Hiperlink" xfId="335" builtinId="8" hidden="1"/>
    <cellStyle name="Hiperlink" xfId="331" builtinId="8" hidden="1"/>
    <cellStyle name="Hiperlink" xfId="327" builtinId="8" hidden="1"/>
    <cellStyle name="Hiperlink" xfId="323" builtinId="8" hidden="1"/>
    <cellStyle name="Hiperlink" xfId="319" builtinId="8" hidden="1"/>
    <cellStyle name="Hiperlink" xfId="315" builtinId="8" hidden="1"/>
    <cellStyle name="Hiperlink" xfId="311" builtinId="8" hidden="1"/>
    <cellStyle name="Hiperlink" xfId="307" builtinId="8" hidden="1"/>
    <cellStyle name="Hiperlink" xfId="303" builtinId="8" hidden="1"/>
    <cellStyle name="Hiperlink" xfId="299" builtinId="8" hidden="1"/>
    <cellStyle name="Hiperlink" xfId="295" builtinId="8" hidden="1"/>
    <cellStyle name="Hiperlink" xfId="291" builtinId="8" hidden="1"/>
    <cellStyle name="Hiperlink" xfId="287" builtinId="8" hidden="1"/>
    <cellStyle name="Hiperlink" xfId="283" builtinId="8" hidden="1"/>
    <cellStyle name="Hiperlink" xfId="279" builtinId="8" hidden="1"/>
    <cellStyle name="Hiperlink" xfId="275" builtinId="8" hidden="1"/>
    <cellStyle name="Hiperlink" xfId="271" builtinId="8" hidden="1"/>
    <cellStyle name="Hiperlink" xfId="267" builtinId="8" hidden="1"/>
    <cellStyle name="Hiperlink" xfId="263" builtinId="8" hidden="1"/>
    <cellStyle name="Hiperlink" xfId="259" builtinId="8" hidden="1"/>
    <cellStyle name="Hiperlink" xfId="255" builtinId="8" hidden="1"/>
    <cellStyle name="Hiperlink" xfId="251" builtinId="8" hidden="1"/>
    <cellStyle name="Hiperlink" xfId="247" builtinId="8" hidden="1"/>
    <cellStyle name="Hiperlink" xfId="243" builtinId="8" hidden="1"/>
    <cellStyle name="Hiperlink" xfId="239" builtinId="8" hidden="1"/>
    <cellStyle name="Hiperlink" xfId="235" builtinId="8" hidden="1"/>
    <cellStyle name="Hiperlink" xfId="231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61" builtinId="8" hidden="1"/>
    <cellStyle name="Hiperlink" xfId="59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21" builtinId="8" hidden="1"/>
    <cellStyle name="Hiperlink" xfId="19" builtinId="8" hidden="1"/>
    <cellStyle name="Hiperlink" xfId="7" builtinId="8" hidden="1"/>
    <cellStyle name="Hiperlink" xfId="9" builtinId="8" hidden="1"/>
    <cellStyle name="Hiperlink" xfId="5" builtinId="8" hidden="1"/>
    <cellStyle name="Hiperlink" xfId="3" builtinId="8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8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26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94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62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30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8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66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34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502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70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8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406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74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42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10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278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30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66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7" workbookViewId="0">
      <selection activeCell="F30" sqref="F30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50" t="s">
        <v>0</v>
      </c>
      <c r="B1" s="250"/>
      <c r="C1" s="250"/>
    </row>
    <row r="2" spans="1:15" ht="15" customHeight="1" x14ac:dyDescent="0.25">
      <c r="A2" s="250"/>
      <c r="B2" s="250"/>
      <c r="C2" s="250"/>
      <c r="F2" t="s">
        <v>1</v>
      </c>
      <c r="H2" s="214">
        <v>125000</v>
      </c>
    </row>
    <row r="3" spans="1:15" ht="15" customHeight="1" x14ac:dyDescent="0.25">
      <c r="A3" s="250"/>
      <c r="B3" s="250"/>
      <c r="C3" s="250"/>
      <c r="F3" t="s">
        <v>2</v>
      </c>
      <c r="H3" s="84">
        <v>137000</v>
      </c>
    </row>
    <row r="4" spans="1:15" ht="15" customHeight="1" x14ac:dyDescent="0.25">
      <c r="A4" s="250"/>
      <c r="B4" s="250"/>
      <c r="C4" s="250"/>
      <c r="F4" t="s">
        <v>3</v>
      </c>
    </row>
    <row r="5" spans="1:15" ht="15" customHeight="1" x14ac:dyDescent="0.25">
      <c r="A5" s="251" t="s">
        <v>4</v>
      </c>
      <c r="B5" s="251"/>
      <c r="C5" s="251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44652</v>
      </c>
      <c r="F12" t="s">
        <v>21</v>
      </c>
      <c r="G12" s="211">
        <v>600</v>
      </c>
    </row>
    <row r="13" spans="1:15" ht="15" customHeight="1" x14ac:dyDescent="0.25">
      <c r="A13" s="256" t="s">
        <v>22</v>
      </c>
      <c r="B13" s="55" t="s">
        <v>23</v>
      </c>
      <c r="C13" s="55">
        <v>60</v>
      </c>
      <c r="F13" s="55" t="s">
        <v>24</v>
      </c>
      <c r="G13" s="211">
        <v>500</v>
      </c>
    </row>
    <row r="14" spans="1:15" ht="15" customHeight="1" x14ac:dyDescent="0.25">
      <c r="A14" s="256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56"/>
      <c r="B15" s="55" t="s">
        <v>27</v>
      </c>
      <c r="C15" s="167">
        <f>EDATE(C10,C13)</f>
        <v>44593</v>
      </c>
    </row>
    <row r="16" spans="1:15" ht="15" customHeight="1" x14ac:dyDescent="0.25">
      <c r="A16" s="256"/>
      <c r="B16" s="55" t="s">
        <v>20</v>
      </c>
      <c r="C16" s="167">
        <f>EDATE(C15,2)</f>
        <v>44652</v>
      </c>
    </row>
    <row r="17" spans="1:8" x14ac:dyDescent="0.25">
      <c r="A17" s="256"/>
      <c r="B17" s="55" t="s">
        <v>28</v>
      </c>
      <c r="C17" s="181"/>
    </row>
    <row r="18" spans="1:8" x14ac:dyDescent="0.25">
      <c r="A18" s="251" t="s">
        <v>29</v>
      </c>
      <c r="B18" s="251"/>
      <c r="C18" s="251"/>
    </row>
    <row r="19" spans="1:8" x14ac:dyDescent="0.25">
      <c r="B19" t="s">
        <v>30</v>
      </c>
      <c r="C19">
        <v>12</v>
      </c>
      <c r="E19" s="255" t="s">
        <v>31</v>
      </c>
      <c r="F19" s="255"/>
    </row>
    <row r="20" spans="1:8" x14ac:dyDescent="0.25">
      <c r="B20" t="s">
        <v>32</v>
      </c>
      <c r="C20" s="3">
        <f>EDATE(C10,C19)</f>
        <v>43132</v>
      </c>
      <c r="E20" s="255"/>
      <c r="F20" s="255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230" t="s">
        <v>37</v>
      </c>
      <c r="C22" s="231">
        <v>0.03</v>
      </c>
      <c r="D22" s="223" t="s">
        <v>38</v>
      </c>
      <c r="E22" s="222">
        <f>C33</f>
        <v>257000</v>
      </c>
      <c r="F22" s="235">
        <v>0</v>
      </c>
    </row>
    <row r="23" spans="1:8" x14ac:dyDescent="0.25">
      <c r="A23" s="251" t="s">
        <v>39</v>
      </c>
      <c r="B23" s="251"/>
      <c r="C23" s="251"/>
      <c r="D23" s="195">
        <v>0.23</v>
      </c>
      <c r="E23" s="177">
        <f t="shared" ref="E23:E28" si="0">E22*(1-D23)</f>
        <v>197890</v>
      </c>
      <c r="F23" s="209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5">
        <v>0.13</v>
      </c>
      <c r="E24" s="154">
        <f t="shared" si="0"/>
        <v>172164.3</v>
      </c>
      <c r="F24" s="235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0.13</v>
      </c>
      <c r="E25" s="177">
        <f t="shared" si="0"/>
        <v>149782.94099999999</v>
      </c>
      <c r="F25" s="209">
        <v>3</v>
      </c>
    </row>
    <row r="26" spans="1:8" x14ac:dyDescent="0.25">
      <c r="A26" s="236" t="s">
        <v>22</v>
      </c>
      <c r="B26" s="55" t="s">
        <v>44</v>
      </c>
      <c r="C26" s="94"/>
      <c r="D26" s="195">
        <v>0.13</v>
      </c>
      <c r="E26" s="176">
        <f t="shared" si="0"/>
        <v>130311.15866999999</v>
      </c>
      <c r="F26" s="235">
        <v>4</v>
      </c>
    </row>
    <row r="27" spans="1:8" x14ac:dyDescent="0.25">
      <c r="A27" s="236"/>
      <c r="B27" s="55"/>
      <c r="C27" s="94"/>
      <c r="D27" s="195">
        <v>0.18</v>
      </c>
      <c r="E27" s="176">
        <f t="shared" si="0"/>
        <v>106855.1501094</v>
      </c>
      <c r="F27" s="209">
        <v>5</v>
      </c>
    </row>
    <row r="28" spans="1:8" ht="16.5" thickBot="1" x14ac:dyDescent="0.3">
      <c r="A28" s="251" t="s">
        <v>45</v>
      </c>
      <c r="B28" s="251"/>
      <c r="C28" s="251"/>
      <c r="D28" s="225">
        <v>0.14000000000000001</v>
      </c>
      <c r="E28" s="176">
        <f t="shared" si="0"/>
        <v>91895.429094084</v>
      </c>
      <c r="F28" s="209">
        <v>6</v>
      </c>
    </row>
    <row r="29" spans="1:8" ht="16.5" thickBot="1" x14ac:dyDescent="0.3">
      <c r="A29" s="221" t="s">
        <v>46</v>
      </c>
      <c r="B29" s="92" t="s">
        <v>47</v>
      </c>
      <c r="C29" s="93">
        <v>257000</v>
      </c>
      <c r="E29" s="154">
        <f>1*0.8*0.85</f>
        <v>0.68</v>
      </c>
      <c r="H29" s="176">
        <f>C32</f>
        <v>257000</v>
      </c>
    </row>
    <row r="30" spans="1:8" ht="16.5" thickBot="1" x14ac:dyDescent="0.3">
      <c r="A30" s="91" t="s">
        <v>48</v>
      </c>
      <c r="B30" s="92" t="s">
        <v>47</v>
      </c>
      <c r="C30" s="93"/>
      <c r="E30" s="217" t="s">
        <v>49</v>
      </c>
      <c r="F30" s="219">
        <v>5.8000000000000003E-2</v>
      </c>
    </row>
    <row r="31" spans="1:8" ht="16.5" thickBot="1" x14ac:dyDescent="0.3">
      <c r="A31" s="91" t="s">
        <v>50</v>
      </c>
      <c r="B31" s="92" t="s">
        <v>51</v>
      </c>
      <c r="C31" s="93"/>
    </row>
    <row r="32" spans="1:8" ht="30" customHeight="1" thickBot="1" x14ac:dyDescent="0.3">
      <c r="A32" s="185" t="s">
        <v>52</v>
      </c>
      <c r="B32" s="92" t="s">
        <v>47</v>
      </c>
      <c r="C32" s="93">
        <f>C29+C30</f>
        <v>257000</v>
      </c>
      <c r="D32" s="176">
        <f>C30*0.3</f>
        <v>0</v>
      </c>
      <c r="E32" s="154"/>
      <c r="F32" s="176"/>
    </row>
    <row r="33" spans="1:6" ht="30" customHeight="1" x14ac:dyDescent="0.25">
      <c r="A33" s="166" t="s">
        <v>53</v>
      </c>
      <c r="B33" t="s">
        <v>47</v>
      </c>
      <c r="C33" s="90">
        <f>SUM(C31:C32)</f>
        <v>257000</v>
      </c>
      <c r="D33" s="176" t="s">
        <v>54</v>
      </c>
      <c r="E33" s="154"/>
      <c r="F33" s="176"/>
    </row>
    <row r="34" spans="1:6" ht="16.5" thickBot="1" x14ac:dyDescent="0.3">
      <c r="A34" s="234" t="s">
        <v>55</v>
      </c>
      <c r="B34" s="234"/>
      <c r="C34" s="234"/>
      <c r="E34" s="154"/>
      <c r="F34" s="176"/>
    </row>
    <row r="35" spans="1:6" ht="33" customHeight="1" thickBot="1" x14ac:dyDescent="0.3">
      <c r="A35" s="186" t="s">
        <v>56</v>
      </c>
      <c r="B35" s="168"/>
      <c r="C35" s="169">
        <v>7</v>
      </c>
      <c r="D35" s="230" t="s">
        <v>57</v>
      </c>
      <c r="E35" s="154"/>
    </row>
    <row r="36" spans="1:6" ht="30.95" customHeight="1" thickBot="1" x14ac:dyDescent="0.3">
      <c r="A36" s="91" t="str">
        <f>A29</f>
        <v>express</v>
      </c>
      <c r="B36" s="92" t="s">
        <v>47</v>
      </c>
      <c r="C36" s="229">
        <v>86565.494206627118</v>
      </c>
      <c r="D36" s="234"/>
      <c r="E36" s="234"/>
    </row>
    <row r="37" spans="1:6" ht="32.25" thickBot="1" x14ac:dyDescent="0.3">
      <c r="A37" s="251" t="s">
        <v>58</v>
      </c>
      <c r="B37" s="251"/>
      <c r="C37" s="251"/>
      <c r="D37" s="170" t="s">
        <v>59</v>
      </c>
      <c r="E37" s="171" t="s">
        <v>60</v>
      </c>
    </row>
    <row r="38" spans="1:6" ht="16.5" thickBot="1" x14ac:dyDescent="0.3">
      <c r="A38" s="252" t="s">
        <v>61</v>
      </c>
      <c r="B38" s="252"/>
      <c r="C38" s="42">
        <v>0.25</v>
      </c>
      <c r="D38" s="179">
        <f>C36/(C29+C30)</f>
        <v>0.33683071675730397</v>
      </c>
      <c r="E38" s="179">
        <f>1-D38</f>
        <v>0.66316928324269608</v>
      </c>
    </row>
    <row r="39" spans="1:6" x14ac:dyDescent="0.25">
      <c r="A39" s="252" t="s">
        <v>62</v>
      </c>
      <c r="B39" s="253"/>
      <c r="C39" s="159">
        <f>C38/12</f>
        <v>2.0833333333333332E-2</v>
      </c>
    </row>
    <row r="40" spans="1:6" ht="16.5" thickBot="1" x14ac:dyDescent="0.3">
      <c r="A40" s="252" t="s">
        <v>63</v>
      </c>
      <c r="B40" s="252"/>
      <c r="C40" s="187">
        <f>C32</f>
        <v>257000</v>
      </c>
    </row>
    <row r="41" spans="1:6" ht="16.5" thickBot="1" x14ac:dyDescent="0.3">
      <c r="A41" s="257" t="s">
        <v>64</v>
      </c>
      <c r="B41" s="254"/>
      <c r="C41" s="188">
        <f>C40*C39</f>
        <v>5354.1666666666661</v>
      </c>
      <c r="D41" s="224">
        <f>C36+35000</f>
        <v>121565.49420662712</v>
      </c>
    </row>
    <row r="42" spans="1:6" ht="16.5" thickBot="1" x14ac:dyDescent="0.3">
      <c r="A42" s="254" t="s">
        <v>65</v>
      </c>
      <c r="B42" s="254"/>
      <c r="C42" s="201">
        <f>SUM(Cashflow!H21:CK21)</f>
        <v>256999.9999999998</v>
      </c>
    </row>
    <row r="43" spans="1:6" ht="16.5" thickBot="1" x14ac:dyDescent="0.3">
      <c r="A43" s="254"/>
      <c r="B43" s="254"/>
      <c r="C43" s="201"/>
    </row>
    <row r="44" spans="1:6" x14ac:dyDescent="0.25">
      <c r="A44" s="249" t="s">
        <v>66</v>
      </c>
      <c r="B44" s="249"/>
      <c r="C44" s="249"/>
    </row>
    <row r="45" spans="1:6" x14ac:dyDescent="0.25">
      <c r="B45" s="5"/>
      <c r="C45" s="5" t="s">
        <v>67</v>
      </c>
    </row>
    <row r="46" spans="1:6" x14ac:dyDescent="0.25">
      <c r="B46" s="5" t="s">
        <v>68</v>
      </c>
      <c r="C46" s="35">
        <v>6.4999999999999997E-3</v>
      </c>
    </row>
    <row r="47" spans="1:6" x14ac:dyDescent="0.25">
      <c r="B47" s="5" t="s">
        <v>69</v>
      </c>
      <c r="C47" s="36">
        <v>0.03</v>
      </c>
    </row>
    <row r="48" spans="1:6" x14ac:dyDescent="0.25">
      <c r="B48" s="5" t="s">
        <v>70</v>
      </c>
      <c r="C48" s="36">
        <v>3.6999999999999998E-2</v>
      </c>
    </row>
    <row r="54" ht="27" customHeight="1" x14ac:dyDescent="0.25"/>
  </sheetData>
  <mergeCells count="15">
    <mergeCell ref="E19:F20"/>
    <mergeCell ref="A13:A17"/>
    <mergeCell ref="A40:B40"/>
    <mergeCell ref="A41:B41"/>
    <mergeCell ref="A42:B42"/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CS96"/>
  <sheetViews>
    <sheetView showGridLines="0" topLeftCell="F1" zoomScale="90" zoomScaleNormal="90" zoomScalePageLayoutView="90" workbookViewId="0">
      <pane xSplit="5" ySplit="9" topLeftCell="K84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84" x14ac:dyDescent="0.25">
      <c r="G1" s="259" t="s">
        <v>71</v>
      </c>
      <c r="H1" s="260"/>
    </row>
    <row r="2" spans="1:84" ht="15.95" customHeight="1" x14ac:dyDescent="0.25">
      <c r="G2" s="85" t="s">
        <v>72</v>
      </c>
      <c r="H2" s="86">
        <f>Dados!C13</f>
        <v>60</v>
      </c>
    </row>
    <row r="3" spans="1:84" ht="32.1" customHeight="1" x14ac:dyDescent="0.25">
      <c r="G3" s="85" t="s">
        <v>73</v>
      </c>
      <c r="H3" s="207" t="str">
        <f>Dados!A29</f>
        <v>express</v>
      </c>
    </row>
    <row r="4" spans="1:84" x14ac:dyDescent="0.25">
      <c r="G4" s="85" t="s">
        <v>74</v>
      </c>
      <c r="H4" s="86">
        <f>Dados!C14</f>
        <v>0</v>
      </c>
    </row>
    <row r="5" spans="1:84" x14ac:dyDescent="0.25">
      <c r="G5" s="261"/>
      <c r="H5" s="261"/>
      <c r="I5" s="101"/>
      <c r="J5" s="262" t="s">
        <v>75</v>
      </c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3" t="s">
        <v>76</v>
      </c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4" t="s">
        <v>77</v>
      </c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70" t="s">
        <v>78</v>
      </c>
      <c r="AU5" s="270"/>
      <c r="AV5" s="270"/>
      <c r="AW5" s="270"/>
      <c r="AX5" s="270"/>
      <c r="AY5" s="270"/>
      <c r="AZ5" s="270"/>
      <c r="BA5" s="270"/>
      <c r="BB5" s="270"/>
      <c r="BC5" s="270"/>
      <c r="BD5" s="270"/>
      <c r="BE5" s="270"/>
      <c r="BF5" s="271" t="s">
        <v>79</v>
      </c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58" t="s">
        <v>80</v>
      </c>
      <c r="BS5" s="258"/>
      <c r="BT5" s="258"/>
      <c r="BU5" s="258"/>
      <c r="BV5" s="258"/>
      <c r="BW5" s="258"/>
      <c r="BX5" s="258"/>
      <c r="BY5" s="258"/>
      <c r="BZ5" s="258"/>
      <c r="CA5" s="258"/>
      <c r="CB5" s="258"/>
      <c r="CC5" s="258"/>
      <c r="CD5" s="208" t="s">
        <v>81</v>
      </c>
      <c r="CE5" s="208"/>
      <c r="CF5" s="208"/>
    </row>
    <row r="6" spans="1:84" x14ac:dyDescent="0.25">
      <c r="E6">
        <v>6</v>
      </c>
      <c r="CD6" s="102"/>
      <c r="CE6" s="102"/>
      <c r="CF6" s="102"/>
    </row>
    <row r="7" spans="1:84" x14ac:dyDescent="0.25">
      <c r="G7" s="5"/>
      <c r="H7" s="14">
        <v>43282</v>
      </c>
      <c r="I7" s="14">
        <f>EDATE(H7,1)</f>
        <v>43313</v>
      </c>
      <c r="J7" s="14">
        <f t="shared" ref="J7:T7" si="0">EDATE(I7,1)</f>
        <v>43344</v>
      </c>
      <c r="K7" s="14">
        <f t="shared" si="0"/>
        <v>43374</v>
      </c>
      <c r="L7" s="14">
        <f t="shared" si="0"/>
        <v>43405</v>
      </c>
      <c r="M7" s="14">
        <f t="shared" si="0"/>
        <v>43435</v>
      </c>
      <c r="N7" s="14">
        <f t="shared" si="0"/>
        <v>43466</v>
      </c>
      <c r="O7" s="14">
        <f t="shared" si="0"/>
        <v>43497</v>
      </c>
      <c r="P7" s="14">
        <f t="shared" si="0"/>
        <v>43525</v>
      </c>
      <c r="Q7" s="14">
        <f t="shared" si="0"/>
        <v>43556</v>
      </c>
      <c r="R7" s="14">
        <f t="shared" si="0"/>
        <v>43586</v>
      </c>
      <c r="S7" s="14">
        <f t="shared" si="0"/>
        <v>43617</v>
      </c>
      <c r="T7" s="14">
        <f t="shared" si="0"/>
        <v>43647</v>
      </c>
      <c r="U7" s="14">
        <f>EDATE(T7,1)</f>
        <v>43678</v>
      </c>
      <c r="V7" s="14">
        <f t="shared" ref="V7:AG7" si="1">EDATE(U7,1)</f>
        <v>43709</v>
      </c>
      <c r="W7" s="14">
        <f t="shared" si="1"/>
        <v>43739</v>
      </c>
      <c r="X7" s="14">
        <f t="shared" si="1"/>
        <v>43770</v>
      </c>
      <c r="Y7" s="14">
        <f t="shared" si="1"/>
        <v>43800</v>
      </c>
      <c r="Z7" s="14">
        <f t="shared" si="1"/>
        <v>43831</v>
      </c>
      <c r="AA7" s="14">
        <f t="shared" si="1"/>
        <v>43862</v>
      </c>
      <c r="AB7" s="14">
        <f t="shared" si="1"/>
        <v>43891</v>
      </c>
      <c r="AC7" s="14">
        <f t="shared" si="1"/>
        <v>43922</v>
      </c>
      <c r="AD7" s="14">
        <f t="shared" si="1"/>
        <v>43952</v>
      </c>
      <c r="AE7" s="14">
        <f t="shared" si="1"/>
        <v>43983</v>
      </c>
      <c r="AF7" s="14">
        <f t="shared" si="1"/>
        <v>44013</v>
      </c>
      <c r="AG7" s="14">
        <f t="shared" si="1"/>
        <v>44044</v>
      </c>
      <c r="AH7" s="14">
        <f>EDATE(AG7,1)</f>
        <v>44075</v>
      </c>
      <c r="AI7" s="14">
        <f t="shared" ref="AI7:AS7" si="2">EDATE(AH7,1)</f>
        <v>44105</v>
      </c>
      <c r="AJ7" s="14">
        <f t="shared" si="2"/>
        <v>44136</v>
      </c>
      <c r="AK7" s="14">
        <f t="shared" si="2"/>
        <v>44166</v>
      </c>
      <c r="AL7" s="14">
        <f t="shared" si="2"/>
        <v>44197</v>
      </c>
      <c r="AM7" s="14">
        <f t="shared" si="2"/>
        <v>44228</v>
      </c>
      <c r="AN7" s="14">
        <f t="shared" si="2"/>
        <v>44256</v>
      </c>
      <c r="AO7" s="14">
        <f t="shared" si="2"/>
        <v>44287</v>
      </c>
      <c r="AP7" s="14">
        <f t="shared" si="2"/>
        <v>44317</v>
      </c>
      <c r="AQ7" s="14">
        <f t="shared" si="2"/>
        <v>44348</v>
      </c>
      <c r="AR7" s="14">
        <f t="shared" si="2"/>
        <v>44378</v>
      </c>
      <c r="AS7" s="14">
        <f t="shared" si="2"/>
        <v>44409</v>
      </c>
      <c r="AT7" s="14">
        <f>EDATE(AS7,1)</f>
        <v>44440</v>
      </c>
      <c r="AU7" s="14">
        <f t="shared" ref="AU7" si="3">EDATE(AT7,1)</f>
        <v>44470</v>
      </c>
      <c r="AV7" s="14">
        <f t="shared" ref="AV7" si="4">EDATE(AU7,1)</f>
        <v>44501</v>
      </c>
      <c r="AW7" s="14">
        <f t="shared" ref="AW7" si="5">EDATE(AV7,1)</f>
        <v>44531</v>
      </c>
      <c r="AX7" s="14">
        <f t="shared" ref="AX7" si="6">EDATE(AW7,1)</f>
        <v>44562</v>
      </c>
      <c r="AY7" s="14">
        <f t="shared" ref="AY7" si="7">EDATE(AX7,1)</f>
        <v>44593</v>
      </c>
      <c r="AZ7" s="14">
        <f t="shared" ref="AZ7" si="8">EDATE(AY7,1)</f>
        <v>44621</v>
      </c>
      <c r="BA7" s="14">
        <f t="shared" ref="BA7" si="9">EDATE(AZ7,1)</f>
        <v>44652</v>
      </c>
      <c r="BB7" s="14">
        <f t="shared" ref="BB7" si="10">EDATE(BA7,1)</f>
        <v>44682</v>
      </c>
      <c r="BC7" s="14">
        <f t="shared" ref="BC7" si="11">EDATE(BB7,1)</f>
        <v>44713</v>
      </c>
      <c r="BD7" s="14">
        <f t="shared" ref="BD7" si="12">EDATE(BC7,1)</f>
        <v>44743</v>
      </c>
      <c r="BE7" s="14">
        <f t="shared" ref="BE7" si="13">EDATE(BD7,1)</f>
        <v>44774</v>
      </c>
      <c r="BF7" s="14">
        <f>EDATE(BE7,1)</f>
        <v>44805</v>
      </c>
      <c r="BG7" s="14">
        <f t="shared" ref="BG7" si="14">EDATE(BF7,1)</f>
        <v>44835</v>
      </c>
      <c r="BH7" s="14">
        <f t="shared" ref="BH7" si="15">EDATE(BG7,1)</f>
        <v>44866</v>
      </c>
      <c r="BI7" s="14">
        <f t="shared" ref="BI7" si="16">EDATE(BH7,1)</f>
        <v>44896</v>
      </c>
      <c r="BJ7" s="14">
        <f t="shared" ref="BJ7" si="17">EDATE(BI7,1)</f>
        <v>44927</v>
      </c>
      <c r="BK7" s="14">
        <f t="shared" ref="BK7" si="18">EDATE(BJ7,1)</f>
        <v>44958</v>
      </c>
      <c r="BL7" s="14">
        <f t="shared" ref="BL7" si="19">EDATE(BK7,1)</f>
        <v>44986</v>
      </c>
      <c r="BM7" s="14">
        <f t="shared" ref="BM7" si="20">EDATE(BL7,1)</f>
        <v>45017</v>
      </c>
      <c r="BN7" s="14">
        <f t="shared" ref="BN7" si="21">EDATE(BM7,1)</f>
        <v>45047</v>
      </c>
      <c r="BO7" s="14">
        <f t="shared" ref="BO7" si="22">EDATE(BN7,1)</f>
        <v>45078</v>
      </c>
      <c r="BP7" s="14">
        <f t="shared" ref="BP7:BU7" si="23">EDATE(BJ7,1)</f>
        <v>44958</v>
      </c>
      <c r="BQ7" s="14">
        <f t="shared" si="23"/>
        <v>44986</v>
      </c>
      <c r="BR7" s="14">
        <f t="shared" si="23"/>
        <v>45017</v>
      </c>
      <c r="BS7" s="14">
        <f t="shared" si="23"/>
        <v>45047</v>
      </c>
      <c r="BT7" s="14">
        <f t="shared" si="23"/>
        <v>45078</v>
      </c>
      <c r="BU7" s="14">
        <f t="shared" si="23"/>
        <v>45108</v>
      </c>
      <c r="BV7" s="14">
        <f t="shared" ref="BV7" si="24">EDATE(BU7,1)</f>
        <v>45139</v>
      </c>
      <c r="BW7" s="14">
        <f>EDATE(BV7,1)</f>
        <v>45170</v>
      </c>
      <c r="BX7" s="14">
        <f t="shared" ref="BX7" si="25">EDATE(BW7,1)</f>
        <v>45200</v>
      </c>
      <c r="BY7" s="14">
        <f t="shared" ref="BY7" si="26">EDATE(BX7,1)</f>
        <v>45231</v>
      </c>
      <c r="BZ7" s="14">
        <f t="shared" ref="BZ7" si="27">EDATE(BY7,1)</f>
        <v>45261</v>
      </c>
      <c r="CA7" s="14">
        <f t="shared" ref="CA7" si="28">EDATE(BZ7,1)</f>
        <v>45292</v>
      </c>
      <c r="CB7" s="14">
        <f t="shared" ref="CB7" si="29">EDATE(CA7,1)</f>
        <v>45323</v>
      </c>
      <c r="CC7" s="14">
        <f t="shared" ref="CC7" si="30">EDATE(CB7,1)</f>
        <v>45352</v>
      </c>
      <c r="CD7" s="14">
        <f t="shared" ref="CD7" si="31">EDATE(CC7,1)</f>
        <v>45383</v>
      </c>
      <c r="CE7" s="14">
        <f t="shared" ref="CE7" si="32">EDATE(CD7,1)</f>
        <v>45413</v>
      </c>
      <c r="CF7" s="14">
        <f t="shared" ref="CF7" si="33">EDATE(CE7,1)</f>
        <v>45444</v>
      </c>
    </row>
    <row r="8" spans="1:84" x14ac:dyDescent="0.25">
      <c r="G8" s="16" t="s">
        <v>82</v>
      </c>
      <c r="H8" s="15">
        <v>0</v>
      </c>
      <c r="I8" s="15">
        <f>H8+1</f>
        <v>1</v>
      </c>
      <c r="J8" s="15">
        <f>I8+1</f>
        <v>2</v>
      </c>
      <c r="K8" s="15">
        <f t="shared" ref="K8:T8" si="34">J8+1</f>
        <v>3</v>
      </c>
      <c r="L8" s="15">
        <f t="shared" si="34"/>
        <v>4</v>
      </c>
      <c r="M8" s="15">
        <f t="shared" si="34"/>
        <v>5</v>
      </c>
      <c r="N8" s="15">
        <f t="shared" si="34"/>
        <v>6</v>
      </c>
      <c r="O8" s="15">
        <f t="shared" si="34"/>
        <v>7</v>
      </c>
      <c r="P8" s="15">
        <f t="shared" si="34"/>
        <v>8</v>
      </c>
      <c r="Q8" s="15">
        <f t="shared" si="34"/>
        <v>9</v>
      </c>
      <c r="R8" s="15">
        <f t="shared" si="34"/>
        <v>10</v>
      </c>
      <c r="S8" s="15">
        <f t="shared" si="34"/>
        <v>11</v>
      </c>
      <c r="T8" s="15">
        <f t="shared" si="34"/>
        <v>12</v>
      </c>
      <c r="U8" s="15">
        <f>T8+1</f>
        <v>13</v>
      </c>
      <c r="V8" s="15">
        <f t="shared" ref="V8:AG8" si="35">U8+1</f>
        <v>14</v>
      </c>
      <c r="W8" s="15">
        <f t="shared" si="35"/>
        <v>15</v>
      </c>
      <c r="X8" s="15">
        <f t="shared" si="35"/>
        <v>16</v>
      </c>
      <c r="Y8" s="15">
        <f t="shared" si="35"/>
        <v>17</v>
      </c>
      <c r="Z8" s="15">
        <f t="shared" si="35"/>
        <v>18</v>
      </c>
      <c r="AA8" s="15">
        <f t="shared" si="35"/>
        <v>19</v>
      </c>
      <c r="AB8" s="15">
        <f t="shared" si="35"/>
        <v>20</v>
      </c>
      <c r="AC8" s="15">
        <f t="shared" si="35"/>
        <v>21</v>
      </c>
      <c r="AD8" s="15">
        <f t="shared" si="35"/>
        <v>22</v>
      </c>
      <c r="AE8" s="15">
        <f t="shared" si="35"/>
        <v>23</v>
      </c>
      <c r="AF8" s="15">
        <f t="shared" si="35"/>
        <v>24</v>
      </c>
      <c r="AG8" s="15">
        <f t="shared" si="35"/>
        <v>25</v>
      </c>
      <c r="AH8" s="15">
        <f>AG8+1</f>
        <v>26</v>
      </c>
      <c r="AI8" s="15">
        <f t="shared" ref="AI8:AS8" si="36">AH8+1</f>
        <v>27</v>
      </c>
      <c r="AJ8" s="15">
        <f t="shared" si="36"/>
        <v>28</v>
      </c>
      <c r="AK8" s="15">
        <f t="shared" si="36"/>
        <v>29</v>
      </c>
      <c r="AL8" s="15">
        <f t="shared" si="36"/>
        <v>30</v>
      </c>
      <c r="AM8" s="15">
        <f t="shared" si="36"/>
        <v>31</v>
      </c>
      <c r="AN8" s="15">
        <f t="shared" si="36"/>
        <v>32</v>
      </c>
      <c r="AO8" s="15">
        <f t="shared" si="36"/>
        <v>33</v>
      </c>
      <c r="AP8" s="15">
        <f t="shared" si="36"/>
        <v>34</v>
      </c>
      <c r="AQ8" s="15">
        <f t="shared" si="36"/>
        <v>35</v>
      </c>
      <c r="AR8" s="15">
        <f t="shared" si="36"/>
        <v>36</v>
      </c>
      <c r="AS8" s="15">
        <f t="shared" si="36"/>
        <v>37</v>
      </c>
      <c r="AT8" s="15">
        <f t="shared" ref="AT8" si="37">AS8+1</f>
        <v>38</v>
      </c>
      <c r="AU8" s="15">
        <f t="shared" ref="AU8" si="38">AT8+1</f>
        <v>39</v>
      </c>
      <c r="AV8" s="15">
        <f t="shared" ref="AV8" si="39">AU8+1</f>
        <v>40</v>
      </c>
      <c r="AW8" s="15">
        <f t="shared" ref="AW8" si="40">AV8+1</f>
        <v>41</v>
      </c>
      <c r="AX8" s="15">
        <f t="shared" ref="AX8" si="41">AW8+1</f>
        <v>42</v>
      </c>
      <c r="AY8" s="15">
        <f t="shared" ref="AY8:AY9" si="42">AX8+1</f>
        <v>43</v>
      </c>
      <c r="AZ8" s="15">
        <f t="shared" ref="AZ8:AZ9" si="43">AY8+1</f>
        <v>44</v>
      </c>
      <c r="BA8" s="15">
        <f t="shared" ref="BA8:BA9" si="44">AZ8+1</f>
        <v>45</v>
      </c>
      <c r="BB8" s="15">
        <f t="shared" ref="BB8:BB9" si="45">BA8+1</f>
        <v>46</v>
      </c>
      <c r="BC8" s="15">
        <f t="shared" ref="BC8:BC9" si="46">BB8+1</f>
        <v>47</v>
      </c>
      <c r="BD8" s="15">
        <f t="shared" ref="BD8:BD9" si="47">BC8+1</f>
        <v>48</v>
      </c>
      <c r="BE8" s="15">
        <f t="shared" ref="BE8:BE9" si="48">BD8+1</f>
        <v>49</v>
      </c>
      <c r="BF8" s="15">
        <f t="shared" ref="BF8:BF9" si="49">BE8+1</f>
        <v>50</v>
      </c>
      <c r="BG8" s="15">
        <f t="shared" ref="BG8:BG9" si="50">BF8+1</f>
        <v>51</v>
      </c>
      <c r="BH8" s="15">
        <f t="shared" ref="BH8:BH9" si="51">BG8+1</f>
        <v>52</v>
      </c>
      <c r="BI8" s="15">
        <f t="shared" ref="BI8:BI9" si="52">BH8+1</f>
        <v>53</v>
      </c>
      <c r="BJ8" s="15">
        <f t="shared" ref="BJ8:BJ9" si="53">BI8+1</f>
        <v>54</v>
      </c>
      <c r="BK8" s="15">
        <f t="shared" ref="BK8:BK9" si="54">BJ8+1</f>
        <v>55</v>
      </c>
      <c r="BL8" s="15">
        <f t="shared" ref="BL8:BL9" si="55">BK8+1</f>
        <v>56</v>
      </c>
      <c r="BM8" s="15">
        <f t="shared" ref="BM8:BM9" si="56">BL8+1</f>
        <v>57</v>
      </c>
      <c r="BN8" s="15">
        <f t="shared" ref="BN8:BN9" si="57">BM8+1</f>
        <v>58</v>
      </c>
      <c r="BO8" s="15">
        <f t="shared" ref="BO8:BO9" si="58">BN8+1</f>
        <v>59</v>
      </c>
      <c r="BP8" s="15">
        <f t="shared" ref="BP8:BP9" si="59">BO8+1</f>
        <v>60</v>
      </c>
      <c r="BQ8" s="15">
        <f t="shared" ref="BQ8:BQ9" si="60">BP8+1</f>
        <v>61</v>
      </c>
      <c r="BR8" s="15">
        <f t="shared" ref="BR8:BR9" si="61">BQ8+1</f>
        <v>62</v>
      </c>
      <c r="BS8" s="15">
        <f t="shared" ref="BS8:BS9" si="62">BR8+1</f>
        <v>63</v>
      </c>
      <c r="BT8" s="15">
        <f t="shared" ref="BT8:BT9" si="63">BS8+1</f>
        <v>64</v>
      </c>
      <c r="BU8" s="15">
        <f t="shared" ref="BU8:BU9" si="64">BT8+1</f>
        <v>65</v>
      </c>
      <c r="BV8" s="15">
        <f t="shared" ref="BV8:BV9" si="65">BU8+1</f>
        <v>66</v>
      </c>
      <c r="BW8" s="15">
        <f t="shared" ref="BW8:BW9" si="66">BV8+1</f>
        <v>67</v>
      </c>
      <c r="BX8" s="15">
        <f t="shared" ref="BX8:BX9" si="67">BW8+1</f>
        <v>68</v>
      </c>
      <c r="BY8" s="15">
        <f t="shared" ref="BY8:BY9" si="68">BX8+1</f>
        <v>69</v>
      </c>
      <c r="BZ8" s="15">
        <f t="shared" ref="BZ8:BZ9" si="69">BY8+1</f>
        <v>70</v>
      </c>
      <c r="CA8" s="15">
        <f t="shared" ref="CA8:CA9" si="70">BZ8+1</f>
        <v>71</v>
      </c>
      <c r="CB8" s="15">
        <f t="shared" ref="CB8:CB9" si="71">CA8+1</f>
        <v>72</v>
      </c>
      <c r="CC8" s="15">
        <f t="shared" ref="CC8:CC9" si="72">CB8+1</f>
        <v>73</v>
      </c>
      <c r="CD8" s="15">
        <f t="shared" ref="CD8" si="73">CC8+1</f>
        <v>74</v>
      </c>
      <c r="CE8" s="15">
        <f t="shared" ref="CE8" si="74">CD8+1</f>
        <v>75</v>
      </c>
      <c r="CF8" s="15">
        <f t="shared" ref="CF8" si="75">CE8+1</f>
        <v>76</v>
      </c>
    </row>
    <row r="9" spans="1:84" x14ac:dyDescent="0.25">
      <c r="A9" t="s">
        <v>83</v>
      </c>
      <c r="G9" s="107" t="s">
        <v>84</v>
      </c>
      <c r="H9" s="21"/>
      <c r="I9" s="21"/>
      <c r="J9" s="115">
        <v>1</v>
      </c>
      <c r="K9" s="107">
        <f>J9+1</f>
        <v>2</v>
      </c>
      <c r="L9" s="107">
        <f t="shared" ref="L9:T9" si="76">K9+1</f>
        <v>3</v>
      </c>
      <c r="M9" s="107">
        <f t="shared" si="76"/>
        <v>4</v>
      </c>
      <c r="N9" s="107">
        <f t="shared" si="76"/>
        <v>5</v>
      </c>
      <c r="O9" s="107">
        <f t="shared" si="76"/>
        <v>6</v>
      </c>
      <c r="P9" s="107">
        <f t="shared" si="76"/>
        <v>7</v>
      </c>
      <c r="Q9" s="107">
        <f t="shared" si="76"/>
        <v>8</v>
      </c>
      <c r="R9" s="107">
        <f t="shared" si="76"/>
        <v>9</v>
      </c>
      <c r="S9" s="107">
        <f t="shared" si="76"/>
        <v>10</v>
      </c>
      <c r="T9" s="107">
        <f t="shared" si="76"/>
        <v>11</v>
      </c>
      <c r="U9" s="107">
        <f>T9+1</f>
        <v>12</v>
      </c>
      <c r="V9" s="107">
        <f t="shared" ref="V9:AG9" si="77">U9+1</f>
        <v>13</v>
      </c>
      <c r="W9" s="107">
        <f t="shared" si="77"/>
        <v>14</v>
      </c>
      <c r="X9" s="107">
        <f t="shared" si="77"/>
        <v>15</v>
      </c>
      <c r="Y9" s="107">
        <f t="shared" si="77"/>
        <v>16</v>
      </c>
      <c r="Z9" s="107">
        <f t="shared" si="77"/>
        <v>17</v>
      </c>
      <c r="AA9" s="107">
        <f t="shared" si="77"/>
        <v>18</v>
      </c>
      <c r="AB9" s="107">
        <f t="shared" si="77"/>
        <v>19</v>
      </c>
      <c r="AC9" s="107">
        <f t="shared" si="77"/>
        <v>20</v>
      </c>
      <c r="AD9" s="107">
        <f t="shared" si="77"/>
        <v>21</v>
      </c>
      <c r="AE9" s="107">
        <f t="shared" si="77"/>
        <v>22</v>
      </c>
      <c r="AF9" s="107">
        <f t="shared" si="77"/>
        <v>23</v>
      </c>
      <c r="AG9" s="107">
        <f t="shared" si="77"/>
        <v>24</v>
      </c>
      <c r="AH9" s="107">
        <f>AG9+1</f>
        <v>25</v>
      </c>
      <c r="AI9" s="107">
        <f t="shared" ref="AI9:AS9" si="78">AH9+1</f>
        <v>26</v>
      </c>
      <c r="AJ9" s="107">
        <f t="shared" si="78"/>
        <v>27</v>
      </c>
      <c r="AK9" s="107">
        <f t="shared" si="78"/>
        <v>28</v>
      </c>
      <c r="AL9" s="107">
        <f t="shared" si="78"/>
        <v>29</v>
      </c>
      <c r="AM9" s="107">
        <f t="shared" si="78"/>
        <v>30</v>
      </c>
      <c r="AN9" s="107">
        <f t="shared" si="78"/>
        <v>31</v>
      </c>
      <c r="AO9" s="107">
        <f t="shared" si="78"/>
        <v>32</v>
      </c>
      <c r="AP9" s="107">
        <f t="shared" si="78"/>
        <v>33</v>
      </c>
      <c r="AQ9" s="107">
        <f t="shared" si="78"/>
        <v>34</v>
      </c>
      <c r="AR9" s="107">
        <f t="shared" si="78"/>
        <v>35</v>
      </c>
      <c r="AS9" s="107">
        <f t="shared" si="78"/>
        <v>36</v>
      </c>
      <c r="AT9" s="107">
        <f>AS9+1</f>
        <v>37</v>
      </c>
      <c r="AU9" s="107">
        <f t="shared" ref="AU9" si="79">AT9+1</f>
        <v>38</v>
      </c>
      <c r="AV9" s="107">
        <f t="shared" ref="AV9" si="80">AU9+1</f>
        <v>39</v>
      </c>
      <c r="AW9" s="107">
        <f t="shared" ref="AW9" si="81">AV9+1</f>
        <v>40</v>
      </c>
      <c r="AX9" s="107">
        <f t="shared" ref="AX9" si="82">AW9+1</f>
        <v>41</v>
      </c>
      <c r="AY9" s="107">
        <f t="shared" si="42"/>
        <v>42</v>
      </c>
      <c r="AZ9" s="107">
        <f t="shared" si="43"/>
        <v>43</v>
      </c>
      <c r="BA9" s="107">
        <f t="shared" si="44"/>
        <v>44</v>
      </c>
      <c r="BB9" s="107">
        <f t="shared" si="45"/>
        <v>45</v>
      </c>
      <c r="BC9" s="107">
        <f t="shared" si="46"/>
        <v>46</v>
      </c>
      <c r="BD9" s="107">
        <f t="shared" si="47"/>
        <v>47</v>
      </c>
      <c r="BE9" s="107">
        <f t="shared" si="48"/>
        <v>48</v>
      </c>
      <c r="BF9" s="107">
        <f t="shared" si="49"/>
        <v>49</v>
      </c>
      <c r="BG9" s="107">
        <f t="shared" si="50"/>
        <v>50</v>
      </c>
      <c r="BH9" s="107">
        <f t="shared" si="51"/>
        <v>51</v>
      </c>
      <c r="BI9" s="107">
        <f t="shared" si="52"/>
        <v>52</v>
      </c>
      <c r="BJ9" s="107">
        <f t="shared" si="53"/>
        <v>53</v>
      </c>
      <c r="BK9" s="107">
        <f t="shared" si="54"/>
        <v>54</v>
      </c>
      <c r="BL9" s="107">
        <f t="shared" si="55"/>
        <v>55</v>
      </c>
      <c r="BM9" s="107">
        <f t="shared" si="56"/>
        <v>56</v>
      </c>
      <c r="BN9" s="107">
        <f t="shared" si="57"/>
        <v>57</v>
      </c>
      <c r="BO9" s="107">
        <f t="shared" si="58"/>
        <v>58</v>
      </c>
      <c r="BP9" s="107">
        <f t="shared" si="59"/>
        <v>59</v>
      </c>
      <c r="BQ9" s="107">
        <f t="shared" si="60"/>
        <v>60</v>
      </c>
      <c r="BR9" s="107">
        <f t="shared" si="61"/>
        <v>61</v>
      </c>
      <c r="BS9" s="107">
        <f t="shared" si="62"/>
        <v>62</v>
      </c>
      <c r="BT9" s="107">
        <f t="shared" si="63"/>
        <v>63</v>
      </c>
      <c r="BU9" s="107">
        <f t="shared" si="64"/>
        <v>64</v>
      </c>
      <c r="BV9" s="107">
        <f t="shared" si="65"/>
        <v>65</v>
      </c>
      <c r="BW9" s="107">
        <f t="shared" si="66"/>
        <v>66</v>
      </c>
      <c r="BX9" s="107">
        <f t="shared" si="67"/>
        <v>67</v>
      </c>
      <c r="BY9" s="107">
        <f t="shared" si="68"/>
        <v>68</v>
      </c>
      <c r="BZ9" s="107">
        <f t="shared" si="69"/>
        <v>69</v>
      </c>
      <c r="CA9" s="107">
        <f t="shared" si="70"/>
        <v>70</v>
      </c>
      <c r="CB9" s="107">
        <f t="shared" si="71"/>
        <v>71</v>
      </c>
      <c r="CC9" s="107">
        <f t="shared" si="72"/>
        <v>72</v>
      </c>
      <c r="CD9" s="208" t="s">
        <v>81</v>
      </c>
      <c r="CE9" s="208"/>
      <c r="CF9" s="208"/>
    </row>
    <row r="10" spans="1:84" x14ac:dyDescent="0.25">
      <c r="A10" t="s">
        <v>42</v>
      </c>
      <c r="F10" s="17">
        <v>1</v>
      </c>
      <c r="G10" s="16" t="s">
        <v>85</v>
      </c>
      <c r="J10" s="116"/>
      <c r="CF10" s="111"/>
    </row>
    <row r="11" spans="1:84" x14ac:dyDescent="0.25">
      <c r="F11" s="17">
        <f>F10+1</f>
        <v>2</v>
      </c>
      <c r="G11" s="12" t="s">
        <v>70</v>
      </c>
      <c r="H11" s="13">
        <f>'Financ '!B88</f>
        <v>0</v>
      </c>
      <c r="I11" s="13">
        <f>'Financ '!C41</f>
        <v>5732.4197297201054</v>
      </c>
      <c r="J11" s="13">
        <f>'Financ '!D41</f>
        <v>5732.4197297201054</v>
      </c>
      <c r="K11" s="13">
        <f>'Financ '!E41</f>
        <v>5732.4197297201054</v>
      </c>
      <c r="L11" s="13">
        <f>'Financ '!F41</f>
        <v>5732.4197297201054</v>
      </c>
      <c r="M11" s="13">
        <f>'Financ '!G41</f>
        <v>5732.4197297201054</v>
      </c>
      <c r="N11" s="13">
        <f>'Financ '!H41</f>
        <v>5732.4197297201054</v>
      </c>
      <c r="O11" s="13">
        <f>'Financ '!I41</f>
        <v>5732.4197297201054</v>
      </c>
      <c r="P11" s="13">
        <f>'Financ '!J41</f>
        <v>5732.4197297201054</v>
      </c>
      <c r="Q11" s="13">
        <f>'Financ '!K41</f>
        <v>5732.4197297201054</v>
      </c>
      <c r="R11" s="13">
        <f>'Financ '!L41</f>
        <v>5732.4197297201054</v>
      </c>
      <c r="S11" s="13">
        <f>'Financ '!M41</f>
        <v>5732.4197297201054</v>
      </c>
      <c r="T11" s="13">
        <f>'Financ '!N41</f>
        <v>5732.4197297201054</v>
      </c>
      <c r="U11" s="13">
        <f>'Financ '!O41</f>
        <v>5732.4197297201054</v>
      </c>
      <c r="V11" s="13">
        <f>'Financ '!P41</f>
        <v>5732.4197297201054</v>
      </c>
      <c r="W11" s="13">
        <f>'Financ '!Q41</f>
        <v>5732.4197297201054</v>
      </c>
      <c r="X11" s="13">
        <f>'Financ '!R41</f>
        <v>5732.4197297201054</v>
      </c>
      <c r="Y11" s="13">
        <f>'Financ '!S41</f>
        <v>5732.4197297201054</v>
      </c>
      <c r="Z11" s="13">
        <f>'Financ '!T41</f>
        <v>5732.4197297201054</v>
      </c>
      <c r="AA11" s="13">
        <f>'Financ '!U41</f>
        <v>5732.4197297201054</v>
      </c>
      <c r="AB11" s="13">
        <f>'Financ '!V41</f>
        <v>5732.4197297201054</v>
      </c>
      <c r="AC11" s="13">
        <f>'Financ '!W41</f>
        <v>5732.4197297201054</v>
      </c>
      <c r="AD11" s="13">
        <f>'Financ '!X41</f>
        <v>5732.4197297201054</v>
      </c>
      <c r="AE11" s="13">
        <f>'Financ '!Y41</f>
        <v>5732.4197297201054</v>
      </c>
      <c r="AF11" s="13">
        <f>'Financ '!Z41</f>
        <v>5732.4197297201054</v>
      </c>
      <c r="AG11" s="13">
        <f>'Financ '!AA41</f>
        <v>5732.4197297201054</v>
      </c>
      <c r="AH11" s="13">
        <f>'Financ '!AB41</f>
        <v>5732.4197297201054</v>
      </c>
      <c r="AI11" s="13">
        <f>'Financ '!AC41</f>
        <v>5732.4197297201054</v>
      </c>
      <c r="AJ11" s="13">
        <f>'Financ '!AD41</f>
        <v>5732.4197297201054</v>
      </c>
      <c r="AK11" s="13">
        <f>'Financ '!AE41</f>
        <v>5732.4197297201054</v>
      </c>
      <c r="AL11" s="13">
        <f>'Financ '!AF41</f>
        <v>5732.4197297201054</v>
      </c>
      <c r="AM11" s="13">
        <f>'Financ '!AG41</f>
        <v>5732.4197297201054</v>
      </c>
      <c r="AN11" s="13">
        <f>'Financ '!AH41</f>
        <v>5732.4197297201054</v>
      </c>
      <c r="AO11" s="13">
        <f>'Financ '!AI41</f>
        <v>5732.4197297201054</v>
      </c>
      <c r="AP11" s="13">
        <f>'Financ '!AJ41</f>
        <v>5732.4197297201054</v>
      </c>
      <c r="AQ11" s="13">
        <f>'Financ '!AK41</f>
        <v>5732.4197297201054</v>
      </c>
      <c r="AR11" s="13">
        <f>'Financ '!AL41</f>
        <v>5732.4197297201054</v>
      </c>
      <c r="AS11" s="13">
        <f>'Financ '!AM41</f>
        <v>5732.4197297201054</v>
      </c>
      <c r="AT11" s="13">
        <f>'Financ '!AN41</f>
        <v>5732.4197297201054</v>
      </c>
      <c r="AU11" s="13">
        <f>'Financ '!AO41</f>
        <v>5732.4197297201054</v>
      </c>
      <c r="AV11" s="13">
        <f>'Financ '!AP41</f>
        <v>5732.4197297201054</v>
      </c>
      <c r="AW11" s="13">
        <f>'Financ '!AQ41</f>
        <v>5732.4197297201054</v>
      </c>
      <c r="AX11" s="13">
        <f>'Financ '!AR41</f>
        <v>5732.4197297201054</v>
      </c>
      <c r="AY11" s="13">
        <f>'Financ '!AS41</f>
        <v>5732.4197297201054</v>
      </c>
      <c r="AZ11" s="13">
        <f>'Financ '!AT41</f>
        <v>5732.4197297201054</v>
      </c>
      <c r="BA11" s="13">
        <f>'Financ '!AU41</f>
        <v>5732.4197297201054</v>
      </c>
      <c r="BB11" s="13">
        <f>'Financ '!AV41</f>
        <v>5732.4197297201054</v>
      </c>
      <c r="BC11" s="13">
        <f>'Financ '!AW41</f>
        <v>5732.4197297201054</v>
      </c>
      <c r="BD11" s="13">
        <f>'Financ '!AX41</f>
        <v>5732.4197297201054</v>
      </c>
      <c r="BE11" s="13">
        <f>'Financ '!AY41</f>
        <v>5732.4197297201054</v>
      </c>
      <c r="BF11" s="13">
        <f>'Financ '!AZ41</f>
        <v>5732.4197297201054</v>
      </c>
      <c r="BG11" s="13">
        <f>'Financ '!BA41</f>
        <v>5732.4197297201054</v>
      </c>
      <c r="BH11" s="13">
        <f>'Financ '!BB41</f>
        <v>5732.4197297201054</v>
      </c>
      <c r="BI11" s="13">
        <f>'Financ '!BC41</f>
        <v>5732.4197297201054</v>
      </c>
      <c r="BJ11" s="13">
        <f>'Financ '!BD41</f>
        <v>5732.4197297201054</v>
      </c>
      <c r="BK11" s="13">
        <f>'Financ '!BE41</f>
        <v>5732.4197297201054</v>
      </c>
      <c r="BL11" s="13">
        <f>'Financ '!BF41</f>
        <v>5732.4197297201054</v>
      </c>
      <c r="BM11" s="13">
        <f>'Financ '!BG41</f>
        <v>5732.4197297201054</v>
      </c>
      <c r="BN11" s="13">
        <f>'Financ '!BH41</f>
        <v>5732.4197297201054</v>
      </c>
      <c r="BO11" s="13">
        <f>'Financ '!BI41</f>
        <v>5732.4197297201054</v>
      </c>
      <c r="BP11" s="13">
        <f>'Financ '!BJ41</f>
        <v>5732.4197297201054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f>'Financ '!BL88</f>
        <v>0</v>
      </c>
      <c r="BX11" s="13">
        <f>'Financ '!BM88</f>
        <v>0</v>
      </c>
      <c r="BY11" s="13">
        <f>'Financ '!BN88</f>
        <v>0</v>
      </c>
      <c r="BZ11" s="13">
        <f>'Financ '!BO88</f>
        <v>0</v>
      </c>
      <c r="CA11" s="13">
        <f>'Financ '!BP88</f>
        <v>0</v>
      </c>
      <c r="CB11" s="13">
        <f>'Financ '!BQ88</f>
        <v>0</v>
      </c>
      <c r="CC11" s="13">
        <f>'Financ '!BR88</f>
        <v>0</v>
      </c>
      <c r="CD11" s="13">
        <f>'Financ '!BL88</f>
        <v>0</v>
      </c>
      <c r="CE11" s="13">
        <f>'Financ '!BM88</f>
        <v>0</v>
      </c>
      <c r="CF11" s="13">
        <f>'Financ '!BN88</f>
        <v>0</v>
      </c>
    </row>
    <row r="12" spans="1:84" x14ac:dyDescent="0.25">
      <c r="F12" s="17">
        <f t="shared" ref="F12:F76" si="83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112"/>
    </row>
    <row r="13" spans="1:84" x14ac:dyDescent="0.25">
      <c r="F13" s="17">
        <f t="shared" si="83"/>
        <v>4</v>
      </c>
      <c r="G13" s="16" t="s">
        <v>86</v>
      </c>
      <c r="H13" s="24">
        <f>SUM(H14:H18)</f>
        <v>0</v>
      </c>
      <c r="I13" s="24">
        <f>SUM(I14:I18)</f>
        <v>4739.3500000000004</v>
      </c>
      <c r="J13" s="205">
        <f t="shared" ref="J13:AS13" si="84">SUM(J14:J18)</f>
        <v>100</v>
      </c>
      <c r="K13" s="24">
        <f>SUM(K14:K18)</f>
        <v>100</v>
      </c>
      <c r="L13" s="24">
        <f t="shared" si="84"/>
        <v>100</v>
      </c>
      <c r="M13" s="24">
        <f t="shared" si="84"/>
        <v>100</v>
      </c>
      <c r="N13" s="24">
        <f t="shared" si="84"/>
        <v>100</v>
      </c>
      <c r="O13" s="24">
        <f t="shared" si="84"/>
        <v>100</v>
      </c>
      <c r="P13" s="24">
        <f t="shared" si="84"/>
        <v>100</v>
      </c>
      <c r="Q13" s="24">
        <f t="shared" si="84"/>
        <v>100</v>
      </c>
      <c r="R13" s="24">
        <f t="shared" si="84"/>
        <v>100</v>
      </c>
      <c r="S13" s="24">
        <f t="shared" si="84"/>
        <v>100</v>
      </c>
      <c r="T13" s="24">
        <f t="shared" si="84"/>
        <v>100</v>
      </c>
      <c r="U13" s="24">
        <f>SUM(U14:U18)</f>
        <v>4839.3500000000004</v>
      </c>
      <c r="V13" s="24">
        <f t="shared" si="84"/>
        <v>100</v>
      </c>
      <c r="W13" s="24">
        <f>SUM(W14:W18)</f>
        <v>100</v>
      </c>
      <c r="X13" s="24">
        <f t="shared" si="84"/>
        <v>100</v>
      </c>
      <c r="Y13" s="24">
        <f t="shared" si="84"/>
        <v>100</v>
      </c>
      <c r="Z13" s="24">
        <f t="shared" si="84"/>
        <v>100</v>
      </c>
      <c r="AA13" s="24">
        <f t="shared" si="84"/>
        <v>100</v>
      </c>
      <c r="AB13" s="24">
        <f t="shared" si="84"/>
        <v>100</v>
      </c>
      <c r="AC13" s="24">
        <f t="shared" si="84"/>
        <v>100</v>
      </c>
      <c r="AD13" s="24">
        <f t="shared" si="84"/>
        <v>100</v>
      </c>
      <c r="AE13" s="24">
        <f t="shared" si="84"/>
        <v>100</v>
      </c>
      <c r="AF13" s="24">
        <f t="shared" si="84"/>
        <v>100</v>
      </c>
      <c r="AG13" s="24">
        <f>SUM(AG14:AG18)</f>
        <v>4278.4475000000002</v>
      </c>
      <c r="AH13" s="24">
        <f t="shared" si="84"/>
        <v>100</v>
      </c>
      <c r="AI13" s="24">
        <f t="shared" ref="AI13:AN13" si="85">SUM(AI14:AI18)</f>
        <v>100</v>
      </c>
      <c r="AJ13" s="24">
        <f t="shared" si="85"/>
        <v>100</v>
      </c>
      <c r="AK13" s="24">
        <f t="shared" si="85"/>
        <v>100</v>
      </c>
      <c r="AL13" s="24">
        <f t="shared" si="85"/>
        <v>100</v>
      </c>
      <c r="AM13" s="24">
        <f t="shared" si="85"/>
        <v>100</v>
      </c>
      <c r="AN13" s="24">
        <f t="shared" si="85"/>
        <v>100</v>
      </c>
      <c r="AO13" s="24">
        <f t="shared" si="84"/>
        <v>100</v>
      </c>
      <c r="AP13" s="24">
        <f t="shared" si="84"/>
        <v>100</v>
      </c>
      <c r="AQ13" s="24">
        <f t="shared" si="84"/>
        <v>100</v>
      </c>
      <c r="AR13" s="24">
        <f t="shared" si="84"/>
        <v>100</v>
      </c>
      <c r="AS13" s="24">
        <f t="shared" si="84"/>
        <v>3801.6803749999995</v>
      </c>
      <c r="AT13" s="24">
        <f t="shared" ref="AT13:BE13" si="86">SUM(AT14:AT18)</f>
        <v>100</v>
      </c>
      <c r="AU13" s="24">
        <f t="shared" si="86"/>
        <v>100</v>
      </c>
      <c r="AV13" s="24">
        <f t="shared" si="86"/>
        <v>100</v>
      </c>
      <c r="AW13" s="24">
        <f t="shared" si="86"/>
        <v>100</v>
      </c>
      <c r="AX13" s="24">
        <f t="shared" si="86"/>
        <v>100</v>
      </c>
      <c r="AY13" s="24">
        <f t="shared" si="86"/>
        <v>100</v>
      </c>
      <c r="AZ13" s="24">
        <f t="shared" si="86"/>
        <v>100</v>
      </c>
      <c r="BA13" s="24">
        <f t="shared" si="86"/>
        <v>100</v>
      </c>
      <c r="BB13" s="24">
        <f t="shared" si="86"/>
        <v>100</v>
      </c>
      <c r="BC13" s="24">
        <f t="shared" si="86"/>
        <v>100</v>
      </c>
      <c r="BD13" s="24">
        <f t="shared" si="86"/>
        <v>100</v>
      </c>
      <c r="BE13" s="24">
        <f t="shared" si="86"/>
        <v>3396.4283187499996</v>
      </c>
      <c r="BF13" s="24">
        <f t="shared" ref="BF13:BV13" si="87">SUM(BF14:BF18)</f>
        <v>100</v>
      </c>
      <c r="BG13" s="24">
        <f t="shared" si="87"/>
        <v>100</v>
      </c>
      <c r="BH13" s="24">
        <f t="shared" si="87"/>
        <v>100</v>
      </c>
      <c r="BI13" s="24">
        <f t="shared" si="87"/>
        <v>100</v>
      </c>
      <c r="BJ13" s="24">
        <f t="shared" si="87"/>
        <v>100</v>
      </c>
      <c r="BK13" s="24">
        <f t="shared" si="87"/>
        <v>100</v>
      </c>
      <c r="BL13" s="24">
        <f t="shared" si="87"/>
        <v>100</v>
      </c>
      <c r="BM13" s="24">
        <f t="shared" si="87"/>
        <v>100</v>
      </c>
      <c r="BN13" s="24">
        <f t="shared" si="87"/>
        <v>100</v>
      </c>
      <c r="BO13" s="24">
        <f t="shared" si="87"/>
        <v>100</v>
      </c>
      <c r="BP13" s="24">
        <f t="shared" ref="BP13" si="88">SUM(BP14:BP18)</f>
        <v>100</v>
      </c>
      <c r="BQ13" s="24">
        <f>SUM(BQ14:BQ18)</f>
        <v>3051.9640709374999</v>
      </c>
      <c r="BR13" s="24">
        <f t="shared" si="87"/>
        <v>100</v>
      </c>
      <c r="BS13" s="24">
        <f t="shared" ref="BS13:BT13" si="89">SUM(BS14:BS18)</f>
        <v>100</v>
      </c>
      <c r="BT13" s="24">
        <f t="shared" si="89"/>
        <v>100</v>
      </c>
      <c r="BU13" s="24">
        <f t="shared" si="87"/>
        <v>100</v>
      </c>
      <c r="BV13" s="24">
        <f t="shared" si="87"/>
        <v>100</v>
      </c>
      <c r="BW13" s="24">
        <f t="shared" ref="BW13:CC13" si="90">SUM(BW14:BW18)</f>
        <v>100</v>
      </c>
      <c r="BX13" s="24">
        <f t="shared" si="90"/>
        <v>100</v>
      </c>
      <c r="BY13" s="24">
        <f t="shared" si="90"/>
        <v>100</v>
      </c>
      <c r="BZ13" s="24">
        <f t="shared" si="90"/>
        <v>100</v>
      </c>
      <c r="CA13" s="24">
        <f t="shared" si="90"/>
        <v>100</v>
      </c>
      <c r="CB13" s="24">
        <f t="shared" si="90"/>
        <v>100</v>
      </c>
      <c r="CC13" s="24">
        <f t="shared" si="90"/>
        <v>2759.1694602968746</v>
      </c>
      <c r="CD13" s="24">
        <f t="shared" ref="CD13:CF13" si="91">SUM(CD14:CD18)</f>
        <v>0</v>
      </c>
      <c r="CE13" s="24">
        <f t="shared" si="91"/>
        <v>0</v>
      </c>
      <c r="CF13" s="24">
        <f t="shared" si="91"/>
        <v>0</v>
      </c>
    </row>
    <row r="14" spans="1:84" x14ac:dyDescent="0.25">
      <c r="F14" s="17">
        <f t="shared" si="83"/>
        <v>5</v>
      </c>
      <c r="G14" t="s">
        <v>87</v>
      </c>
      <c r="H14" s="24"/>
      <c r="I14" s="197">
        <f>Licenciamento!E8</f>
        <v>4739.3500000000004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Licenciamento!H8</f>
        <v>4739.3500000000004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Licenciamento!K8</f>
        <v>4178.4475000000002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Licenciamento!N8</f>
        <v>3701.6803749999995</v>
      </c>
      <c r="AT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>
        <f>Licenciamento!Q8</f>
        <v>3296.4283187499996</v>
      </c>
      <c r="BF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>
        <f>Licenciamento!T8</f>
        <v>2951.9640709374999</v>
      </c>
      <c r="BR14" s="11"/>
      <c r="BS14" s="11"/>
      <c r="BT14" s="11"/>
      <c r="BU14" s="11"/>
      <c r="BW14" s="11"/>
      <c r="BY14" s="11"/>
      <c r="BZ14" s="11"/>
      <c r="CA14" s="11"/>
      <c r="CB14" s="11"/>
      <c r="CC14" s="11">
        <f>Licenciamento!W8</f>
        <v>2659.1694602968746</v>
      </c>
      <c r="CD14" s="11"/>
      <c r="CE14" s="11"/>
      <c r="CF14" s="45"/>
    </row>
    <row r="15" spans="1:84" s="95" customFormat="1" x14ac:dyDescent="0.25">
      <c r="F15" s="17">
        <f t="shared" si="83"/>
        <v>6</v>
      </c>
      <c r="G15" s="96" t="s">
        <v>88</v>
      </c>
      <c r="H15" s="97"/>
      <c r="I15" s="98"/>
      <c r="J15" s="120">
        <v>100</v>
      </c>
      <c r="K15" s="120">
        <v>100</v>
      </c>
      <c r="L15" s="120">
        <v>100</v>
      </c>
      <c r="M15" s="120">
        <v>100</v>
      </c>
      <c r="N15" s="120">
        <v>100</v>
      </c>
      <c r="O15" s="120">
        <v>100</v>
      </c>
      <c r="P15" s="120">
        <v>100</v>
      </c>
      <c r="Q15" s="120">
        <v>100</v>
      </c>
      <c r="R15" s="120">
        <v>100</v>
      </c>
      <c r="S15" s="120">
        <v>100</v>
      </c>
      <c r="T15" s="120">
        <v>100</v>
      </c>
      <c r="U15" s="120">
        <v>100</v>
      </c>
      <c r="V15" s="120">
        <v>100</v>
      </c>
      <c r="W15" s="120">
        <v>100</v>
      </c>
      <c r="X15" s="120">
        <v>100</v>
      </c>
      <c r="Y15" s="120">
        <v>100</v>
      </c>
      <c r="Z15" s="120">
        <v>100</v>
      </c>
      <c r="AA15" s="120">
        <v>100</v>
      </c>
      <c r="AB15" s="120">
        <v>100</v>
      </c>
      <c r="AC15" s="120">
        <v>100</v>
      </c>
      <c r="AD15" s="120">
        <v>100</v>
      </c>
      <c r="AE15" s="120">
        <v>100</v>
      </c>
      <c r="AF15" s="120">
        <v>100</v>
      </c>
      <c r="AG15" s="120">
        <v>100</v>
      </c>
      <c r="AH15" s="120">
        <v>100</v>
      </c>
      <c r="AI15" s="120">
        <v>100</v>
      </c>
      <c r="AJ15" s="120">
        <v>100</v>
      </c>
      <c r="AK15" s="120">
        <v>100</v>
      </c>
      <c r="AL15" s="120">
        <v>100</v>
      </c>
      <c r="AM15" s="120">
        <v>100</v>
      </c>
      <c r="AN15" s="120">
        <v>100</v>
      </c>
      <c r="AO15" s="120">
        <v>100</v>
      </c>
      <c r="AP15" s="120">
        <v>100</v>
      </c>
      <c r="AQ15" s="120">
        <v>100</v>
      </c>
      <c r="AR15" s="120">
        <v>100</v>
      </c>
      <c r="AS15" s="120">
        <v>100</v>
      </c>
      <c r="AT15" s="120">
        <v>100</v>
      </c>
      <c r="AU15" s="120">
        <v>100</v>
      </c>
      <c r="AV15" s="120">
        <v>100</v>
      </c>
      <c r="AW15" s="120">
        <v>100</v>
      </c>
      <c r="AX15" s="120">
        <v>100</v>
      </c>
      <c r="AY15" s="120">
        <v>100</v>
      </c>
      <c r="AZ15" s="120">
        <v>100</v>
      </c>
      <c r="BA15" s="120">
        <v>100</v>
      </c>
      <c r="BB15" s="120">
        <v>100</v>
      </c>
      <c r="BC15" s="120">
        <v>100</v>
      </c>
      <c r="BD15" s="120">
        <v>100</v>
      </c>
      <c r="BE15" s="120">
        <v>100</v>
      </c>
      <c r="BF15" s="120">
        <v>100</v>
      </c>
      <c r="BG15" s="120">
        <v>100</v>
      </c>
      <c r="BH15" s="120">
        <v>100</v>
      </c>
      <c r="BI15" s="120">
        <v>100</v>
      </c>
      <c r="BJ15" s="120">
        <v>100</v>
      </c>
      <c r="BK15" s="120">
        <v>100</v>
      </c>
      <c r="BL15" s="120">
        <v>100</v>
      </c>
      <c r="BM15" s="120">
        <v>100</v>
      </c>
      <c r="BN15" s="120">
        <v>100</v>
      </c>
      <c r="BO15" s="120">
        <v>100</v>
      </c>
      <c r="BP15" s="120">
        <v>100</v>
      </c>
      <c r="BQ15" s="120">
        <v>100</v>
      </c>
      <c r="BR15" s="120">
        <v>100</v>
      </c>
      <c r="BS15" s="120">
        <v>100</v>
      </c>
      <c r="BT15" s="120">
        <v>100</v>
      </c>
      <c r="BU15" s="120">
        <v>100</v>
      </c>
      <c r="BV15" s="120">
        <v>100</v>
      </c>
      <c r="BW15" s="120">
        <v>100</v>
      </c>
      <c r="BX15" s="120">
        <v>100</v>
      </c>
      <c r="BY15" s="120">
        <v>100</v>
      </c>
      <c r="BZ15" s="120">
        <v>100</v>
      </c>
      <c r="CA15" s="120">
        <v>100</v>
      </c>
      <c r="CB15" s="120">
        <v>100</v>
      </c>
      <c r="CC15" s="120">
        <v>100</v>
      </c>
      <c r="CD15" s="120">
        <f>Dados!$C$17</f>
        <v>0</v>
      </c>
      <c r="CE15" s="120">
        <f>Dados!$C$17</f>
        <v>0</v>
      </c>
      <c r="CF15" s="120">
        <f>Dados!$C$17</f>
        <v>0</v>
      </c>
    </row>
    <row r="16" spans="1:84" x14ac:dyDescent="0.25">
      <c r="F16" s="17">
        <f t="shared" si="83"/>
        <v>7</v>
      </c>
      <c r="G16" t="s">
        <v>89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>
        <f>'Seguros-Rastreamento'!$E$5</f>
        <v>0</v>
      </c>
      <c r="AV16" s="87">
        <f>'Seguros-Rastreamento'!$E$5</f>
        <v>0</v>
      </c>
      <c r="AW16" s="87">
        <f>'Seguros-Rastreamento'!$E$5</f>
        <v>0</v>
      </c>
      <c r="AX16" s="87">
        <f>'Seguros-Rastreamento'!$E$5</f>
        <v>0</v>
      </c>
      <c r="AY16" s="87">
        <f>'Seguros-Rastreamento'!$E$5</f>
        <v>0</v>
      </c>
      <c r="AZ16" s="87">
        <f>'Seguros-Rastreamento'!$E$5</f>
        <v>0</v>
      </c>
      <c r="BA16" s="87">
        <f>'Seguros-Rastreamento'!$E$5</f>
        <v>0</v>
      </c>
      <c r="BB16" s="87">
        <f>'Seguros-Rastreamento'!$E$5</f>
        <v>0</v>
      </c>
      <c r="BC16" s="87">
        <f>'Seguros-Rastreamento'!$E$5</f>
        <v>0</v>
      </c>
      <c r="BD16" s="87">
        <f>'Seguros-Rastreamento'!$E$5</f>
        <v>0</v>
      </c>
      <c r="BE16" s="87">
        <f>'Seguros-Rastreamento'!$E$5</f>
        <v>0</v>
      </c>
      <c r="BF16" s="87">
        <f>'Seguros-Rastreamento'!$E$5</f>
        <v>0</v>
      </c>
      <c r="BG16" s="87">
        <f>'Seguros-Rastreamento'!$E$5</f>
        <v>0</v>
      </c>
      <c r="BH16" s="87">
        <f>'Seguros-Rastreamento'!$E$5</f>
        <v>0</v>
      </c>
      <c r="BI16" s="87">
        <f>'Seguros-Rastreamento'!$E$5</f>
        <v>0</v>
      </c>
      <c r="BJ16" s="87">
        <f>'Seguros-Rastreamento'!$E$5</f>
        <v>0</v>
      </c>
      <c r="BK16" s="87">
        <f>'Seguros-Rastreamento'!$E$5</f>
        <v>0</v>
      </c>
      <c r="BL16" s="87">
        <f>'Seguros-Rastreamento'!$E$5</f>
        <v>0</v>
      </c>
      <c r="BM16" s="87">
        <f>'Seguros-Rastreamento'!$E$5</f>
        <v>0</v>
      </c>
      <c r="BN16" s="87">
        <f>'Seguros-Rastreamento'!$E$5</f>
        <v>0</v>
      </c>
      <c r="BO16" s="87">
        <f>'Seguros-Rastreamento'!$E$5</f>
        <v>0</v>
      </c>
      <c r="BP16" s="87">
        <f>'Seguros-Rastreamento'!$E$5</f>
        <v>0</v>
      </c>
      <c r="BQ16" s="87">
        <f>'Seguros-Rastreamento'!$E$5</f>
        <v>0</v>
      </c>
      <c r="BR16" s="87">
        <f>'Seguros-Rastreamento'!$E$5</f>
        <v>0</v>
      </c>
      <c r="BS16" s="87">
        <f>'Seguros-Rastreamento'!$E$5</f>
        <v>0</v>
      </c>
      <c r="BT16" s="87">
        <f>'Seguros-Rastreamento'!$E$5</f>
        <v>0</v>
      </c>
      <c r="BU16" s="87">
        <f>'Seguros-Rastreamento'!$E$5</f>
        <v>0</v>
      </c>
      <c r="BV16" s="87">
        <f>'Seguros-Rastreamento'!$E$5</f>
        <v>0</v>
      </c>
      <c r="BW16" s="87">
        <f>'Seguros-Rastreamento'!$E$5</f>
        <v>0</v>
      </c>
      <c r="BX16" s="87">
        <f>'Seguros-Rastreamento'!$E$5</f>
        <v>0</v>
      </c>
      <c r="BY16" s="87">
        <f>'Seguros-Rastreamento'!$E$5</f>
        <v>0</v>
      </c>
      <c r="BZ16" s="87">
        <f>'Seguros-Rastreamento'!$E$5</f>
        <v>0</v>
      </c>
      <c r="CA16" s="87">
        <f>'Seguros-Rastreamento'!$E$5</f>
        <v>0</v>
      </c>
      <c r="CB16" s="87">
        <f>'Seguros-Rastreamento'!$E$5</f>
        <v>0</v>
      </c>
      <c r="CC16" s="87">
        <f>'Seguros-Rastreamento'!$E$5</f>
        <v>0</v>
      </c>
      <c r="CD16" s="87">
        <f>'Seguros-Rastreamento'!$E$5</f>
        <v>0</v>
      </c>
      <c r="CE16" s="87"/>
      <c r="CF16" s="113"/>
    </row>
    <row r="17" spans="1:1012 1036:2038 2062:3064 3088:4090 4114:5116 5140:6142 6166:7168 7192:8191 8193:9193 9217:10219 10243:11245 11269:12271 12295:13297 13321:14323 14347:15349 15373:16321" x14ac:dyDescent="0.25">
      <c r="F17" s="17">
        <f t="shared" si="83"/>
        <v>8</v>
      </c>
      <c r="G17" s="20" t="s">
        <v>90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06">
        <f>'Seguros-Rastreamento'!$G$14</f>
        <v>0</v>
      </c>
      <c r="AU17" s="206">
        <f>'Seguros-Rastreamento'!$G$14</f>
        <v>0</v>
      </c>
      <c r="AV17" s="206">
        <f>'Seguros-Rastreamento'!$G$14</f>
        <v>0</v>
      </c>
      <c r="AW17" s="206">
        <f>'Seguros-Rastreamento'!$G$14</f>
        <v>0</v>
      </c>
      <c r="AX17" s="206">
        <f>'Seguros-Rastreamento'!$G$14</f>
        <v>0</v>
      </c>
      <c r="AY17" s="25"/>
      <c r="AZ17" s="25"/>
      <c r="BF17" s="206">
        <f>'Seguros-Rastreamento'!$G$14</f>
        <v>0</v>
      </c>
      <c r="BG17" s="206">
        <f>'Seguros-Rastreamento'!$G$14</f>
        <v>0</v>
      </c>
      <c r="BH17" s="206">
        <f>'Seguros-Rastreamento'!$G$14</f>
        <v>0</v>
      </c>
      <c r="BI17" s="206">
        <f>'Seguros-Rastreamento'!$G$14</f>
        <v>0</v>
      </c>
      <c r="BJ17" s="206">
        <f>'Seguros-Rastreamento'!$G$14</f>
        <v>0</v>
      </c>
      <c r="BK17" s="25"/>
      <c r="BL17" s="25"/>
      <c r="BW17" s="206">
        <f>'Seguros-Rastreamento'!$G$14</f>
        <v>0</v>
      </c>
      <c r="BX17" s="206">
        <f>'Seguros-Rastreamento'!$G$14</f>
        <v>0</v>
      </c>
      <c r="BY17" s="206">
        <f>'Seguros-Rastreamento'!$G$14</f>
        <v>0</v>
      </c>
      <c r="BZ17" s="206">
        <f>'Seguros-Rastreamento'!$G$14</f>
        <v>0</v>
      </c>
      <c r="CA17" s="206">
        <f>'Seguros-Rastreamento'!$G$14</f>
        <v>0</v>
      </c>
      <c r="CB17" s="25"/>
      <c r="CC17" s="25"/>
      <c r="CD17" s="25"/>
      <c r="CE17" s="25"/>
      <c r="CF17" s="75"/>
    </row>
    <row r="18" spans="1:1012 1036:2038 2062:3064 3088:4090 4114:5116 5140:6142 6166:7168 7192:8191 8193:9193 9217:10219 10243:11245 11269:12271 12295:13297 13321:14323 14347:15349 15373:16321" s="95" customFormat="1" x14ac:dyDescent="0.25">
      <c r="F18" s="17">
        <f t="shared" si="83"/>
        <v>9</v>
      </c>
      <c r="G18" s="96" t="s">
        <v>91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Manutenção!$F$36</f>
        <v>0</v>
      </c>
      <c r="AU18" s="194">
        <f>Manutenção!$H$36</f>
        <v>0</v>
      </c>
      <c r="AV18" s="194">
        <f>Manutenção!$H$36</f>
        <v>0</v>
      </c>
      <c r="AW18" s="194">
        <f>Manutenção!$H$36</f>
        <v>0</v>
      </c>
      <c r="AX18" s="194">
        <f>Manutenção!$H$36</f>
        <v>0</v>
      </c>
      <c r="AY18" s="194">
        <f>Manutenção!$H$36</f>
        <v>0</v>
      </c>
      <c r="AZ18" s="194">
        <f>Manutenção!$H$36</f>
        <v>0</v>
      </c>
      <c r="BA18" s="194">
        <f>Manutenção!$H$36</f>
        <v>0</v>
      </c>
      <c r="BB18" s="194">
        <f>Manutenção!$H$36</f>
        <v>0</v>
      </c>
      <c r="BC18" s="194">
        <f>Manutenção!$H$36</f>
        <v>0</v>
      </c>
      <c r="BD18" s="194">
        <f>Manutenção!$H$36</f>
        <v>0</v>
      </c>
      <c r="BE18" s="194">
        <f>Manutenção!$H$36</f>
        <v>0</v>
      </c>
      <c r="BF18" s="194">
        <f>Manutenção!$F$36</f>
        <v>0</v>
      </c>
      <c r="BG18" s="194">
        <f>Manutenção!$H$36</f>
        <v>0</v>
      </c>
      <c r="BH18" s="194">
        <f>Manutenção!$H$36</f>
        <v>0</v>
      </c>
      <c r="BI18" s="194">
        <f>Manutenção!$H$36</f>
        <v>0</v>
      </c>
      <c r="BJ18" s="194">
        <f>Manutenção!$H$36</f>
        <v>0</v>
      </c>
      <c r="BK18" s="194">
        <f>Manutenção!$H$36</f>
        <v>0</v>
      </c>
      <c r="BL18" s="194">
        <f>Manutenção!$H$36</f>
        <v>0</v>
      </c>
      <c r="BM18" s="194">
        <f>Manutenção!$H$36</f>
        <v>0</v>
      </c>
      <c r="BN18" s="194">
        <f>Manutenção!$H$36</f>
        <v>0</v>
      </c>
      <c r="BO18" s="194">
        <f>Manutenção!$H$36</f>
        <v>0</v>
      </c>
      <c r="BP18" s="194">
        <f>Manutenção!$H$36</f>
        <v>0</v>
      </c>
      <c r="BQ18" s="194">
        <f>Manutenção!$H$36</f>
        <v>0</v>
      </c>
      <c r="BR18" s="194">
        <f>Manutenção!$H$36</f>
        <v>0</v>
      </c>
      <c r="BS18" s="194">
        <f>Manutenção!$H$36</f>
        <v>0</v>
      </c>
      <c r="BT18" s="194">
        <f>Manutenção!$H$36</f>
        <v>0</v>
      </c>
      <c r="BU18" s="194">
        <f>Manutenção!$H$36</f>
        <v>0</v>
      </c>
      <c r="BV18" s="194">
        <f>Manutenção!$H$36</f>
        <v>0</v>
      </c>
      <c r="BW18" s="194">
        <f>Manutenção!$F$36</f>
        <v>0</v>
      </c>
      <c r="BX18" s="194">
        <f>Manutenção!$H$36</f>
        <v>0</v>
      </c>
      <c r="BY18" s="194">
        <f>Manutenção!$H$36</f>
        <v>0</v>
      </c>
      <c r="BZ18" s="194">
        <f>Manutenção!$H$36</f>
        <v>0</v>
      </c>
      <c r="CA18" s="194">
        <f>Manutenção!$H$36</f>
        <v>0</v>
      </c>
      <c r="CB18" s="194">
        <f>Manutenção!$H$36</f>
        <v>0</v>
      </c>
      <c r="CC18" s="194">
        <f>Manutenção!$H$36</f>
        <v>0</v>
      </c>
      <c r="CD18" s="194">
        <f>Manutenção!$J$36</f>
        <v>0</v>
      </c>
      <c r="CE18" s="97"/>
      <c r="CF18" s="97"/>
    </row>
    <row r="19" spans="1:1012 1036:2038 2062:3064 3088:4090 4114:5116 5140:6142 6166:7168 7192:8191 8193:9193 9217:10219 10243:11245 11269:12271 12295:13297 13321:14323 14347:15349 15373:16321" x14ac:dyDescent="0.25">
      <c r="F19" s="17">
        <f t="shared" si="83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</row>
    <row r="20" spans="1:1012 1036:2038 2062:3064 3088:4090 4114:5116 5140:6142 6166:7168 7192:8191 8193:9193 9217:10219 10243:11245 11269:12271 12295:13297 13321:14323 14347:15349 15373:16321" ht="29.1" customHeight="1" x14ac:dyDescent="0.25">
      <c r="F20" s="17">
        <f t="shared" si="83"/>
        <v>11</v>
      </c>
      <c r="G20" s="172" t="s">
        <v>92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</row>
    <row r="21" spans="1:1012 1036:2038 2062:3064 3088:4090 4114:5116 5140:6142 6166:7168 7192:8191 8193:9193 9217:10219 10243:11245 11269:12271 12295:13297 13321:14323 14347:15349 15373:16321" x14ac:dyDescent="0.25">
      <c r="F21" s="17">
        <f t="shared" si="83"/>
        <v>12</v>
      </c>
      <c r="G21" s="12" t="s">
        <v>93</v>
      </c>
      <c r="H21" s="13"/>
      <c r="I21" s="13"/>
      <c r="J21" s="13">
        <f>Dados!$C$41</f>
        <v>5354.1666666666661</v>
      </c>
      <c r="K21" s="13">
        <f>Dados!$C$41</f>
        <v>5354.1666666666661</v>
      </c>
      <c r="L21" s="13">
        <f>Dados!$C$41</f>
        <v>5354.1666666666661</v>
      </c>
      <c r="M21" s="13">
        <f>Dados!$C$41</f>
        <v>5354.1666666666661</v>
      </c>
      <c r="N21" s="13">
        <f>Dados!$C$41</f>
        <v>5354.1666666666661</v>
      </c>
      <c r="O21" s="13">
        <f>Dados!$C$41</f>
        <v>5354.1666666666661</v>
      </c>
      <c r="P21" s="13">
        <f>Dados!$C$41</f>
        <v>5354.1666666666661</v>
      </c>
      <c r="Q21" s="13">
        <f>Dados!$C$41</f>
        <v>5354.1666666666661</v>
      </c>
      <c r="R21" s="13">
        <f>Dados!$C$41</f>
        <v>5354.1666666666661</v>
      </c>
      <c r="S21" s="13">
        <f>Dados!$C$41</f>
        <v>5354.1666666666661</v>
      </c>
      <c r="T21" s="13">
        <f>Dados!$C$41</f>
        <v>5354.1666666666661</v>
      </c>
      <c r="U21" s="13">
        <f>Dados!$C$41</f>
        <v>5354.1666666666661</v>
      </c>
      <c r="V21" s="13">
        <f>Dados!$C$41</f>
        <v>5354.1666666666661</v>
      </c>
      <c r="W21" s="13">
        <f>Dados!$C$41</f>
        <v>5354.1666666666661</v>
      </c>
      <c r="X21" s="13">
        <f>Dados!$C$41</f>
        <v>5354.1666666666661</v>
      </c>
      <c r="Y21" s="13">
        <f>Dados!$C$41</f>
        <v>5354.1666666666661</v>
      </c>
      <c r="Z21" s="13">
        <f>Dados!$C$41</f>
        <v>5354.1666666666661</v>
      </c>
      <c r="AA21" s="13">
        <f>Dados!$C$41</f>
        <v>5354.1666666666661</v>
      </c>
      <c r="AB21" s="13">
        <f>Dados!$C$41</f>
        <v>5354.1666666666661</v>
      </c>
      <c r="AC21" s="13">
        <f>Dados!$C$41</f>
        <v>5354.1666666666661</v>
      </c>
      <c r="AD21" s="13">
        <f>Dados!$C$41</f>
        <v>5354.1666666666661</v>
      </c>
      <c r="AE21" s="13">
        <f>Dados!$C$41</f>
        <v>5354.1666666666661</v>
      </c>
      <c r="AF21" s="13">
        <f>Dados!$C$41</f>
        <v>5354.1666666666661</v>
      </c>
      <c r="AG21" s="13">
        <f>Dados!$C$41</f>
        <v>5354.1666666666661</v>
      </c>
      <c r="AH21" s="13">
        <f>Dados!$C$41</f>
        <v>5354.1666666666661</v>
      </c>
      <c r="AI21" s="13">
        <f>Dados!$C$41</f>
        <v>5354.1666666666661</v>
      </c>
      <c r="AJ21" s="13">
        <f>Dados!$C$41</f>
        <v>5354.1666666666661</v>
      </c>
      <c r="AK21" s="13">
        <f>Dados!$C$41</f>
        <v>5354.1666666666661</v>
      </c>
      <c r="AL21" s="13">
        <f>Dados!$C$41</f>
        <v>5354.1666666666661</v>
      </c>
      <c r="AM21" s="13">
        <f>Dados!$C$41</f>
        <v>5354.1666666666661</v>
      </c>
      <c r="AN21" s="13">
        <f>Dados!$C$41</f>
        <v>5354.1666666666661</v>
      </c>
      <c r="AO21" s="13">
        <f>Dados!$C$41</f>
        <v>5354.1666666666661</v>
      </c>
      <c r="AP21" s="13">
        <f>Dados!$C$41</f>
        <v>5354.1666666666661</v>
      </c>
      <c r="AQ21" s="13">
        <f>Dados!$C$41</f>
        <v>5354.1666666666661</v>
      </c>
      <c r="AR21" s="13">
        <f>Dados!$C$41</f>
        <v>5354.1666666666661</v>
      </c>
      <c r="AS21" s="13">
        <f>Dados!$C$41</f>
        <v>5354.1666666666661</v>
      </c>
      <c r="AT21" s="13">
        <f>Dados!$C$41</f>
        <v>5354.1666666666661</v>
      </c>
      <c r="AU21" s="13">
        <f>Dados!$C$41</f>
        <v>5354.1666666666661</v>
      </c>
      <c r="AV21" s="13">
        <f>Dados!$C$41</f>
        <v>5354.1666666666661</v>
      </c>
      <c r="AW21" s="13">
        <f>Dados!$C$41</f>
        <v>5354.1666666666661</v>
      </c>
      <c r="AX21" s="13">
        <f>Dados!$C$41</f>
        <v>5354.1666666666661</v>
      </c>
      <c r="AY21" s="13">
        <f>Dados!$C$41</f>
        <v>5354.1666666666661</v>
      </c>
      <c r="AZ21" s="13">
        <f>Dados!$C$41</f>
        <v>5354.1666666666661</v>
      </c>
      <c r="BA21" s="13">
        <f>Dados!$C$41</f>
        <v>5354.1666666666661</v>
      </c>
      <c r="BB21" s="13">
        <f>Dados!$C$41</f>
        <v>5354.1666666666661</v>
      </c>
      <c r="BC21" s="13">
        <f>Dados!$C$41</f>
        <v>5354.1666666666661</v>
      </c>
      <c r="BD21" s="13">
        <f>Dados!$C$41</f>
        <v>5354.1666666666661</v>
      </c>
      <c r="BE21" s="13">
        <f>Dados!$C$41</f>
        <v>5354.1666666666661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1012 1036:2038 2062:3064 3088:4090 4114:5116 5140:6142 6166:7168 7192:8191 8193:9193 9217:10219 10243:11245 11269:12271 12295:13297 13321:14323 14347:15349 15373:16321" x14ac:dyDescent="0.25">
      <c r="F22" s="17">
        <f t="shared" si="83"/>
        <v>13</v>
      </c>
    </row>
    <row r="23" spans="1:1012 1036:2038 2062:3064 3088:4090 4114:5116 5140:6142 6166:7168 7192:8191 8193:9193 9217:10219 10243:11245 11269:12271 12295:13297 13321:14323 14347:15349 15373:16321" x14ac:dyDescent="0.25">
      <c r="F23" s="17">
        <f t="shared" si="83"/>
        <v>14</v>
      </c>
    </row>
    <row r="24" spans="1:1012 1036:2038 2062:3064 3088:4090 4114:5116 5140:6142 6166:7168 7192:8191 8193:9193 9217:10219 10243:11245 11269:12271 12295:13297 13321:14323 14347:15349 15373:16321" x14ac:dyDescent="0.25">
      <c r="F24" s="17">
        <f t="shared" si="83"/>
        <v>15</v>
      </c>
      <c r="G24" s="16" t="s">
        <v>94</v>
      </c>
    </row>
    <row r="25" spans="1:1012 1036:2038 2062:3064 3088:4090 4114:5116 5140:6142 6166:7168 7192:8191 8193:9193 9217:10219 10243:11245 11269:12271 12295:13297 13321:14323 14347:15349 15373:16321" s="4" customFormat="1" x14ac:dyDescent="0.25">
      <c r="A25" s="5"/>
      <c r="C25" s="28"/>
      <c r="D25" s="28"/>
      <c r="E25" s="28"/>
      <c r="F25" s="17">
        <f t="shared" si="83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76"/>
      <c r="CM25" s="5"/>
      <c r="CO25" s="28"/>
      <c r="CP25" s="28"/>
      <c r="DN25" s="5"/>
      <c r="DP25" s="28"/>
      <c r="DQ25" s="28"/>
      <c r="EO25" s="5"/>
      <c r="EQ25" s="28"/>
      <c r="ER25" s="28"/>
      <c r="FP25" s="5"/>
      <c r="FR25" s="28"/>
      <c r="FS25" s="28"/>
      <c r="GQ25" s="5"/>
      <c r="GS25" s="28"/>
      <c r="GT25" s="28"/>
      <c r="HR25" s="5"/>
      <c r="HT25" s="28"/>
      <c r="HU25" s="28"/>
      <c r="IS25" s="5"/>
      <c r="IU25" s="28"/>
      <c r="IV25" s="28"/>
      <c r="JT25" s="5"/>
      <c r="JV25" s="28"/>
      <c r="JW25" s="28"/>
      <c r="KU25" s="5"/>
      <c r="KW25" s="28"/>
      <c r="KX25" s="28"/>
      <c r="LV25" s="5"/>
      <c r="LX25" s="28"/>
      <c r="LY25" s="28"/>
      <c r="MW25" s="5"/>
      <c r="MY25" s="28"/>
      <c r="MZ25" s="28"/>
      <c r="NX25" s="5"/>
      <c r="NZ25" s="28"/>
      <c r="OA25" s="28"/>
      <c r="OY25" s="5"/>
      <c r="PA25" s="28"/>
      <c r="PB25" s="28"/>
      <c r="PZ25" s="5"/>
      <c r="QB25" s="28"/>
      <c r="QC25" s="28"/>
      <c r="RA25" s="5"/>
      <c r="RC25" s="28"/>
      <c r="RD25" s="28"/>
      <c r="SB25" s="5"/>
      <c r="SD25" s="28"/>
      <c r="SE25" s="28"/>
      <c r="TC25" s="5"/>
      <c r="TE25" s="28"/>
      <c r="TF25" s="28"/>
      <c r="UD25" s="5"/>
      <c r="UF25" s="28"/>
      <c r="UG25" s="28"/>
      <c r="VE25" s="5"/>
      <c r="VG25" s="28"/>
      <c r="VH25" s="28"/>
      <c r="WF25" s="5"/>
      <c r="WH25" s="28"/>
      <c r="WI25" s="28"/>
      <c r="XG25" s="5"/>
      <c r="XI25" s="28"/>
      <c r="XJ25" s="28"/>
      <c r="YH25" s="5"/>
      <c r="YJ25" s="28"/>
      <c r="YK25" s="28"/>
      <c r="ZI25" s="5"/>
      <c r="ZK25" s="28"/>
      <c r="ZL25" s="28"/>
      <c r="AAJ25" s="5"/>
      <c r="AAL25" s="28"/>
      <c r="AAM25" s="28"/>
      <c r="ABK25" s="5"/>
      <c r="ABM25" s="28"/>
      <c r="ABN25" s="28"/>
      <c r="ACL25" s="5"/>
      <c r="ACN25" s="28"/>
      <c r="ACO25" s="28"/>
      <c r="ADM25" s="5"/>
      <c r="ADO25" s="28"/>
      <c r="ADP25" s="28"/>
      <c r="AEN25" s="5"/>
      <c r="AEP25" s="28"/>
      <c r="AEQ25" s="28"/>
      <c r="AFO25" s="5"/>
      <c r="AFQ25" s="28"/>
      <c r="AFR25" s="28"/>
      <c r="AGP25" s="5"/>
      <c r="AGR25" s="28"/>
      <c r="AGS25" s="28"/>
      <c r="AHQ25" s="5"/>
      <c r="AHS25" s="28"/>
      <c r="AHT25" s="28"/>
      <c r="AIR25" s="5"/>
      <c r="AIT25" s="28"/>
      <c r="AIU25" s="28"/>
      <c r="AJS25" s="5"/>
      <c r="AJU25" s="28"/>
      <c r="AJV25" s="28"/>
      <c r="AKT25" s="5"/>
      <c r="AKV25" s="28"/>
      <c r="AKW25" s="28"/>
      <c r="ALU25" s="5"/>
      <c r="ALW25" s="28"/>
      <c r="ALX25" s="28"/>
      <c r="AMV25" s="5"/>
      <c r="AMX25" s="28"/>
      <c r="AMY25" s="28"/>
      <c r="ANW25" s="5"/>
      <c r="ANY25" s="28"/>
      <c r="ANZ25" s="28"/>
      <c r="AOX25" s="5"/>
      <c r="AOZ25" s="28"/>
      <c r="APA25" s="28"/>
      <c r="APY25" s="5"/>
      <c r="AQA25" s="28"/>
      <c r="AQB25" s="28"/>
      <c r="AQZ25" s="5"/>
      <c r="ARB25" s="28"/>
      <c r="ARC25" s="28"/>
      <c r="ASA25" s="5"/>
      <c r="ASC25" s="28"/>
      <c r="ASD25" s="28"/>
      <c r="ATB25" s="5"/>
      <c r="ATD25" s="28"/>
      <c r="ATE25" s="28"/>
      <c r="AUC25" s="5"/>
      <c r="AUE25" s="28"/>
      <c r="AUF25" s="28"/>
      <c r="AVD25" s="5"/>
      <c r="AVF25" s="28"/>
      <c r="AVG25" s="28"/>
      <c r="AWE25" s="5"/>
      <c r="AWG25" s="28"/>
      <c r="AWH25" s="28"/>
      <c r="AXF25" s="5"/>
      <c r="AXH25" s="28"/>
      <c r="AXI25" s="28"/>
      <c r="AYG25" s="5"/>
      <c r="AYI25" s="28"/>
      <c r="AYJ25" s="28"/>
      <c r="AZH25" s="5"/>
      <c r="AZJ25" s="28"/>
      <c r="AZK25" s="28"/>
      <c r="BAI25" s="5"/>
      <c r="BAK25" s="28"/>
      <c r="BAL25" s="28"/>
      <c r="BBJ25" s="5"/>
      <c r="BBL25" s="28"/>
      <c r="BBM25" s="28"/>
      <c r="BCK25" s="5"/>
      <c r="BCM25" s="28"/>
      <c r="BCN25" s="28"/>
      <c r="BDL25" s="5"/>
      <c r="BDN25" s="28"/>
      <c r="BDO25" s="28"/>
      <c r="BEM25" s="5"/>
      <c r="BEO25" s="28"/>
      <c r="BEP25" s="28"/>
      <c r="BFN25" s="5"/>
      <c r="BFP25" s="28"/>
      <c r="BFQ25" s="28"/>
      <c r="BGO25" s="5"/>
      <c r="BGQ25" s="28"/>
      <c r="BGR25" s="28"/>
      <c r="BHP25" s="5"/>
      <c r="BHR25" s="28"/>
      <c r="BHS25" s="28"/>
      <c r="BIQ25" s="5"/>
      <c r="BIS25" s="28"/>
      <c r="BIT25" s="28"/>
      <c r="BJR25" s="5"/>
      <c r="BJT25" s="28"/>
      <c r="BJU25" s="28"/>
      <c r="BKS25" s="5"/>
      <c r="BKU25" s="28"/>
      <c r="BKV25" s="28"/>
      <c r="BLT25" s="5"/>
      <c r="BLV25" s="28"/>
      <c r="BLW25" s="28"/>
      <c r="BMU25" s="5"/>
      <c r="BMW25" s="28"/>
      <c r="BMX25" s="28"/>
      <c r="BNV25" s="5"/>
      <c r="BNX25" s="28"/>
      <c r="BNY25" s="28"/>
      <c r="BOW25" s="5"/>
      <c r="BOY25" s="28"/>
      <c r="BOZ25" s="28"/>
      <c r="BPX25" s="5"/>
      <c r="BPZ25" s="28"/>
      <c r="BQA25" s="28"/>
      <c r="BQY25" s="5"/>
      <c r="BRA25" s="28"/>
      <c r="BRB25" s="28"/>
      <c r="BRZ25" s="5"/>
      <c r="BSB25" s="28"/>
      <c r="BSC25" s="28"/>
      <c r="BTA25" s="5"/>
      <c r="BTC25" s="28"/>
      <c r="BTD25" s="28"/>
      <c r="BUB25" s="5"/>
      <c r="BUD25" s="28"/>
      <c r="BUE25" s="28"/>
      <c r="BVC25" s="5"/>
      <c r="BVE25" s="28"/>
      <c r="BVF25" s="28"/>
      <c r="BWD25" s="5"/>
      <c r="BWF25" s="28"/>
      <c r="BWG25" s="28"/>
      <c r="BXE25" s="5"/>
      <c r="BXG25" s="28"/>
      <c r="BXH25" s="28"/>
      <c r="BYF25" s="5"/>
      <c r="BYH25" s="28"/>
      <c r="BYI25" s="28"/>
      <c r="BZG25" s="5"/>
      <c r="BZI25" s="28"/>
      <c r="BZJ25" s="28"/>
      <c r="CAH25" s="5"/>
      <c r="CAJ25" s="28"/>
      <c r="CAK25" s="28"/>
      <c r="CBI25" s="5"/>
      <c r="CBK25" s="28"/>
      <c r="CBL25" s="28"/>
      <c r="CCJ25" s="5"/>
      <c r="CCL25" s="28"/>
      <c r="CCM25" s="28"/>
      <c r="CDK25" s="5"/>
      <c r="CDM25" s="28"/>
      <c r="CDN25" s="28"/>
      <c r="CEL25" s="5"/>
      <c r="CEN25" s="28"/>
      <c r="CEO25" s="28"/>
      <c r="CFM25" s="5"/>
      <c r="CFO25" s="28"/>
      <c r="CFP25" s="28"/>
      <c r="CGN25" s="5"/>
      <c r="CGP25" s="28"/>
      <c r="CGQ25" s="28"/>
      <c r="CHO25" s="5"/>
      <c r="CHQ25" s="28"/>
      <c r="CHR25" s="28"/>
      <c r="CIP25" s="5"/>
      <c r="CIR25" s="28"/>
      <c r="CIS25" s="28"/>
      <c r="CJQ25" s="5"/>
      <c r="CJS25" s="28"/>
      <c r="CJT25" s="28"/>
      <c r="CKR25" s="5"/>
      <c r="CKT25" s="28"/>
      <c r="CKU25" s="28"/>
      <c r="CLS25" s="5"/>
      <c r="CLU25" s="28"/>
      <c r="CLV25" s="28"/>
      <c r="CMT25" s="5"/>
      <c r="CMV25" s="28"/>
      <c r="CMW25" s="28"/>
      <c r="CNU25" s="5"/>
      <c r="CNW25" s="28"/>
      <c r="CNX25" s="28"/>
      <c r="COV25" s="5"/>
      <c r="COX25" s="28"/>
      <c r="COY25" s="28"/>
      <c r="CPW25" s="5"/>
      <c r="CPY25" s="28"/>
      <c r="CPZ25" s="28"/>
      <c r="CQX25" s="5"/>
      <c r="CQZ25" s="28"/>
      <c r="CRA25" s="28"/>
      <c r="CRY25" s="5"/>
      <c r="CSA25" s="28"/>
      <c r="CSB25" s="28"/>
      <c r="CSZ25" s="5"/>
      <c r="CTB25" s="28"/>
      <c r="CTC25" s="28"/>
      <c r="CUA25" s="5"/>
      <c r="CUC25" s="28"/>
      <c r="CUD25" s="28"/>
      <c r="CVB25" s="5"/>
      <c r="CVD25" s="28"/>
      <c r="CVE25" s="28"/>
      <c r="CWC25" s="5"/>
      <c r="CWE25" s="28"/>
      <c r="CWF25" s="28"/>
      <c r="CXD25" s="5"/>
      <c r="CXF25" s="28"/>
      <c r="CXG25" s="28"/>
      <c r="CYE25" s="5"/>
      <c r="CYG25" s="28"/>
      <c r="CYH25" s="28"/>
      <c r="CZF25" s="5"/>
      <c r="CZH25" s="28"/>
      <c r="CZI25" s="28"/>
      <c r="DAG25" s="5"/>
      <c r="DAI25" s="28"/>
      <c r="DAJ25" s="28"/>
      <c r="DBH25" s="5"/>
      <c r="DBJ25" s="28"/>
      <c r="DBK25" s="28"/>
      <c r="DCI25" s="5"/>
      <c r="DCK25" s="28"/>
      <c r="DCL25" s="28"/>
      <c r="DDJ25" s="5"/>
      <c r="DDL25" s="28"/>
      <c r="DDM25" s="28"/>
      <c r="DEK25" s="5"/>
      <c r="DEM25" s="28"/>
      <c r="DEN25" s="28"/>
      <c r="DFL25" s="5"/>
      <c r="DFN25" s="28"/>
      <c r="DFO25" s="28"/>
      <c r="DGM25" s="5"/>
      <c r="DGO25" s="28"/>
      <c r="DGP25" s="28"/>
      <c r="DHN25" s="5"/>
      <c r="DHP25" s="28"/>
      <c r="DHQ25" s="28"/>
      <c r="DIO25" s="5"/>
      <c r="DIQ25" s="28"/>
      <c r="DIR25" s="28"/>
      <c r="DJP25" s="5"/>
      <c r="DJR25" s="28"/>
      <c r="DJS25" s="28"/>
      <c r="DKQ25" s="5"/>
      <c r="DKS25" s="28"/>
      <c r="DKT25" s="28"/>
      <c r="DLR25" s="5"/>
      <c r="DLT25" s="28"/>
      <c r="DLU25" s="28"/>
      <c r="DMS25" s="5"/>
      <c r="DMU25" s="28"/>
      <c r="DMV25" s="28"/>
      <c r="DNT25" s="5"/>
      <c r="DNV25" s="28"/>
      <c r="DNW25" s="28"/>
      <c r="DOU25" s="5"/>
      <c r="DOW25" s="28"/>
      <c r="DOX25" s="28"/>
      <c r="DPV25" s="5"/>
      <c r="DPX25" s="28"/>
      <c r="DPY25" s="28"/>
      <c r="DQW25" s="5"/>
      <c r="DQY25" s="28"/>
      <c r="DQZ25" s="28"/>
      <c r="DRX25" s="5"/>
      <c r="DRZ25" s="28"/>
      <c r="DSA25" s="28"/>
      <c r="DSY25" s="5"/>
      <c r="DTA25" s="28"/>
      <c r="DTB25" s="28"/>
      <c r="DTZ25" s="5"/>
      <c r="DUB25" s="28"/>
      <c r="DUC25" s="28"/>
      <c r="DVA25" s="5"/>
      <c r="DVC25" s="28"/>
      <c r="DVD25" s="28"/>
      <c r="DWB25" s="5"/>
      <c r="DWD25" s="28"/>
      <c r="DWE25" s="28"/>
      <c r="DXC25" s="5"/>
      <c r="DXE25" s="28"/>
      <c r="DXF25" s="28"/>
      <c r="DYD25" s="5"/>
      <c r="DYF25" s="28"/>
      <c r="DYG25" s="28"/>
      <c r="DZE25" s="5"/>
      <c r="DZG25" s="28"/>
      <c r="DZH25" s="28"/>
      <c r="EAF25" s="5"/>
      <c r="EAH25" s="28"/>
      <c r="EAI25" s="28"/>
      <c r="EBG25" s="5"/>
      <c r="EBI25" s="28"/>
      <c r="EBJ25" s="28"/>
      <c r="ECH25" s="5"/>
      <c r="ECJ25" s="28"/>
      <c r="ECK25" s="28"/>
      <c r="EDI25" s="5"/>
      <c r="EDK25" s="28"/>
      <c r="EDL25" s="28"/>
      <c r="EEJ25" s="5"/>
      <c r="EEL25" s="28"/>
      <c r="EEM25" s="28"/>
      <c r="EFK25" s="5"/>
      <c r="EFM25" s="28"/>
      <c r="EFN25" s="28"/>
      <c r="EGL25" s="5"/>
      <c r="EGN25" s="28"/>
      <c r="EGO25" s="28"/>
      <c r="EHM25" s="5"/>
      <c r="EHO25" s="28"/>
      <c r="EHP25" s="28"/>
      <c r="EIN25" s="5"/>
      <c r="EIP25" s="28"/>
      <c r="EIQ25" s="28"/>
      <c r="EJO25" s="5"/>
      <c r="EJQ25" s="28"/>
      <c r="EJR25" s="28"/>
      <c r="EKP25" s="5"/>
      <c r="EKR25" s="28"/>
      <c r="EKS25" s="28"/>
      <c r="ELQ25" s="5"/>
      <c r="ELS25" s="28"/>
      <c r="ELT25" s="28"/>
      <c r="EMR25" s="5"/>
      <c r="EMT25" s="28"/>
      <c r="EMU25" s="28"/>
      <c r="ENS25" s="5"/>
      <c r="ENU25" s="28"/>
      <c r="ENV25" s="28"/>
      <c r="EOT25" s="5"/>
      <c r="EOV25" s="28"/>
      <c r="EOW25" s="28"/>
      <c r="EPU25" s="5"/>
      <c r="EPW25" s="28"/>
      <c r="EPX25" s="28"/>
      <c r="EQV25" s="5"/>
      <c r="EQX25" s="28"/>
      <c r="EQY25" s="28"/>
      <c r="ERW25" s="5"/>
      <c r="ERY25" s="28"/>
      <c r="ERZ25" s="28"/>
      <c r="ESX25" s="5"/>
      <c r="ESZ25" s="28"/>
      <c r="ETA25" s="28"/>
      <c r="ETY25" s="5"/>
      <c r="EUA25" s="28"/>
      <c r="EUB25" s="28"/>
      <c r="EUZ25" s="5"/>
      <c r="EVB25" s="28"/>
      <c r="EVC25" s="28"/>
      <c r="EWA25" s="5"/>
      <c r="EWC25" s="28"/>
      <c r="EWD25" s="28"/>
      <c r="EXB25" s="5"/>
      <c r="EXD25" s="28"/>
      <c r="EXE25" s="28"/>
      <c r="EYC25" s="5"/>
      <c r="EYE25" s="28"/>
      <c r="EYF25" s="28"/>
      <c r="EZD25" s="5"/>
      <c r="EZF25" s="28"/>
      <c r="EZG25" s="28"/>
      <c r="FAE25" s="5"/>
      <c r="FAG25" s="28"/>
      <c r="FAH25" s="28"/>
      <c r="FBF25" s="5"/>
      <c r="FBH25" s="28"/>
      <c r="FBI25" s="28"/>
      <c r="FCG25" s="5"/>
      <c r="FCI25" s="28"/>
      <c r="FCJ25" s="28"/>
      <c r="FDH25" s="5"/>
      <c r="FDJ25" s="28"/>
      <c r="FDK25" s="28"/>
      <c r="FEI25" s="5"/>
      <c r="FEK25" s="28"/>
      <c r="FEL25" s="28"/>
      <c r="FFJ25" s="5"/>
      <c r="FFL25" s="28"/>
      <c r="FFM25" s="28"/>
      <c r="FGK25" s="5"/>
      <c r="FGM25" s="28"/>
      <c r="FGN25" s="28"/>
      <c r="FHL25" s="5"/>
      <c r="FHN25" s="28"/>
      <c r="FHO25" s="28"/>
      <c r="FIM25" s="5"/>
      <c r="FIO25" s="28"/>
      <c r="FIP25" s="28"/>
      <c r="FJN25" s="5"/>
      <c r="FJP25" s="28"/>
      <c r="FJQ25" s="28"/>
      <c r="FKO25" s="5"/>
      <c r="FKQ25" s="28"/>
      <c r="FKR25" s="28"/>
      <c r="FLP25" s="5"/>
      <c r="FLR25" s="28"/>
      <c r="FLS25" s="28"/>
      <c r="FMQ25" s="5"/>
      <c r="FMS25" s="28"/>
      <c r="FMT25" s="28"/>
      <c r="FNR25" s="5"/>
      <c r="FNT25" s="28"/>
      <c r="FNU25" s="28"/>
      <c r="FOS25" s="5"/>
      <c r="FOU25" s="28"/>
      <c r="FOV25" s="28"/>
      <c r="FPT25" s="5"/>
      <c r="FPV25" s="28"/>
      <c r="FPW25" s="28"/>
      <c r="FQU25" s="5"/>
      <c r="FQW25" s="28"/>
      <c r="FQX25" s="28"/>
      <c r="FRV25" s="5"/>
      <c r="FRX25" s="28"/>
      <c r="FRY25" s="28"/>
      <c r="FSW25" s="5"/>
      <c r="FSY25" s="28"/>
      <c r="FSZ25" s="28"/>
      <c r="FTX25" s="5"/>
      <c r="FTZ25" s="28"/>
      <c r="FUA25" s="28"/>
      <c r="FUY25" s="5"/>
      <c r="FVA25" s="28"/>
      <c r="FVB25" s="28"/>
      <c r="FVZ25" s="5"/>
      <c r="FWB25" s="28"/>
      <c r="FWC25" s="28"/>
      <c r="FXA25" s="5"/>
      <c r="FXC25" s="28"/>
      <c r="FXD25" s="28"/>
      <c r="FYB25" s="5"/>
      <c r="FYD25" s="28"/>
      <c r="FYE25" s="28"/>
      <c r="FZC25" s="5"/>
      <c r="FZE25" s="28"/>
      <c r="FZF25" s="28"/>
      <c r="GAD25" s="5"/>
      <c r="GAF25" s="28"/>
      <c r="GAG25" s="28"/>
      <c r="GBE25" s="5"/>
      <c r="GBG25" s="28"/>
      <c r="GBH25" s="28"/>
      <c r="GCF25" s="5"/>
      <c r="GCH25" s="28"/>
      <c r="GCI25" s="28"/>
      <c r="GDG25" s="5"/>
      <c r="GDI25" s="28"/>
      <c r="GDJ25" s="28"/>
      <c r="GEH25" s="5"/>
      <c r="GEJ25" s="28"/>
      <c r="GEK25" s="28"/>
      <c r="GFI25" s="5"/>
      <c r="GFK25" s="28"/>
      <c r="GFL25" s="28"/>
      <c r="GGJ25" s="5"/>
      <c r="GGL25" s="28"/>
      <c r="GGM25" s="28"/>
      <c r="GHK25" s="5"/>
      <c r="GHM25" s="28"/>
      <c r="GHN25" s="28"/>
      <c r="GIL25" s="5"/>
      <c r="GIN25" s="28"/>
      <c r="GIO25" s="28"/>
      <c r="GJM25" s="5"/>
      <c r="GJO25" s="28"/>
      <c r="GJP25" s="28"/>
      <c r="GKN25" s="5"/>
      <c r="GKP25" s="28"/>
      <c r="GKQ25" s="28"/>
      <c r="GLO25" s="5"/>
      <c r="GLQ25" s="28"/>
      <c r="GLR25" s="28"/>
      <c r="GMP25" s="5"/>
      <c r="GMR25" s="28"/>
      <c r="GMS25" s="28"/>
      <c r="GNQ25" s="5"/>
      <c r="GNS25" s="28"/>
      <c r="GNT25" s="28"/>
      <c r="GOR25" s="5"/>
      <c r="GOT25" s="28"/>
      <c r="GOU25" s="28"/>
      <c r="GPS25" s="5"/>
      <c r="GPU25" s="28"/>
      <c r="GPV25" s="28"/>
      <c r="GQT25" s="5"/>
      <c r="GQV25" s="28"/>
      <c r="GQW25" s="28"/>
      <c r="GRU25" s="5"/>
      <c r="GRW25" s="28"/>
      <c r="GRX25" s="28"/>
      <c r="GSV25" s="5"/>
      <c r="GSX25" s="28"/>
      <c r="GSY25" s="28"/>
      <c r="GTW25" s="5"/>
      <c r="GTY25" s="28"/>
      <c r="GTZ25" s="28"/>
      <c r="GUX25" s="5"/>
      <c r="GUZ25" s="28"/>
      <c r="GVA25" s="28"/>
      <c r="GVY25" s="5"/>
      <c r="GWA25" s="28"/>
      <c r="GWB25" s="28"/>
      <c r="GWZ25" s="5"/>
      <c r="GXB25" s="28"/>
      <c r="GXC25" s="28"/>
      <c r="GYA25" s="5"/>
      <c r="GYC25" s="28"/>
      <c r="GYD25" s="28"/>
      <c r="GZB25" s="5"/>
      <c r="GZD25" s="28"/>
      <c r="GZE25" s="28"/>
      <c r="HAC25" s="5"/>
      <c r="HAE25" s="28"/>
      <c r="HAF25" s="28"/>
      <c r="HBD25" s="5"/>
      <c r="HBF25" s="28"/>
      <c r="HBG25" s="28"/>
      <c r="HCE25" s="5"/>
      <c r="HCG25" s="28"/>
      <c r="HCH25" s="28"/>
      <c r="HDF25" s="5"/>
      <c r="HDH25" s="28"/>
      <c r="HDI25" s="28"/>
      <c r="HEG25" s="5"/>
      <c r="HEI25" s="28"/>
      <c r="HEJ25" s="28"/>
      <c r="HFH25" s="5"/>
      <c r="HFJ25" s="28"/>
      <c r="HFK25" s="28"/>
      <c r="HGI25" s="5"/>
      <c r="HGK25" s="28"/>
      <c r="HGL25" s="28"/>
      <c r="HHJ25" s="5"/>
      <c r="HHL25" s="28"/>
      <c r="HHM25" s="28"/>
      <c r="HIK25" s="5"/>
      <c r="HIM25" s="28"/>
      <c r="HIN25" s="28"/>
      <c r="HJL25" s="5"/>
      <c r="HJN25" s="28"/>
      <c r="HJO25" s="28"/>
      <c r="HKM25" s="5"/>
      <c r="HKO25" s="28"/>
      <c r="HKP25" s="28"/>
      <c r="HLN25" s="5"/>
      <c r="HLP25" s="28"/>
      <c r="HLQ25" s="28"/>
      <c r="HMO25" s="5"/>
      <c r="HMQ25" s="28"/>
      <c r="HMR25" s="28"/>
      <c r="HNP25" s="5"/>
      <c r="HNR25" s="28"/>
      <c r="HNS25" s="28"/>
      <c r="HOQ25" s="5"/>
      <c r="HOS25" s="28"/>
      <c r="HOT25" s="28"/>
      <c r="HPR25" s="5"/>
      <c r="HPT25" s="28"/>
      <c r="HPU25" s="28"/>
      <c r="HQS25" s="5"/>
      <c r="HQU25" s="28"/>
      <c r="HQV25" s="28"/>
      <c r="HRT25" s="5"/>
      <c r="HRV25" s="28"/>
      <c r="HRW25" s="28"/>
      <c r="HSU25" s="5"/>
      <c r="HSW25" s="28"/>
      <c r="HSX25" s="28"/>
      <c r="HTV25" s="5"/>
      <c r="HTX25" s="28"/>
      <c r="HTY25" s="28"/>
      <c r="HUW25" s="5"/>
      <c r="HUY25" s="28"/>
      <c r="HUZ25" s="28"/>
      <c r="HVX25" s="5"/>
      <c r="HVZ25" s="28"/>
      <c r="HWA25" s="28"/>
      <c r="HWY25" s="5"/>
      <c r="HXA25" s="28"/>
      <c r="HXB25" s="28"/>
      <c r="HXZ25" s="5"/>
      <c r="HYB25" s="28"/>
      <c r="HYC25" s="28"/>
      <c r="HZA25" s="5"/>
      <c r="HZC25" s="28"/>
      <c r="HZD25" s="28"/>
      <c r="IAB25" s="5"/>
      <c r="IAD25" s="28"/>
      <c r="IAE25" s="28"/>
      <c r="IBC25" s="5"/>
      <c r="IBE25" s="28"/>
      <c r="IBF25" s="28"/>
      <c r="ICD25" s="5"/>
      <c r="ICF25" s="28"/>
      <c r="ICG25" s="28"/>
      <c r="IDE25" s="5"/>
      <c r="IDG25" s="28"/>
      <c r="IDH25" s="28"/>
      <c r="IEF25" s="5"/>
      <c r="IEH25" s="28"/>
      <c r="IEI25" s="28"/>
      <c r="IFG25" s="5"/>
      <c r="IFI25" s="28"/>
      <c r="IFJ25" s="28"/>
      <c r="IGH25" s="5"/>
      <c r="IGJ25" s="28"/>
      <c r="IGK25" s="28"/>
      <c r="IHI25" s="5"/>
      <c r="IHK25" s="28"/>
      <c r="IHL25" s="28"/>
      <c r="IIJ25" s="5"/>
      <c r="IIL25" s="28"/>
      <c r="IIM25" s="28"/>
      <c r="IJK25" s="5"/>
      <c r="IJM25" s="28"/>
      <c r="IJN25" s="28"/>
      <c r="IKL25" s="5"/>
      <c r="IKN25" s="28"/>
      <c r="IKO25" s="28"/>
      <c r="ILM25" s="5"/>
      <c r="ILO25" s="28"/>
      <c r="ILP25" s="28"/>
      <c r="IMN25" s="5"/>
      <c r="IMP25" s="28"/>
      <c r="IMQ25" s="28"/>
      <c r="INO25" s="5"/>
      <c r="INQ25" s="28"/>
      <c r="INR25" s="28"/>
      <c r="IOP25" s="5"/>
      <c r="IOR25" s="28"/>
      <c r="IOS25" s="28"/>
      <c r="IPQ25" s="5"/>
      <c r="IPS25" s="28"/>
      <c r="IPT25" s="28"/>
      <c r="IQR25" s="5"/>
      <c r="IQT25" s="28"/>
      <c r="IQU25" s="28"/>
      <c r="IRS25" s="5"/>
      <c r="IRU25" s="28"/>
      <c r="IRV25" s="28"/>
      <c r="IST25" s="5"/>
      <c r="ISV25" s="28"/>
      <c r="ISW25" s="28"/>
      <c r="ITU25" s="5"/>
      <c r="ITW25" s="28"/>
      <c r="ITX25" s="28"/>
      <c r="IUV25" s="5"/>
      <c r="IUX25" s="28"/>
      <c r="IUY25" s="28"/>
      <c r="IVW25" s="5"/>
      <c r="IVY25" s="28"/>
      <c r="IVZ25" s="28"/>
      <c r="IWX25" s="5"/>
      <c r="IWZ25" s="28"/>
      <c r="IXA25" s="28"/>
      <c r="IXY25" s="5"/>
      <c r="IYA25" s="28"/>
      <c r="IYB25" s="28"/>
      <c r="IYZ25" s="5"/>
      <c r="IZB25" s="28"/>
      <c r="IZC25" s="28"/>
      <c r="JAA25" s="5"/>
      <c r="JAC25" s="28"/>
      <c r="JAD25" s="28"/>
      <c r="JBB25" s="5"/>
      <c r="JBD25" s="28"/>
      <c r="JBE25" s="28"/>
      <c r="JCC25" s="5"/>
      <c r="JCE25" s="28"/>
      <c r="JCF25" s="28"/>
      <c r="JDD25" s="5"/>
      <c r="JDF25" s="28"/>
      <c r="JDG25" s="28"/>
      <c r="JEE25" s="5"/>
      <c r="JEG25" s="28"/>
      <c r="JEH25" s="28"/>
      <c r="JFF25" s="5"/>
      <c r="JFH25" s="28"/>
      <c r="JFI25" s="28"/>
      <c r="JGG25" s="5"/>
      <c r="JGI25" s="28"/>
      <c r="JGJ25" s="28"/>
      <c r="JHH25" s="5"/>
      <c r="JHJ25" s="28"/>
      <c r="JHK25" s="28"/>
      <c r="JII25" s="5"/>
      <c r="JIK25" s="28"/>
      <c r="JIL25" s="28"/>
      <c r="JJJ25" s="5"/>
      <c r="JJL25" s="28"/>
      <c r="JJM25" s="28"/>
      <c r="JKK25" s="5"/>
      <c r="JKM25" s="28"/>
      <c r="JKN25" s="28"/>
      <c r="JLL25" s="5"/>
      <c r="JLN25" s="28"/>
      <c r="JLO25" s="28"/>
      <c r="JMM25" s="5"/>
      <c r="JMO25" s="28"/>
      <c r="JMP25" s="28"/>
      <c r="JNN25" s="5"/>
      <c r="JNP25" s="28"/>
      <c r="JNQ25" s="28"/>
      <c r="JOO25" s="5"/>
      <c r="JOQ25" s="28"/>
      <c r="JOR25" s="28"/>
      <c r="JPP25" s="5"/>
      <c r="JPR25" s="28"/>
      <c r="JPS25" s="28"/>
      <c r="JQQ25" s="5"/>
      <c r="JQS25" s="28"/>
      <c r="JQT25" s="28"/>
      <c r="JRR25" s="5"/>
      <c r="JRT25" s="28"/>
      <c r="JRU25" s="28"/>
      <c r="JSS25" s="5"/>
      <c r="JSU25" s="28"/>
      <c r="JSV25" s="28"/>
      <c r="JTT25" s="5"/>
      <c r="JTV25" s="28"/>
      <c r="JTW25" s="28"/>
      <c r="JUU25" s="5"/>
      <c r="JUW25" s="28"/>
      <c r="JUX25" s="28"/>
      <c r="JVV25" s="5"/>
      <c r="JVX25" s="28"/>
      <c r="JVY25" s="28"/>
      <c r="JWW25" s="5"/>
      <c r="JWY25" s="28"/>
      <c r="JWZ25" s="28"/>
      <c r="JXX25" s="5"/>
      <c r="JXZ25" s="28"/>
      <c r="JYA25" s="28"/>
      <c r="JYY25" s="5"/>
      <c r="JZA25" s="28"/>
      <c r="JZB25" s="28"/>
      <c r="JZZ25" s="5"/>
      <c r="KAB25" s="28"/>
      <c r="KAC25" s="28"/>
      <c r="KBA25" s="5"/>
      <c r="KBC25" s="28"/>
      <c r="KBD25" s="28"/>
      <c r="KCB25" s="5"/>
      <c r="KCD25" s="28"/>
      <c r="KCE25" s="28"/>
      <c r="KDC25" s="5"/>
      <c r="KDE25" s="28"/>
      <c r="KDF25" s="28"/>
      <c r="KED25" s="5"/>
      <c r="KEF25" s="28"/>
      <c r="KEG25" s="28"/>
      <c r="KFE25" s="5"/>
      <c r="KFG25" s="28"/>
      <c r="KFH25" s="28"/>
      <c r="KGF25" s="5"/>
      <c r="KGH25" s="28"/>
      <c r="KGI25" s="28"/>
      <c r="KHG25" s="5"/>
      <c r="KHI25" s="28"/>
      <c r="KHJ25" s="28"/>
      <c r="KIH25" s="5"/>
      <c r="KIJ25" s="28"/>
      <c r="KIK25" s="28"/>
      <c r="KJI25" s="5"/>
      <c r="KJK25" s="28"/>
      <c r="KJL25" s="28"/>
      <c r="KKJ25" s="5"/>
      <c r="KKL25" s="28"/>
      <c r="KKM25" s="28"/>
      <c r="KLK25" s="5"/>
      <c r="KLM25" s="28"/>
      <c r="KLN25" s="28"/>
      <c r="KML25" s="5"/>
      <c r="KMN25" s="28"/>
      <c r="KMO25" s="28"/>
      <c r="KNM25" s="5"/>
      <c r="KNO25" s="28"/>
      <c r="KNP25" s="28"/>
      <c r="KON25" s="5"/>
      <c r="KOP25" s="28"/>
      <c r="KOQ25" s="28"/>
      <c r="KPO25" s="5"/>
      <c r="KPQ25" s="28"/>
      <c r="KPR25" s="28"/>
      <c r="KQP25" s="5"/>
      <c r="KQR25" s="28"/>
      <c r="KQS25" s="28"/>
      <c r="KRQ25" s="5"/>
      <c r="KRS25" s="28"/>
      <c r="KRT25" s="28"/>
      <c r="KSR25" s="5"/>
      <c r="KST25" s="28"/>
      <c r="KSU25" s="28"/>
      <c r="KTS25" s="5"/>
      <c r="KTU25" s="28"/>
      <c r="KTV25" s="28"/>
      <c r="KUT25" s="5"/>
      <c r="KUV25" s="28"/>
      <c r="KUW25" s="28"/>
      <c r="KVU25" s="5"/>
      <c r="KVW25" s="28"/>
      <c r="KVX25" s="28"/>
      <c r="KWV25" s="5"/>
      <c r="KWX25" s="28"/>
      <c r="KWY25" s="28"/>
      <c r="KXW25" s="5"/>
      <c r="KXY25" s="28"/>
      <c r="KXZ25" s="28"/>
      <c r="KYX25" s="5"/>
      <c r="KYZ25" s="28"/>
      <c r="KZA25" s="28"/>
      <c r="KZY25" s="5"/>
      <c r="LAA25" s="28"/>
      <c r="LAB25" s="28"/>
      <c r="LAZ25" s="5"/>
      <c r="LBB25" s="28"/>
      <c r="LBC25" s="28"/>
      <c r="LCA25" s="5"/>
      <c r="LCC25" s="28"/>
      <c r="LCD25" s="28"/>
      <c r="LDB25" s="5"/>
      <c r="LDD25" s="28"/>
      <c r="LDE25" s="28"/>
      <c r="LEC25" s="5"/>
      <c r="LEE25" s="28"/>
      <c r="LEF25" s="28"/>
      <c r="LFD25" s="5"/>
      <c r="LFF25" s="28"/>
      <c r="LFG25" s="28"/>
      <c r="LGE25" s="5"/>
      <c r="LGG25" s="28"/>
      <c r="LGH25" s="28"/>
      <c r="LHF25" s="5"/>
      <c r="LHH25" s="28"/>
      <c r="LHI25" s="28"/>
      <c r="LIG25" s="5"/>
      <c r="LII25" s="28"/>
      <c r="LIJ25" s="28"/>
      <c r="LJH25" s="5"/>
      <c r="LJJ25" s="28"/>
      <c r="LJK25" s="28"/>
      <c r="LKI25" s="5"/>
      <c r="LKK25" s="28"/>
      <c r="LKL25" s="28"/>
      <c r="LLJ25" s="5"/>
      <c r="LLL25" s="28"/>
      <c r="LLM25" s="28"/>
      <c r="LMK25" s="5"/>
      <c r="LMM25" s="28"/>
      <c r="LMN25" s="28"/>
      <c r="LNL25" s="5"/>
      <c r="LNN25" s="28"/>
      <c r="LNO25" s="28"/>
      <c r="LOM25" s="5"/>
      <c r="LOO25" s="28"/>
      <c r="LOP25" s="28"/>
      <c r="LPN25" s="5"/>
      <c r="LPP25" s="28"/>
      <c r="LPQ25" s="28"/>
      <c r="LQO25" s="5"/>
      <c r="LQQ25" s="28"/>
      <c r="LQR25" s="28"/>
      <c r="LRP25" s="5"/>
      <c r="LRR25" s="28"/>
      <c r="LRS25" s="28"/>
      <c r="LSQ25" s="5"/>
      <c r="LSS25" s="28"/>
      <c r="LST25" s="28"/>
      <c r="LTR25" s="5"/>
      <c r="LTT25" s="28"/>
      <c r="LTU25" s="28"/>
      <c r="LUS25" s="5"/>
      <c r="LUU25" s="28"/>
      <c r="LUV25" s="28"/>
      <c r="LVT25" s="5"/>
      <c r="LVV25" s="28"/>
      <c r="LVW25" s="28"/>
      <c r="LWU25" s="5"/>
      <c r="LWW25" s="28"/>
      <c r="LWX25" s="28"/>
      <c r="LXV25" s="5"/>
      <c r="LXX25" s="28"/>
      <c r="LXY25" s="28"/>
      <c r="LYW25" s="5"/>
      <c r="LYY25" s="28"/>
      <c r="LYZ25" s="28"/>
      <c r="LZX25" s="5"/>
      <c r="LZZ25" s="28"/>
      <c r="MAA25" s="28"/>
      <c r="MAY25" s="5"/>
      <c r="MBA25" s="28"/>
      <c r="MBB25" s="28"/>
      <c r="MBZ25" s="5"/>
      <c r="MCB25" s="28"/>
      <c r="MCC25" s="28"/>
      <c r="MDA25" s="5"/>
      <c r="MDC25" s="28"/>
      <c r="MDD25" s="28"/>
      <c r="MEB25" s="5"/>
      <c r="MED25" s="28"/>
      <c r="MEE25" s="28"/>
      <c r="MFC25" s="5"/>
      <c r="MFE25" s="28"/>
      <c r="MFF25" s="28"/>
      <c r="MGD25" s="5"/>
      <c r="MGF25" s="28"/>
      <c r="MGG25" s="28"/>
      <c r="MHE25" s="5"/>
      <c r="MHG25" s="28"/>
      <c r="MHH25" s="28"/>
      <c r="MIF25" s="5"/>
      <c r="MIH25" s="28"/>
      <c r="MII25" s="28"/>
      <c r="MJG25" s="5"/>
      <c r="MJI25" s="28"/>
      <c r="MJJ25" s="28"/>
      <c r="MKH25" s="5"/>
      <c r="MKJ25" s="28"/>
      <c r="MKK25" s="28"/>
      <c r="MLI25" s="5"/>
      <c r="MLK25" s="28"/>
      <c r="MLL25" s="28"/>
      <c r="MMJ25" s="5"/>
      <c r="MML25" s="28"/>
      <c r="MMM25" s="28"/>
      <c r="MNK25" s="5"/>
      <c r="MNM25" s="28"/>
      <c r="MNN25" s="28"/>
      <c r="MOL25" s="5"/>
      <c r="MON25" s="28"/>
      <c r="MOO25" s="28"/>
      <c r="MPM25" s="5"/>
      <c r="MPO25" s="28"/>
      <c r="MPP25" s="28"/>
      <c r="MQN25" s="5"/>
      <c r="MQP25" s="28"/>
      <c r="MQQ25" s="28"/>
      <c r="MRO25" s="5"/>
      <c r="MRQ25" s="28"/>
      <c r="MRR25" s="28"/>
      <c r="MSP25" s="5"/>
      <c r="MSR25" s="28"/>
      <c r="MSS25" s="28"/>
      <c r="MTQ25" s="5"/>
      <c r="MTS25" s="28"/>
      <c r="MTT25" s="28"/>
      <c r="MUR25" s="5"/>
      <c r="MUT25" s="28"/>
      <c r="MUU25" s="28"/>
      <c r="MVS25" s="5"/>
      <c r="MVU25" s="28"/>
      <c r="MVV25" s="28"/>
      <c r="MWT25" s="5"/>
      <c r="MWV25" s="28"/>
      <c r="MWW25" s="28"/>
      <c r="MXU25" s="5"/>
      <c r="MXW25" s="28"/>
      <c r="MXX25" s="28"/>
      <c r="MYV25" s="5"/>
      <c r="MYX25" s="28"/>
      <c r="MYY25" s="28"/>
      <c r="MZW25" s="5"/>
      <c r="MZY25" s="28"/>
      <c r="MZZ25" s="28"/>
      <c r="NAX25" s="5"/>
      <c r="NAZ25" s="28"/>
      <c r="NBA25" s="28"/>
      <c r="NBY25" s="5"/>
      <c r="NCA25" s="28"/>
      <c r="NCB25" s="28"/>
      <c r="NCZ25" s="5"/>
      <c r="NDB25" s="28"/>
      <c r="NDC25" s="28"/>
      <c r="NEA25" s="5"/>
      <c r="NEC25" s="28"/>
      <c r="NED25" s="28"/>
      <c r="NFB25" s="5"/>
      <c r="NFD25" s="28"/>
      <c r="NFE25" s="28"/>
      <c r="NGC25" s="5"/>
      <c r="NGE25" s="28"/>
      <c r="NGF25" s="28"/>
      <c r="NHD25" s="5"/>
      <c r="NHF25" s="28"/>
      <c r="NHG25" s="28"/>
      <c r="NIE25" s="5"/>
      <c r="NIG25" s="28"/>
      <c r="NIH25" s="28"/>
      <c r="NJF25" s="5"/>
      <c r="NJH25" s="28"/>
      <c r="NJI25" s="28"/>
      <c r="NKG25" s="5"/>
      <c r="NKI25" s="28"/>
      <c r="NKJ25" s="28"/>
      <c r="NLH25" s="5"/>
      <c r="NLJ25" s="28"/>
      <c r="NLK25" s="28"/>
      <c r="NMI25" s="5"/>
      <c r="NMK25" s="28"/>
      <c r="NML25" s="28"/>
      <c r="NNJ25" s="5"/>
      <c r="NNL25" s="28"/>
      <c r="NNM25" s="28"/>
      <c r="NOK25" s="5"/>
      <c r="NOM25" s="28"/>
      <c r="NON25" s="28"/>
      <c r="NPL25" s="5"/>
      <c r="NPN25" s="28"/>
      <c r="NPO25" s="28"/>
      <c r="NQM25" s="5"/>
      <c r="NQO25" s="28"/>
      <c r="NQP25" s="28"/>
      <c r="NRN25" s="5"/>
      <c r="NRP25" s="28"/>
      <c r="NRQ25" s="28"/>
      <c r="NSO25" s="5"/>
      <c r="NSQ25" s="28"/>
      <c r="NSR25" s="28"/>
      <c r="NTP25" s="5"/>
      <c r="NTR25" s="28"/>
      <c r="NTS25" s="28"/>
      <c r="NUQ25" s="5"/>
      <c r="NUS25" s="28"/>
      <c r="NUT25" s="28"/>
      <c r="NVR25" s="5"/>
      <c r="NVT25" s="28"/>
      <c r="NVU25" s="28"/>
      <c r="NWS25" s="5"/>
      <c r="NWU25" s="28"/>
      <c r="NWV25" s="28"/>
      <c r="NXT25" s="5"/>
      <c r="NXV25" s="28"/>
      <c r="NXW25" s="28"/>
      <c r="NYU25" s="5"/>
      <c r="NYW25" s="28"/>
      <c r="NYX25" s="28"/>
      <c r="NZV25" s="5"/>
      <c r="NZX25" s="28"/>
      <c r="NZY25" s="28"/>
      <c r="OAW25" s="5"/>
      <c r="OAY25" s="28"/>
      <c r="OAZ25" s="28"/>
      <c r="OBX25" s="5"/>
      <c r="OBZ25" s="28"/>
      <c r="OCA25" s="28"/>
      <c r="OCY25" s="5"/>
      <c r="ODA25" s="28"/>
      <c r="ODB25" s="28"/>
      <c r="ODZ25" s="5"/>
      <c r="OEB25" s="28"/>
      <c r="OEC25" s="28"/>
      <c r="OFA25" s="5"/>
      <c r="OFC25" s="28"/>
      <c r="OFD25" s="28"/>
      <c r="OGB25" s="5"/>
      <c r="OGD25" s="28"/>
      <c r="OGE25" s="28"/>
      <c r="OHC25" s="5"/>
      <c r="OHE25" s="28"/>
      <c r="OHF25" s="28"/>
      <c r="OID25" s="5"/>
      <c r="OIF25" s="28"/>
      <c r="OIG25" s="28"/>
      <c r="OJE25" s="5"/>
      <c r="OJG25" s="28"/>
      <c r="OJH25" s="28"/>
      <c r="OKF25" s="5"/>
      <c r="OKH25" s="28"/>
      <c r="OKI25" s="28"/>
      <c r="OLG25" s="5"/>
      <c r="OLI25" s="28"/>
      <c r="OLJ25" s="28"/>
      <c r="OMH25" s="5"/>
      <c r="OMJ25" s="28"/>
      <c r="OMK25" s="28"/>
      <c r="ONI25" s="5"/>
      <c r="ONK25" s="28"/>
      <c r="ONL25" s="28"/>
      <c r="OOJ25" s="5"/>
      <c r="OOL25" s="28"/>
      <c r="OOM25" s="28"/>
      <c r="OPK25" s="5"/>
      <c r="OPM25" s="28"/>
      <c r="OPN25" s="28"/>
      <c r="OQL25" s="5"/>
      <c r="OQN25" s="28"/>
      <c r="OQO25" s="28"/>
      <c r="ORM25" s="5"/>
      <c r="ORO25" s="28"/>
      <c r="ORP25" s="28"/>
      <c r="OSN25" s="5"/>
      <c r="OSP25" s="28"/>
      <c r="OSQ25" s="28"/>
      <c r="OTO25" s="5"/>
      <c r="OTQ25" s="28"/>
      <c r="OTR25" s="28"/>
      <c r="OUP25" s="5"/>
      <c r="OUR25" s="28"/>
      <c r="OUS25" s="28"/>
      <c r="OVQ25" s="5"/>
      <c r="OVS25" s="28"/>
      <c r="OVT25" s="28"/>
      <c r="OWR25" s="5"/>
      <c r="OWT25" s="28"/>
      <c r="OWU25" s="28"/>
      <c r="OXS25" s="5"/>
      <c r="OXU25" s="28"/>
      <c r="OXV25" s="28"/>
      <c r="OYT25" s="5"/>
      <c r="OYV25" s="28"/>
      <c r="OYW25" s="28"/>
      <c r="OZU25" s="5"/>
      <c r="OZW25" s="28"/>
      <c r="OZX25" s="28"/>
      <c r="PAV25" s="5"/>
      <c r="PAX25" s="28"/>
      <c r="PAY25" s="28"/>
      <c r="PBW25" s="5"/>
      <c r="PBY25" s="28"/>
      <c r="PBZ25" s="28"/>
      <c r="PCX25" s="5"/>
      <c r="PCZ25" s="28"/>
      <c r="PDA25" s="28"/>
      <c r="PDY25" s="5"/>
      <c r="PEA25" s="28"/>
      <c r="PEB25" s="28"/>
      <c r="PEZ25" s="5"/>
      <c r="PFB25" s="28"/>
      <c r="PFC25" s="28"/>
      <c r="PGA25" s="5"/>
      <c r="PGC25" s="28"/>
      <c r="PGD25" s="28"/>
      <c r="PHB25" s="5"/>
      <c r="PHD25" s="28"/>
      <c r="PHE25" s="28"/>
      <c r="PIC25" s="5"/>
      <c r="PIE25" s="28"/>
      <c r="PIF25" s="28"/>
      <c r="PJD25" s="5"/>
      <c r="PJF25" s="28"/>
      <c r="PJG25" s="28"/>
      <c r="PKE25" s="5"/>
      <c r="PKG25" s="28"/>
      <c r="PKH25" s="28"/>
      <c r="PLF25" s="5"/>
      <c r="PLH25" s="28"/>
      <c r="PLI25" s="28"/>
      <c r="PMG25" s="5"/>
      <c r="PMI25" s="28"/>
      <c r="PMJ25" s="28"/>
      <c r="PNH25" s="5"/>
      <c r="PNJ25" s="28"/>
      <c r="PNK25" s="28"/>
      <c r="POI25" s="5"/>
      <c r="POK25" s="28"/>
      <c r="POL25" s="28"/>
      <c r="PPJ25" s="5"/>
      <c r="PPL25" s="28"/>
      <c r="PPM25" s="28"/>
      <c r="PQK25" s="5"/>
      <c r="PQM25" s="28"/>
      <c r="PQN25" s="28"/>
      <c r="PRL25" s="5"/>
      <c r="PRN25" s="28"/>
      <c r="PRO25" s="28"/>
      <c r="PSM25" s="5"/>
      <c r="PSO25" s="28"/>
      <c r="PSP25" s="28"/>
      <c r="PTN25" s="5"/>
      <c r="PTP25" s="28"/>
      <c r="PTQ25" s="28"/>
      <c r="PUO25" s="5"/>
      <c r="PUQ25" s="28"/>
      <c r="PUR25" s="28"/>
      <c r="PVP25" s="5"/>
      <c r="PVR25" s="28"/>
      <c r="PVS25" s="28"/>
      <c r="PWQ25" s="5"/>
      <c r="PWS25" s="28"/>
      <c r="PWT25" s="28"/>
      <c r="PXR25" s="5"/>
      <c r="PXT25" s="28"/>
      <c r="PXU25" s="28"/>
      <c r="PYS25" s="5"/>
      <c r="PYU25" s="28"/>
      <c r="PYV25" s="28"/>
      <c r="PZT25" s="5"/>
      <c r="PZV25" s="28"/>
      <c r="PZW25" s="28"/>
      <c r="QAU25" s="5"/>
      <c r="QAW25" s="28"/>
      <c r="QAX25" s="28"/>
      <c r="QBV25" s="5"/>
      <c r="QBX25" s="28"/>
      <c r="QBY25" s="28"/>
      <c r="QCW25" s="5"/>
      <c r="QCY25" s="28"/>
      <c r="QCZ25" s="28"/>
      <c r="QDX25" s="5"/>
      <c r="QDZ25" s="28"/>
      <c r="QEA25" s="28"/>
      <c r="QEY25" s="5"/>
      <c r="QFA25" s="28"/>
      <c r="QFB25" s="28"/>
      <c r="QFZ25" s="5"/>
      <c r="QGB25" s="28"/>
      <c r="QGC25" s="28"/>
      <c r="QHA25" s="5"/>
      <c r="QHC25" s="28"/>
      <c r="QHD25" s="28"/>
      <c r="QIB25" s="5"/>
      <c r="QID25" s="28"/>
      <c r="QIE25" s="28"/>
      <c r="QJC25" s="5"/>
      <c r="QJE25" s="28"/>
      <c r="QJF25" s="28"/>
      <c r="QKD25" s="5"/>
      <c r="QKF25" s="28"/>
      <c r="QKG25" s="28"/>
      <c r="QLE25" s="5"/>
      <c r="QLG25" s="28"/>
      <c r="QLH25" s="28"/>
      <c r="QMF25" s="5"/>
      <c r="QMH25" s="28"/>
      <c r="QMI25" s="28"/>
      <c r="QNG25" s="5"/>
      <c r="QNI25" s="28"/>
      <c r="QNJ25" s="28"/>
      <c r="QOH25" s="5"/>
      <c r="QOJ25" s="28"/>
      <c r="QOK25" s="28"/>
      <c r="QPI25" s="5"/>
      <c r="QPK25" s="28"/>
      <c r="QPL25" s="28"/>
      <c r="QQJ25" s="5"/>
      <c r="QQL25" s="28"/>
      <c r="QQM25" s="28"/>
      <c r="QRK25" s="5"/>
      <c r="QRM25" s="28"/>
      <c r="QRN25" s="28"/>
      <c r="QSL25" s="5"/>
      <c r="QSN25" s="28"/>
      <c r="QSO25" s="28"/>
      <c r="QTM25" s="5"/>
      <c r="QTO25" s="28"/>
      <c r="QTP25" s="28"/>
      <c r="QUN25" s="5"/>
      <c r="QUP25" s="28"/>
      <c r="QUQ25" s="28"/>
      <c r="QVO25" s="5"/>
      <c r="QVQ25" s="28"/>
      <c r="QVR25" s="28"/>
      <c r="QWP25" s="5"/>
      <c r="QWR25" s="28"/>
      <c r="QWS25" s="28"/>
      <c r="QXQ25" s="5"/>
      <c r="QXS25" s="28"/>
      <c r="QXT25" s="28"/>
      <c r="QYR25" s="5"/>
      <c r="QYT25" s="28"/>
      <c r="QYU25" s="28"/>
      <c r="QZS25" s="5"/>
      <c r="QZU25" s="28"/>
      <c r="QZV25" s="28"/>
      <c r="RAT25" s="5"/>
      <c r="RAV25" s="28"/>
      <c r="RAW25" s="28"/>
      <c r="RBU25" s="5"/>
      <c r="RBW25" s="28"/>
      <c r="RBX25" s="28"/>
      <c r="RCV25" s="5"/>
      <c r="RCX25" s="28"/>
      <c r="RCY25" s="28"/>
      <c r="RDW25" s="5"/>
      <c r="RDY25" s="28"/>
      <c r="RDZ25" s="28"/>
      <c r="REX25" s="5"/>
      <c r="REZ25" s="28"/>
      <c r="RFA25" s="28"/>
      <c r="RFY25" s="5"/>
      <c r="RGA25" s="28"/>
      <c r="RGB25" s="28"/>
      <c r="RGZ25" s="5"/>
      <c r="RHB25" s="28"/>
      <c r="RHC25" s="28"/>
      <c r="RIA25" s="5"/>
      <c r="RIC25" s="28"/>
      <c r="RID25" s="28"/>
      <c r="RJB25" s="5"/>
      <c r="RJD25" s="28"/>
      <c r="RJE25" s="28"/>
      <c r="RKC25" s="5"/>
      <c r="RKE25" s="28"/>
      <c r="RKF25" s="28"/>
      <c r="RLD25" s="5"/>
      <c r="RLF25" s="28"/>
      <c r="RLG25" s="28"/>
      <c r="RME25" s="5"/>
      <c r="RMG25" s="28"/>
      <c r="RMH25" s="28"/>
      <c r="RNF25" s="5"/>
      <c r="RNH25" s="28"/>
      <c r="RNI25" s="28"/>
      <c r="ROG25" s="5"/>
      <c r="ROI25" s="28"/>
      <c r="ROJ25" s="28"/>
      <c r="RPH25" s="5"/>
      <c r="RPJ25" s="28"/>
      <c r="RPK25" s="28"/>
      <c r="RQI25" s="5"/>
      <c r="RQK25" s="28"/>
      <c r="RQL25" s="28"/>
      <c r="RRJ25" s="5"/>
      <c r="RRL25" s="28"/>
      <c r="RRM25" s="28"/>
      <c r="RSK25" s="5"/>
      <c r="RSM25" s="28"/>
      <c r="RSN25" s="28"/>
      <c r="RTL25" s="5"/>
      <c r="RTN25" s="28"/>
      <c r="RTO25" s="28"/>
      <c r="RUM25" s="5"/>
      <c r="RUO25" s="28"/>
      <c r="RUP25" s="28"/>
      <c r="RVN25" s="5"/>
      <c r="RVP25" s="28"/>
      <c r="RVQ25" s="28"/>
      <c r="RWO25" s="5"/>
      <c r="RWQ25" s="28"/>
      <c r="RWR25" s="28"/>
      <c r="RXP25" s="5"/>
      <c r="RXR25" s="28"/>
      <c r="RXS25" s="28"/>
      <c r="RYQ25" s="5"/>
      <c r="RYS25" s="28"/>
      <c r="RYT25" s="28"/>
      <c r="RZR25" s="5"/>
      <c r="RZT25" s="28"/>
      <c r="RZU25" s="28"/>
      <c r="SAS25" s="5"/>
      <c r="SAU25" s="28"/>
      <c r="SAV25" s="28"/>
      <c r="SBT25" s="5"/>
      <c r="SBV25" s="28"/>
      <c r="SBW25" s="28"/>
      <c r="SCU25" s="5"/>
      <c r="SCW25" s="28"/>
      <c r="SCX25" s="28"/>
      <c r="SDV25" s="5"/>
      <c r="SDX25" s="28"/>
      <c r="SDY25" s="28"/>
      <c r="SEW25" s="5"/>
      <c r="SEY25" s="28"/>
      <c r="SEZ25" s="28"/>
      <c r="SFX25" s="5"/>
      <c r="SFZ25" s="28"/>
      <c r="SGA25" s="28"/>
      <c r="SGY25" s="5"/>
      <c r="SHA25" s="28"/>
      <c r="SHB25" s="28"/>
      <c r="SHZ25" s="5"/>
      <c r="SIB25" s="28"/>
      <c r="SIC25" s="28"/>
      <c r="SJA25" s="5"/>
      <c r="SJC25" s="28"/>
      <c r="SJD25" s="28"/>
      <c r="SKB25" s="5"/>
      <c r="SKD25" s="28"/>
      <c r="SKE25" s="28"/>
      <c r="SLC25" s="5"/>
      <c r="SLE25" s="28"/>
      <c r="SLF25" s="28"/>
      <c r="SMD25" s="5"/>
      <c r="SMF25" s="28"/>
      <c r="SMG25" s="28"/>
      <c r="SNE25" s="5"/>
      <c r="SNG25" s="28"/>
      <c r="SNH25" s="28"/>
      <c r="SOF25" s="5"/>
      <c r="SOH25" s="28"/>
      <c r="SOI25" s="28"/>
      <c r="SPG25" s="5"/>
      <c r="SPI25" s="28"/>
      <c r="SPJ25" s="28"/>
      <c r="SQH25" s="5"/>
      <c r="SQJ25" s="28"/>
      <c r="SQK25" s="28"/>
      <c r="SRI25" s="5"/>
      <c r="SRK25" s="28"/>
      <c r="SRL25" s="28"/>
      <c r="SSJ25" s="5"/>
      <c r="SSL25" s="28"/>
      <c r="SSM25" s="28"/>
      <c r="STK25" s="5"/>
      <c r="STM25" s="28"/>
      <c r="STN25" s="28"/>
      <c r="SUL25" s="5"/>
      <c r="SUN25" s="28"/>
      <c r="SUO25" s="28"/>
      <c r="SVM25" s="5"/>
      <c r="SVO25" s="28"/>
      <c r="SVP25" s="28"/>
      <c r="SWN25" s="5"/>
      <c r="SWP25" s="28"/>
      <c r="SWQ25" s="28"/>
      <c r="SXO25" s="5"/>
      <c r="SXQ25" s="28"/>
      <c r="SXR25" s="28"/>
      <c r="SYP25" s="5"/>
      <c r="SYR25" s="28"/>
      <c r="SYS25" s="28"/>
      <c r="SZQ25" s="5"/>
      <c r="SZS25" s="28"/>
      <c r="SZT25" s="28"/>
      <c r="TAR25" s="5"/>
      <c r="TAT25" s="28"/>
      <c r="TAU25" s="28"/>
      <c r="TBS25" s="5"/>
      <c r="TBU25" s="28"/>
      <c r="TBV25" s="28"/>
      <c r="TCT25" s="5"/>
      <c r="TCV25" s="28"/>
      <c r="TCW25" s="28"/>
      <c r="TDU25" s="5"/>
      <c r="TDW25" s="28"/>
      <c r="TDX25" s="28"/>
      <c r="TEV25" s="5"/>
      <c r="TEX25" s="28"/>
      <c r="TEY25" s="28"/>
      <c r="TFW25" s="5"/>
      <c r="TFY25" s="28"/>
      <c r="TFZ25" s="28"/>
      <c r="TGX25" s="5"/>
      <c r="TGZ25" s="28"/>
      <c r="THA25" s="28"/>
      <c r="THY25" s="5"/>
      <c r="TIA25" s="28"/>
      <c r="TIB25" s="28"/>
      <c r="TIZ25" s="5"/>
      <c r="TJB25" s="28"/>
      <c r="TJC25" s="28"/>
      <c r="TKA25" s="5"/>
      <c r="TKC25" s="28"/>
      <c r="TKD25" s="28"/>
      <c r="TLB25" s="5"/>
      <c r="TLD25" s="28"/>
      <c r="TLE25" s="28"/>
      <c r="TMC25" s="5"/>
      <c r="TME25" s="28"/>
      <c r="TMF25" s="28"/>
      <c r="TND25" s="5"/>
      <c r="TNF25" s="28"/>
      <c r="TNG25" s="28"/>
      <c r="TOE25" s="5"/>
      <c r="TOG25" s="28"/>
      <c r="TOH25" s="28"/>
      <c r="TPF25" s="5"/>
      <c r="TPH25" s="28"/>
      <c r="TPI25" s="28"/>
      <c r="TQG25" s="5"/>
      <c r="TQI25" s="28"/>
      <c r="TQJ25" s="28"/>
      <c r="TRH25" s="5"/>
      <c r="TRJ25" s="28"/>
      <c r="TRK25" s="28"/>
      <c r="TSI25" s="5"/>
      <c r="TSK25" s="28"/>
      <c r="TSL25" s="28"/>
      <c r="TTJ25" s="5"/>
      <c r="TTL25" s="28"/>
      <c r="TTM25" s="28"/>
      <c r="TUK25" s="5"/>
      <c r="TUM25" s="28"/>
      <c r="TUN25" s="28"/>
      <c r="TVL25" s="5"/>
      <c r="TVN25" s="28"/>
      <c r="TVO25" s="28"/>
      <c r="TWM25" s="5"/>
      <c r="TWO25" s="28"/>
      <c r="TWP25" s="28"/>
      <c r="TXN25" s="5"/>
      <c r="TXP25" s="28"/>
      <c r="TXQ25" s="28"/>
      <c r="TYO25" s="5"/>
      <c r="TYQ25" s="28"/>
      <c r="TYR25" s="28"/>
      <c r="TZP25" s="5"/>
      <c r="TZR25" s="28"/>
      <c r="TZS25" s="28"/>
      <c r="UAQ25" s="5"/>
      <c r="UAS25" s="28"/>
      <c r="UAT25" s="28"/>
      <c r="UBR25" s="5"/>
      <c r="UBT25" s="28"/>
      <c r="UBU25" s="28"/>
      <c r="UCS25" s="5"/>
      <c r="UCU25" s="28"/>
      <c r="UCV25" s="28"/>
      <c r="UDT25" s="5"/>
      <c r="UDV25" s="28"/>
      <c r="UDW25" s="28"/>
      <c r="UEU25" s="5"/>
      <c r="UEW25" s="28"/>
      <c r="UEX25" s="28"/>
      <c r="UFV25" s="5"/>
      <c r="UFX25" s="28"/>
      <c r="UFY25" s="28"/>
      <c r="UGW25" s="5"/>
      <c r="UGY25" s="28"/>
      <c r="UGZ25" s="28"/>
      <c r="UHX25" s="5"/>
      <c r="UHZ25" s="28"/>
      <c r="UIA25" s="28"/>
      <c r="UIY25" s="5"/>
      <c r="UJA25" s="28"/>
      <c r="UJB25" s="28"/>
      <c r="UJZ25" s="5"/>
      <c r="UKB25" s="28"/>
      <c r="UKC25" s="28"/>
      <c r="ULA25" s="5"/>
      <c r="ULC25" s="28"/>
      <c r="ULD25" s="28"/>
      <c r="UMB25" s="5"/>
      <c r="UMD25" s="28"/>
      <c r="UME25" s="28"/>
      <c r="UNC25" s="5"/>
      <c r="UNE25" s="28"/>
      <c r="UNF25" s="28"/>
      <c r="UOD25" s="5"/>
      <c r="UOF25" s="28"/>
      <c r="UOG25" s="28"/>
      <c r="UPE25" s="5"/>
      <c r="UPG25" s="28"/>
      <c r="UPH25" s="28"/>
      <c r="UQF25" s="5"/>
      <c r="UQH25" s="28"/>
      <c r="UQI25" s="28"/>
      <c r="URG25" s="5"/>
      <c r="URI25" s="28"/>
      <c r="URJ25" s="28"/>
      <c r="USH25" s="5"/>
      <c r="USJ25" s="28"/>
      <c r="USK25" s="28"/>
      <c r="UTI25" s="5"/>
      <c r="UTK25" s="28"/>
      <c r="UTL25" s="28"/>
      <c r="UUJ25" s="5"/>
      <c r="UUL25" s="28"/>
      <c r="UUM25" s="28"/>
      <c r="UVK25" s="5"/>
      <c r="UVM25" s="28"/>
      <c r="UVN25" s="28"/>
      <c r="UWL25" s="5"/>
      <c r="UWN25" s="28"/>
      <c r="UWO25" s="28"/>
      <c r="UXM25" s="5"/>
      <c r="UXO25" s="28"/>
      <c r="UXP25" s="28"/>
      <c r="UYN25" s="5"/>
      <c r="UYP25" s="28"/>
      <c r="UYQ25" s="28"/>
      <c r="UZO25" s="5"/>
      <c r="UZQ25" s="28"/>
      <c r="UZR25" s="28"/>
      <c r="VAP25" s="5"/>
      <c r="VAR25" s="28"/>
      <c r="VAS25" s="28"/>
      <c r="VBQ25" s="5"/>
      <c r="VBS25" s="28"/>
      <c r="VBT25" s="28"/>
      <c r="VCR25" s="5"/>
      <c r="VCT25" s="28"/>
      <c r="VCU25" s="28"/>
      <c r="VDS25" s="5"/>
      <c r="VDU25" s="28"/>
      <c r="VDV25" s="28"/>
      <c r="VET25" s="5"/>
      <c r="VEV25" s="28"/>
      <c r="VEW25" s="28"/>
      <c r="VFU25" s="5"/>
      <c r="VFW25" s="28"/>
      <c r="VFX25" s="28"/>
      <c r="VGV25" s="5"/>
      <c r="VGX25" s="28"/>
      <c r="VGY25" s="28"/>
      <c r="VHW25" s="5"/>
      <c r="VHY25" s="28"/>
      <c r="VHZ25" s="28"/>
      <c r="VIX25" s="5"/>
      <c r="VIZ25" s="28"/>
      <c r="VJA25" s="28"/>
      <c r="VJY25" s="5"/>
      <c r="VKA25" s="28"/>
      <c r="VKB25" s="28"/>
      <c r="VKZ25" s="5"/>
      <c r="VLB25" s="28"/>
      <c r="VLC25" s="28"/>
      <c r="VMA25" s="5"/>
      <c r="VMC25" s="28"/>
      <c r="VMD25" s="28"/>
      <c r="VNB25" s="5"/>
      <c r="VND25" s="28"/>
      <c r="VNE25" s="28"/>
      <c r="VOC25" s="5"/>
      <c r="VOE25" s="28"/>
      <c r="VOF25" s="28"/>
      <c r="VPD25" s="5"/>
      <c r="VPF25" s="28"/>
      <c r="VPG25" s="28"/>
      <c r="VQE25" s="5"/>
      <c r="VQG25" s="28"/>
      <c r="VQH25" s="28"/>
      <c r="VRF25" s="5"/>
      <c r="VRH25" s="28"/>
      <c r="VRI25" s="28"/>
      <c r="VSG25" s="5"/>
      <c r="VSI25" s="28"/>
      <c r="VSJ25" s="28"/>
      <c r="VTH25" s="5"/>
      <c r="VTJ25" s="28"/>
      <c r="VTK25" s="28"/>
      <c r="VUI25" s="5"/>
      <c r="VUK25" s="28"/>
      <c r="VUL25" s="28"/>
      <c r="VVJ25" s="5"/>
      <c r="VVL25" s="28"/>
      <c r="VVM25" s="28"/>
      <c r="VWK25" s="5"/>
      <c r="VWM25" s="28"/>
      <c r="VWN25" s="28"/>
      <c r="VXL25" s="5"/>
      <c r="VXN25" s="28"/>
      <c r="VXO25" s="28"/>
      <c r="VYM25" s="5"/>
      <c r="VYO25" s="28"/>
      <c r="VYP25" s="28"/>
      <c r="VZN25" s="5"/>
      <c r="VZP25" s="28"/>
      <c r="VZQ25" s="28"/>
      <c r="WAO25" s="5"/>
      <c r="WAQ25" s="28"/>
      <c r="WAR25" s="28"/>
      <c r="WBP25" s="5"/>
      <c r="WBR25" s="28"/>
      <c r="WBS25" s="28"/>
      <c r="WCQ25" s="5"/>
      <c r="WCS25" s="28"/>
      <c r="WCT25" s="28"/>
      <c r="WDR25" s="5"/>
      <c r="WDT25" s="28"/>
      <c r="WDU25" s="28"/>
      <c r="WES25" s="5"/>
      <c r="WEU25" s="28"/>
      <c r="WEV25" s="28"/>
      <c r="WFT25" s="5"/>
      <c r="WFV25" s="28"/>
      <c r="WFW25" s="28"/>
      <c r="WGU25" s="5"/>
      <c r="WGW25" s="28"/>
      <c r="WGX25" s="28"/>
      <c r="WHV25" s="5"/>
      <c r="WHX25" s="28"/>
      <c r="WHY25" s="28"/>
      <c r="WIW25" s="5"/>
      <c r="WIY25" s="28"/>
      <c r="WIZ25" s="28"/>
      <c r="WJX25" s="5"/>
      <c r="WJZ25" s="28"/>
      <c r="WKA25" s="28"/>
      <c r="WKY25" s="5"/>
      <c r="WLA25" s="28"/>
      <c r="WLB25" s="28"/>
      <c r="WLZ25" s="5"/>
      <c r="WMB25" s="28"/>
      <c r="WMC25" s="28"/>
      <c r="WNA25" s="5"/>
      <c r="WNC25" s="28"/>
      <c r="WND25" s="28"/>
      <c r="WOB25" s="5"/>
      <c r="WOD25" s="28"/>
      <c r="WOE25" s="28"/>
      <c r="WPC25" s="5"/>
      <c r="WPE25" s="28"/>
      <c r="WPF25" s="28"/>
      <c r="WQD25" s="5"/>
      <c r="WQF25" s="28"/>
      <c r="WQG25" s="28"/>
      <c r="WRE25" s="5"/>
      <c r="WRG25" s="28"/>
      <c r="WRH25" s="28"/>
      <c r="WSF25" s="5"/>
      <c r="WSH25" s="28"/>
      <c r="WSI25" s="28"/>
      <c r="WTG25" s="5"/>
      <c r="WTI25" s="28"/>
      <c r="WTJ25" s="28"/>
      <c r="WUH25" s="5"/>
      <c r="WUJ25" s="28"/>
      <c r="WUK25" s="28"/>
      <c r="WVI25" s="5"/>
      <c r="WVK25" s="28"/>
      <c r="WVL25" s="28"/>
      <c r="WWJ25" s="5"/>
      <c r="WWL25" s="28"/>
      <c r="WWM25" s="28"/>
      <c r="WXK25" s="5"/>
      <c r="WXM25" s="28"/>
      <c r="WXN25" s="28"/>
      <c r="WYL25" s="5"/>
      <c r="WYN25" s="28"/>
      <c r="WYO25" s="28"/>
      <c r="WZM25" s="5"/>
      <c r="WZO25" s="28"/>
      <c r="WZP25" s="28"/>
      <c r="XAN25" s="5"/>
      <c r="XAP25" s="28"/>
      <c r="XAQ25" s="28"/>
      <c r="XBO25" s="5"/>
      <c r="XBQ25" s="28"/>
      <c r="XBR25" s="28"/>
      <c r="XCP25" s="5"/>
      <c r="XCR25" s="28"/>
      <c r="XCS25" s="28"/>
    </row>
    <row r="26" spans="1:1012 1036:2038 2062:3064 3088:4090 4114:5116 5140:6142 6166:7168 7192:8191 8193:9193 9217:10219 10243:11245 11269:12271 12295:13297 13321:14323 14347:15349 15373:16321" s="4" customFormat="1" x14ac:dyDescent="0.25">
      <c r="A26" s="5"/>
      <c r="C26" s="28"/>
      <c r="D26" s="28"/>
      <c r="E26" s="28"/>
      <c r="F26" s="17">
        <f t="shared" si="83"/>
        <v>17</v>
      </c>
      <c r="CM26" s="5"/>
      <c r="CO26" s="28"/>
      <c r="CP26" s="28"/>
      <c r="DN26" s="5"/>
      <c r="DP26" s="28"/>
      <c r="DQ26" s="28"/>
      <c r="EO26" s="5"/>
      <c r="EQ26" s="28"/>
      <c r="ER26" s="28"/>
      <c r="FP26" s="5"/>
      <c r="FR26" s="28"/>
      <c r="FS26" s="28"/>
      <c r="GQ26" s="5"/>
      <c r="GS26" s="28"/>
      <c r="GT26" s="28"/>
      <c r="HR26" s="5"/>
      <c r="HT26" s="28"/>
      <c r="HU26" s="28"/>
      <c r="IS26" s="5"/>
      <c r="IU26" s="28"/>
      <c r="IV26" s="28"/>
      <c r="JT26" s="5"/>
      <c r="JV26" s="28"/>
      <c r="JW26" s="28"/>
      <c r="KU26" s="5"/>
      <c r="KW26" s="28"/>
      <c r="KX26" s="28"/>
      <c r="LV26" s="5"/>
      <c r="LX26" s="28"/>
      <c r="LY26" s="28"/>
      <c r="MW26" s="5"/>
      <c r="MY26" s="28"/>
      <c r="MZ26" s="28"/>
      <c r="NX26" s="5"/>
      <c r="NZ26" s="28"/>
      <c r="OA26" s="28"/>
      <c r="OY26" s="5"/>
      <c r="PA26" s="28"/>
      <c r="PB26" s="28"/>
      <c r="PZ26" s="5"/>
      <c r="QB26" s="28"/>
      <c r="QC26" s="28"/>
      <c r="RA26" s="5"/>
      <c r="RC26" s="28"/>
      <c r="RD26" s="28"/>
      <c r="SB26" s="5"/>
      <c r="SD26" s="28"/>
      <c r="SE26" s="28"/>
      <c r="TC26" s="5"/>
      <c r="TE26" s="28"/>
      <c r="TF26" s="28"/>
      <c r="UD26" s="5"/>
      <c r="UF26" s="28"/>
      <c r="UG26" s="28"/>
      <c r="VE26" s="5"/>
      <c r="VG26" s="28"/>
      <c r="VH26" s="28"/>
      <c r="WF26" s="5"/>
      <c r="WH26" s="28"/>
      <c r="WI26" s="28"/>
      <c r="XG26" s="5"/>
      <c r="XI26" s="28"/>
      <c r="XJ26" s="28"/>
      <c r="YH26" s="5"/>
      <c r="YJ26" s="28"/>
      <c r="YK26" s="28"/>
      <c r="ZI26" s="5"/>
      <c r="ZK26" s="28"/>
      <c r="ZL26" s="28"/>
      <c r="AAJ26" s="5"/>
      <c r="AAL26" s="28"/>
      <c r="AAM26" s="28"/>
      <c r="ABK26" s="5"/>
      <c r="ABM26" s="28"/>
      <c r="ABN26" s="28"/>
      <c r="ACL26" s="5"/>
      <c r="ACN26" s="28"/>
      <c r="ACO26" s="28"/>
      <c r="ADM26" s="5"/>
      <c r="ADO26" s="28"/>
      <c r="ADP26" s="28"/>
      <c r="AEN26" s="5"/>
      <c r="AEP26" s="28"/>
      <c r="AEQ26" s="28"/>
      <c r="AFO26" s="5"/>
      <c r="AFQ26" s="28"/>
      <c r="AFR26" s="28"/>
      <c r="AGP26" s="5"/>
      <c r="AGR26" s="28"/>
      <c r="AGS26" s="28"/>
      <c r="AHQ26" s="5"/>
      <c r="AHS26" s="28"/>
      <c r="AHT26" s="28"/>
      <c r="AIR26" s="5"/>
      <c r="AIT26" s="28"/>
      <c r="AIU26" s="28"/>
      <c r="AJS26" s="5"/>
      <c r="AJU26" s="28"/>
      <c r="AJV26" s="28"/>
      <c r="AKT26" s="5"/>
      <c r="AKV26" s="28"/>
      <c r="AKW26" s="28"/>
      <c r="ALU26" s="5"/>
      <c r="ALW26" s="28"/>
      <c r="ALX26" s="28"/>
      <c r="AMV26" s="5"/>
      <c r="AMX26" s="28"/>
      <c r="AMY26" s="28"/>
      <c r="ANW26" s="5"/>
      <c r="ANY26" s="28"/>
      <c r="ANZ26" s="28"/>
      <c r="AOX26" s="5"/>
      <c r="AOZ26" s="28"/>
      <c r="APA26" s="28"/>
      <c r="APY26" s="5"/>
      <c r="AQA26" s="28"/>
      <c r="AQB26" s="28"/>
      <c r="AQZ26" s="5"/>
      <c r="ARB26" s="28"/>
      <c r="ARC26" s="28"/>
      <c r="ASA26" s="5"/>
      <c r="ASC26" s="28"/>
      <c r="ASD26" s="28"/>
      <c r="ATB26" s="5"/>
      <c r="ATD26" s="28"/>
      <c r="ATE26" s="28"/>
      <c r="AUC26" s="5"/>
      <c r="AUE26" s="28"/>
      <c r="AUF26" s="28"/>
      <c r="AVD26" s="5"/>
      <c r="AVF26" s="28"/>
      <c r="AVG26" s="28"/>
      <c r="AWE26" s="5"/>
      <c r="AWG26" s="28"/>
      <c r="AWH26" s="28"/>
      <c r="AXF26" s="5"/>
      <c r="AXH26" s="28"/>
      <c r="AXI26" s="28"/>
      <c r="AYG26" s="5"/>
      <c r="AYI26" s="28"/>
      <c r="AYJ26" s="28"/>
      <c r="AZH26" s="5"/>
      <c r="AZJ26" s="28"/>
      <c r="AZK26" s="28"/>
      <c r="BAI26" s="5"/>
      <c r="BAK26" s="28"/>
      <c r="BAL26" s="28"/>
      <c r="BBJ26" s="5"/>
      <c r="BBL26" s="28"/>
      <c r="BBM26" s="28"/>
      <c r="BCK26" s="5"/>
      <c r="BCM26" s="28"/>
      <c r="BCN26" s="28"/>
      <c r="BDL26" s="5"/>
      <c r="BDN26" s="28"/>
      <c r="BDO26" s="28"/>
      <c r="BEM26" s="5"/>
      <c r="BEO26" s="28"/>
      <c r="BEP26" s="28"/>
      <c r="BFN26" s="5"/>
      <c r="BFP26" s="28"/>
      <c r="BFQ26" s="28"/>
      <c r="BGO26" s="5"/>
      <c r="BGQ26" s="28"/>
      <c r="BGR26" s="28"/>
      <c r="BHP26" s="5"/>
      <c r="BHR26" s="28"/>
      <c r="BHS26" s="28"/>
      <c r="BIQ26" s="5"/>
      <c r="BIS26" s="28"/>
      <c r="BIT26" s="28"/>
      <c r="BJR26" s="5"/>
      <c r="BJT26" s="28"/>
      <c r="BJU26" s="28"/>
      <c r="BKS26" s="5"/>
      <c r="BKU26" s="28"/>
      <c r="BKV26" s="28"/>
      <c r="BLT26" s="5"/>
      <c r="BLV26" s="28"/>
      <c r="BLW26" s="28"/>
      <c r="BMU26" s="5"/>
      <c r="BMW26" s="28"/>
      <c r="BMX26" s="28"/>
      <c r="BNV26" s="5"/>
      <c r="BNX26" s="28"/>
      <c r="BNY26" s="28"/>
      <c r="BOW26" s="5"/>
      <c r="BOY26" s="28"/>
      <c r="BOZ26" s="28"/>
      <c r="BPX26" s="5"/>
      <c r="BPZ26" s="28"/>
      <c r="BQA26" s="28"/>
      <c r="BQY26" s="5"/>
      <c r="BRA26" s="28"/>
      <c r="BRB26" s="28"/>
      <c r="BRZ26" s="5"/>
      <c r="BSB26" s="28"/>
      <c r="BSC26" s="28"/>
      <c r="BTA26" s="5"/>
      <c r="BTC26" s="28"/>
      <c r="BTD26" s="28"/>
      <c r="BUB26" s="5"/>
      <c r="BUD26" s="28"/>
      <c r="BUE26" s="28"/>
      <c r="BVC26" s="5"/>
      <c r="BVE26" s="28"/>
      <c r="BVF26" s="28"/>
      <c r="BWD26" s="5"/>
      <c r="BWF26" s="28"/>
      <c r="BWG26" s="28"/>
      <c r="BXE26" s="5"/>
      <c r="BXG26" s="28"/>
      <c r="BXH26" s="28"/>
      <c r="BYF26" s="5"/>
      <c r="BYH26" s="28"/>
      <c r="BYI26" s="28"/>
      <c r="BZG26" s="5"/>
      <c r="BZI26" s="28"/>
      <c r="BZJ26" s="28"/>
      <c r="CAH26" s="5"/>
      <c r="CAJ26" s="28"/>
      <c r="CAK26" s="28"/>
      <c r="CBI26" s="5"/>
      <c r="CBK26" s="28"/>
      <c r="CBL26" s="28"/>
      <c r="CCJ26" s="5"/>
      <c r="CCL26" s="28"/>
      <c r="CCM26" s="28"/>
      <c r="CDK26" s="5"/>
      <c r="CDM26" s="28"/>
      <c r="CDN26" s="28"/>
      <c r="CEL26" s="5"/>
      <c r="CEN26" s="28"/>
      <c r="CEO26" s="28"/>
      <c r="CFM26" s="5"/>
      <c r="CFO26" s="28"/>
      <c r="CFP26" s="28"/>
      <c r="CGN26" s="5"/>
      <c r="CGP26" s="28"/>
      <c r="CGQ26" s="28"/>
      <c r="CHO26" s="5"/>
      <c r="CHQ26" s="28"/>
      <c r="CHR26" s="28"/>
      <c r="CIP26" s="5"/>
      <c r="CIR26" s="28"/>
      <c r="CIS26" s="28"/>
      <c r="CJQ26" s="5"/>
      <c r="CJS26" s="28"/>
      <c r="CJT26" s="28"/>
      <c r="CKR26" s="5"/>
      <c r="CKT26" s="28"/>
      <c r="CKU26" s="28"/>
      <c r="CLS26" s="5"/>
      <c r="CLU26" s="28"/>
      <c r="CLV26" s="28"/>
      <c r="CMT26" s="5"/>
      <c r="CMV26" s="28"/>
      <c r="CMW26" s="28"/>
      <c r="CNU26" s="5"/>
      <c r="CNW26" s="28"/>
      <c r="CNX26" s="28"/>
      <c r="COV26" s="5"/>
      <c r="COX26" s="28"/>
      <c r="COY26" s="28"/>
      <c r="CPW26" s="5"/>
      <c r="CPY26" s="28"/>
      <c r="CPZ26" s="28"/>
      <c r="CQX26" s="5"/>
      <c r="CQZ26" s="28"/>
      <c r="CRA26" s="28"/>
      <c r="CRY26" s="5"/>
      <c r="CSA26" s="28"/>
      <c r="CSB26" s="28"/>
      <c r="CSZ26" s="5"/>
      <c r="CTB26" s="28"/>
      <c r="CTC26" s="28"/>
      <c r="CUA26" s="5"/>
      <c r="CUC26" s="28"/>
      <c r="CUD26" s="28"/>
      <c r="CVB26" s="5"/>
      <c r="CVD26" s="28"/>
      <c r="CVE26" s="28"/>
      <c r="CWC26" s="5"/>
      <c r="CWE26" s="28"/>
      <c r="CWF26" s="28"/>
      <c r="CXD26" s="5"/>
      <c r="CXF26" s="28"/>
      <c r="CXG26" s="28"/>
      <c r="CYE26" s="5"/>
      <c r="CYG26" s="28"/>
      <c r="CYH26" s="28"/>
      <c r="CZF26" s="5"/>
      <c r="CZH26" s="28"/>
      <c r="CZI26" s="28"/>
      <c r="DAG26" s="5"/>
      <c r="DAI26" s="28"/>
      <c r="DAJ26" s="28"/>
      <c r="DBH26" s="5"/>
      <c r="DBJ26" s="28"/>
      <c r="DBK26" s="28"/>
      <c r="DCI26" s="5"/>
      <c r="DCK26" s="28"/>
      <c r="DCL26" s="28"/>
      <c r="DDJ26" s="5"/>
      <c r="DDL26" s="28"/>
      <c r="DDM26" s="28"/>
      <c r="DEK26" s="5"/>
      <c r="DEM26" s="28"/>
      <c r="DEN26" s="28"/>
      <c r="DFL26" s="5"/>
      <c r="DFN26" s="28"/>
      <c r="DFO26" s="28"/>
      <c r="DGM26" s="5"/>
      <c r="DGO26" s="28"/>
      <c r="DGP26" s="28"/>
      <c r="DHN26" s="5"/>
      <c r="DHP26" s="28"/>
      <c r="DHQ26" s="28"/>
      <c r="DIO26" s="5"/>
      <c r="DIQ26" s="28"/>
      <c r="DIR26" s="28"/>
      <c r="DJP26" s="5"/>
      <c r="DJR26" s="28"/>
      <c r="DJS26" s="28"/>
      <c r="DKQ26" s="5"/>
      <c r="DKS26" s="28"/>
      <c r="DKT26" s="28"/>
      <c r="DLR26" s="5"/>
      <c r="DLT26" s="28"/>
      <c r="DLU26" s="28"/>
      <c r="DMS26" s="5"/>
      <c r="DMU26" s="28"/>
      <c r="DMV26" s="28"/>
      <c r="DNT26" s="5"/>
      <c r="DNV26" s="28"/>
      <c r="DNW26" s="28"/>
      <c r="DOU26" s="5"/>
      <c r="DOW26" s="28"/>
      <c r="DOX26" s="28"/>
      <c r="DPV26" s="5"/>
      <c r="DPX26" s="28"/>
      <c r="DPY26" s="28"/>
      <c r="DQW26" s="5"/>
      <c r="DQY26" s="28"/>
      <c r="DQZ26" s="28"/>
      <c r="DRX26" s="5"/>
      <c r="DRZ26" s="28"/>
      <c r="DSA26" s="28"/>
      <c r="DSY26" s="5"/>
      <c r="DTA26" s="28"/>
      <c r="DTB26" s="28"/>
      <c r="DTZ26" s="5"/>
      <c r="DUB26" s="28"/>
      <c r="DUC26" s="28"/>
      <c r="DVA26" s="5"/>
      <c r="DVC26" s="28"/>
      <c r="DVD26" s="28"/>
      <c r="DWB26" s="5"/>
      <c r="DWD26" s="28"/>
      <c r="DWE26" s="28"/>
      <c r="DXC26" s="5"/>
      <c r="DXE26" s="28"/>
      <c r="DXF26" s="28"/>
      <c r="DYD26" s="5"/>
      <c r="DYF26" s="28"/>
      <c r="DYG26" s="28"/>
      <c r="DZE26" s="5"/>
      <c r="DZG26" s="28"/>
      <c r="DZH26" s="28"/>
      <c r="EAF26" s="5"/>
      <c r="EAH26" s="28"/>
      <c r="EAI26" s="28"/>
      <c r="EBG26" s="5"/>
      <c r="EBI26" s="28"/>
      <c r="EBJ26" s="28"/>
      <c r="ECH26" s="5"/>
      <c r="ECJ26" s="28"/>
      <c r="ECK26" s="28"/>
      <c r="EDI26" s="5"/>
      <c r="EDK26" s="28"/>
      <c r="EDL26" s="28"/>
      <c r="EEJ26" s="5"/>
      <c r="EEL26" s="28"/>
      <c r="EEM26" s="28"/>
      <c r="EFK26" s="5"/>
      <c r="EFM26" s="28"/>
      <c r="EFN26" s="28"/>
      <c r="EGL26" s="5"/>
      <c r="EGN26" s="28"/>
      <c r="EGO26" s="28"/>
      <c r="EHM26" s="5"/>
      <c r="EHO26" s="28"/>
      <c r="EHP26" s="28"/>
      <c r="EIN26" s="5"/>
      <c r="EIP26" s="28"/>
      <c r="EIQ26" s="28"/>
      <c r="EJO26" s="5"/>
      <c r="EJQ26" s="28"/>
      <c r="EJR26" s="28"/>
      <c r="EKP26" s="5"/>
      <c r="EKR26" s="28"/>
      <c r="EKS26" s="28"/>
      <c r="ELQ26" s="5"/>
      <c r="ELS26" s="28"/>
      <c r="ELT26" s="28"/>
      <c r="EMR26" s="5"/>
      <c r="EMT26" s="28"/>
      <c r="EMU26" s="28"/>
      <c r="ENS26" s="5"/>
      <c r="ENU26" s="28"/>
      <c r="ENV26" s="28"/>
      <c r="EOT26" s="5"/>
      <c r="EOV26" s="28"/>
      <c r="EOW26" s="28"/>
      <c r="EPU26" s="5"/>
      <c r="EPW26" s="28"/>
      <c r="EPX26" s="28"/>
      <c r="EQV26" s="5"/>
      <c r="EQX26" s="28"/>
      <c r="EQY26" s="28"/>
      <c r="ERW26" s="5"/>
      <c r="ERY26" s="28"/>
      <c r="ERZ26" s="28"/>
      <c r="ESX26" s="5"/>
      <c r="ESZ26" s="28"/>
      <c r="ETA26" s="28"/>
      <c r="ETY26" s="5"/>
      <c r="EUA26" s="28"/>
      <c r="EUB26" s="28"/>
      <c r="EUZ26" s="5"/>
      <c r="EVB26" s="28"/>
      <c r="EVC26" s="28"/>
      <c r="EWA26" s="5"/>
      <c r="EWC26" s="28"/>
      <c r="EWD26" s="28"/>
      <c r="EXB26" s="5"/>
      <c r="EXD26" s="28"/>
      <c r="EXE26" s="28"/>
      <c r="EYC26" s="5"/>
      <c r="EYE26" s="28"/>
      <c r="EYF26" s="28"/>
      <c r="EZD26" s="5"/>
      <c r="EZF26" s="28"/>
      <c r="EZG26" s="28"/>
      <c r="FAE26" s="5"/>
      <c r="FAG26" s="28"/>
      <c r="FAH26" s="28"/>
      <c r="FBF26" s="5"/>
      <c r="FBH26" s="28"/>
      <c r="FBI26" s="28"/>
      <c r="FCG26" s="5"/>
      <c r="FCI26" s="28"/>
      <c r="FCJ26" s="28"/>
      <c r="FDH26" s="5"/>
      <c r="FDJ26" s="28"/>
      <c r="FDK26" s="28"/>
      <c r="FEI26" s="5"/>
      <c r="FEK26" s="28"/>
      <c r="FEL26" s="28"/>
      <c r="FFJ26" s="5"/>
      <c r="FFL26" s="28"/>
      <c r="FFM26" s="28"/>
      <c r="FGK26" s="5"/>
      <c r="FGM26" s="28"/>
      <c r="FGN26" s="28"/>
      <c r="FHL26" s="5"/>
      <c r="FHN26" s="28"/>
      <c r="FHO26" s="28"/>
      <c r="FIM26" s="5"/>
      <c r="FIO26" s="28"/>
      <c r="FIP26" s="28"/>
      <c r="FJN26" s="5"/>
      <c r="FJP26" s="28"/>
      <c r="FJQ26" s="28"/>
      <c r="FKO26" s="5"/>
      <c r="FKQ26" s="28"/>
      <c r="FKR26" s="28"/>
      <c r="FLP26" s="5"/>
      <c r="FLR26" s="28"/>
      <c r="FLS26" s="28"/>
      <c r="FMQ26" s="5"/>
      <c r="FMS26" s="28"/>
      <c r="FMT26" s="28"/>
      <c r="FNR26" s="5"/>
      <c r="FNT26" s="28"/>
      <c r="FNU26" s="28"/>
      <c r="FOS26" s="5"/>
      <c r="FOU26" s="28"/>
      <c r="FOV26" s="28"/>
      <c r="FPT26" s="5"/>
      <c r="FPV26" s="28"/>
      <c r="FPW26" s="28"/>
      <c r="FQU26" s="5"/>
      <c r="FQW26" s="28"/>
      <c r="FQX26" s="28"/>
      <c r="FRV26" s="5"/>
      <c r="FRX26" s="28"/>
      <c r="FRY26" s="28"/>
      <c r="FSW26" s="5"/>
      <c r="FSY26" s="28"/>
      <c r="FSZ26" s="28"/>
      <c r="FTX26" s="5"/>
      <c r="FTZ26" s="28"/>
      <c r="FUA26" s="28"/>
      <c r="FUY26" s="5"/>
      <c r="FVA26" s="28"/>
      <c r="FVB26" s="28"/>
      <c r="FVZ26" s="5"/>
      <c r="FWB26" s="28"/>
      <c r="FWC26" s="28"/>
      <c r="FXA26" s="5"/>
      <c r="FXC26" s="28"/>
      <c r="FXD26" s="28"/>
      <c r="FYB26" s="5"/>
      <c r="FYD26" s="28"/>
      <c r="FYE26" s="28"/>
      <c r="FZC26" s="5"/>
      <c r="FZE26" s="28"/>
      <c r="FZF26" s="28"/>
      <c r="GAD26" s="5"/>
      <c r="GAF26" s="28"/>
      <c r="GAG26" s="28"/>
      <c r="GBE26" s="5"/>
      <c r="GBG26" s="28"/>
      <c r="GBH26" s="28"/>
      <c r="GCF26" s="5"/>
      <c r="GCH26" s="28"/>
      <c r="GCI26" s="28"/>
      <c r="GDG26" s="5"/>
      <c r="GDI26" s="28"/>
      <c r="GDJ26" s="28"/>
      <c r="GEH26" s="5"/>
      <c r="GEJ26" s="28"/>
      <c r="GEK26" s="28"/>
      <c r="GFI26" s="5"/>
      <c r="GFK26" s="28"/>
      <c r="GFL26" s="28"/>
      <c r="GGJ26" s="5"/>
      <c r="GGL26" s="28"/>
      <c r="GGM26" s="28"/>
      <c r="GHK26" s="5"/>
      <c r="GHM26" s="28"/>
      <c r="GHN26" s="28"/>
      <c r="GIL26" s="5"/>
      <c r="GIN26" s="28"/>
      <c r="GIO26" s="28"/>
      <c r="GJM26" s="5"/>
      <c r="GJO26" s="28"/>
      <c r="GJP26" s="28"/>
      <c r="GKN26" s="5"/>
      <c r="GKP26" s="28"/>
      <c r="GKQ26" s="28"/>
      <c r="GLO26" s="5"/>
      <c r="GLQ26" s="28"/>
      <c r="GLR26" s="28"/>
      <c r="GMP26" s="5"/>
      <c r="GMR26" s="28"/>
      <c r="GMS26" s="28"/>
      <c r="GNQ26" s="5"/>
      <c r="GNS26" s="28"/>
      <c r="GNT26" s="28"/>
      <c r="GOR26" s="5"/>
      <c r="GOT26" s="28"/>
      <c r="GOU26" s="28"/>
      <c r="GPS26" s="5"/>
      <c r="GPU26" s="28"/>
      <c r="GPV26" s="28"/>
      <c r="GQT26" s="5"/>
      <c r="GQV26" s="28"/>
      <c r="GQW26" s="28"/>
      <c r="GRU26" s="5"/>
      <c r="GRW26" s="28"/>
      <c r="GRX26" s="28"/>
      <c r="GSV26" s="5"/>
      <c r="GSX26" s="28"/>
      <c r="GSY26" s="28"/>
      <c r="GTW26" s="5"/>
      <c r="GTY26" s="28"/>
      <c r="GTZ26" s="28"/>
      <c r="GUX26" s="5"/>
      <c r="GUZ26" s="28"/>
      <c r="GVA26" s="28"/>
      <c r="GVY26" s="5"/>
      <c r="GWA26" s="28"/>
      <c r="GWB26" s="28"/>
      <c r="GWZ26" s="5"/>
      <c r="GXB26" s="28"/>
      <c r="GXC26" s="28"/>
      <c r="GYA26" s="5"/>
      <c r="GYC26" s="28"/>
      <c r="GYD26" s="28"/>
      <c r="GZB26" s="5"/>
      <c r="GZD26" s="28"/>
      <c r="GZE26" s="28"/>
      <c r="HAC26" s="5"/>
      <c r="HAE26" s="28"/>
      <c r="HAF26" s="28"/>
      <c r="HBD26" s="5"/>
      <c r="HBF26" s="28"/>
      <c r="HBG26" s="28"/>
      <c r="HCE26" s="5"/>
      <c r="HCG26" s="28"/>
      <c r="HCH26" s="28"/>
      <c r="HDF26" s="5"/>
      <c r="HDH26" s="28"/>
      <c r="HDI26" s="28"/>
      <c r="HEG26" s="5"/>
      <c r="HEI26" s="28"/>
      <c r="HEJ26" s="28"/>
      <c r="HFH26" s="5"/>
      <c r="HFJ26" s="28"/>
      <c r="HFK26" s="28"/>
      <c r="HGI26" s="5"/>
      <c r="HGK26" s="28"/>
      <c r="HGL26" s="28"/>
      <c r="HHJ26" s="5"/>
      <c r="HHL26" s="28"/>
      <c r="HHM26" s="28"/>
      <c r="HIK26" s="5"/>
      <c r="HIM26" s="28"/>
      <c r="HIN26" s="28"/>
      <c r="HJL26" s="5"/>
      <c r="HJN26" s="28"/>
      <c r="HJO26" s="28"/>
      <c r="HKM26" s="5"/>
      <c r="HKO26" s="28"/>
      <c r="HKP26" s="28"/>
      <c r="HLN26" s="5"/>
      <c r="HLP26" s="28"/>
      <c r="HLQ26" s="28"/>
      <c r="HMO26" s="5"/>
      <c r="HMQ26" s="28"/>
      <c r="HMR26" s="28"/>
      <c r="HNP26" s="5"/>
      <c r="HNR26" s="28"/>
      <c r="HNS26" s="28"/>
      <c r="HOQ26" s="5"/>
      <c r="HOS26" s="28"/>
      <c r="HOT26" s="28"/>
      <c r="HPR26" s="5"/>
      <c r="HPT26" s="28"/>
      <c r="HPU26" s="28"/>
      <c r="HQS26" s="5"/>
      <c r="HQU26" s="28"/>
      <c r="HQV26" s="28"/>
      <c r="HRT26" s="5"/>
      <c r="HRV26" s="28"/>
      <c r="HRW26" s="28"/>
      <c r="HSU26" s="5"/>
      <c r="HSW26" s="28"/>
      <c r="HSX26" s="28"/>
      <c r="HTV26" s="5"/>
      <c r="HTX26" s="28"/>
      <c r="HTY26" s="28"/>
      <c r="HUW26" s="5"/>
      <c r="HUY26" s="28"/>
      <c r="HUZ26" s="28"/>
      <c r="HVX26" s="5"/>
      <c r="HVZ26" s="28"/>
      <c r="HWA26" s="28"/>
      <c r="HWY26" s="5"/>
      <c r="HXA26" s="28"/>
      <c r="HXB26" s="28"/>
      <c r="HXZ26" s="5"/>
      <c r="HYB26" s="28"/>
      <c r="HYC26" s="28"/>
      <c r="HZA26" s="5"/>
      <c r="HZC26" s="28"/>
      <c r="HZD26" s="28"/>
      <c r="IAB26" s="5"/>
      <c r="IAD26" s="28"/>
      <c r="IAE26" s="28"/>
      <c r="IBC26" s="5"/>
      <c r="IBE26" s="28"/>
      <c r="IBF26" s="28"/>
      <c r="ICD26" s="5"/>
      <c r="ICF26" s="28"/>
      <c r="ICG26" s="28"/>
      <c r="IDE26" s="5"/>
      <c r="IDG26" s="28"/>
      <c r="IDH26" s="28"/>
      <c r="IEF26" s="5"/>
      <c r="IEH26" s="28"/>
      <c r="IEI26" s="28"/>
      <c r="IFG26" s="5"/>
      <c r="IFI26" s="28"/>
      <c r="IFJ26" s="28"/>
      <c r="IGH26" s="5"/>
      <c r="IGJ26" s="28"/>
      <c r="IGK26" s="28"/>
      <c r="IHI26" s="5"/>
      <c r="IHK26" s="28"/>
      <c r="IHL26" s="28"/>
      <c r="IIJ26" s="5"/>
      <c r="IIL26" s="28"/>
      <c r="IIM26" s="28"/>
      <c r="IJK26" s="5"/>
      <c r="IJM26" s="28"/>
      <c r="IJN26" s="28"/>
      <c r="IKL26" s="5"/>
      <c r="IKN26" s="28"/>
      <c r="IKO26" s="28"/>
      <c r="ILM26" s="5"/>
      <c r="ILO26" s="28"/>
      <c r="ILP26" s="28"/>
      <c r="IMN26" s="5"/>
      <c r="IMP26" s="28"/>
      <c r="IMQ26" s="28"/>
      <c r="INO26" s="5"/>
      <c r="INQ26" s="28"/>
      <c r="INR26" s="28"/>
      <c r="IOP26" s="5"/>
      <c r="IOR26" s="28"/>
      <c r="IOS26" s="28"/>
      <c r="IPQ26" s="5"/>
      <c r="IPS26" s="28"/>
      <c r="IPT26" s="28"/>
      <c r="IQR26" s="5"/>
      <c r="IQT26" s="28"/>
      <c r="IQU26" s="28"/>
      <c r="IRS26" s="5"/>
      <c r="IRU26" s="28"/>
      <c r="IRV26" s="28"/>
      <c r="IST26" s="5"/>
      <c r="ISV26" s="28"/>
      <c r="ISW26" s="28"/>
      <c r="ITU26" s="5"/>
      <c r="ITW26" s="28"/>
      <c r="ITX26" s="28"/>
      <c r="IUV26" s="5"/>
      <c r="IUX26" s="28"/>
      <c r="IUY26" s="28"/>
      <c r="IVW26" s="5"/>
      <c r="IVY26" s="28"/>
      <c r="IVZ26" s="28"/>
      <c r="IWX26" s="5"/>
      <c r="IWZ26" s="28"/>
      <c r="IXA26" s="28"/>
      <c r="IXY26" s="5"/>
      <c r="IYA26" s="28"/>
      <c r="IYB26" s="28"/>
      <c r="IYZ26" s="5"/>
      <c r="IZB26" s="28"/>
      <c r="IZC26" s="28"/>
      <c r="JAA26" s="5"/>
      <c r="JAC26" s="28"/>
      <c r="JAD26" s="28"/>
      <c r="JBB26" s="5"/>
      <c r="JBD26" s="28"/>
      <c r="JBE26" s="28"/>
      <c r="JCC26" s="5"/>
      <c r="JCE26" s="28"/>
      <c r="JCF26" s="28"/>
      <c r="JDD26" s="5"/>
      <c r="JDF26" s="28"/>
      <c r="JDG26" s="28"/>
      <c r="JEE26" s="5"/>
      <c r="JEG26" s="28"/>
      <c r="JEH26" s="28"/>
      <c r="JFF26" s="5"/>
      <c r="JFH26" s="28"/>
      <c r="JFI26" s="28"/>
      <c r="JGG26" s="5"/>
      <c r="JGI26" s="28"/>
      <c r="JGJ26" s="28"/>
      <c r="JHH26" s="5"/>
      <c r="JHJ26" s="28"/>
      <c r="JHK26" s="28"/>
      <c r="JII26" s="5"/>
      <c r="JIK26" s="28"/>
      <c r="JIL26" s="28"/>
      <c r="JJJ26" s="5"/>
      <c r="JJL26" s="28"/>
      <c r="JJM26" s="28"/>
      <c r="JKK26" s="5"/>
      <c r="JKM26" s="28"/>
      <c r="JKN26" s="28"/>
      <c r="JLL26" s="5"/>
      <c r="JLN26" s="28"/>
      <c r="JLO26" s="28"/>
      <c r="JMM26" s="5"/>
      <c r="JMO26" s="28"/>
      <c r="JMP26" s="28"/>
      <c r="JNN26" s="5"/>
      <c r="JNP26" s="28"/>
      <c r="JNQ26" s="28"/>
      <c r="JOO26" s="5"/>
      <c r="JOQ26" s="28"/>
      <c r="JOR26" s="28"/>
      <c r="JPP26" s="5"/>
      <c r="JPR26" s="28"/>
      <c r="JPS26" s="28"/>
      <c r="JQQ26" s="5"/>
      <c r="JQS26" s="28"/>
      <c r="JQT26" s="28"/>
      <c r="JRR26" s="5"/>
      <c r="JRT26" s="28"/>
      <c r="JRU26" s="28"/>
      <c r="JSS26" s="5"/>
      <c r="JSU26" s="28"/>
      <c r="JSV26" s="28"/>
      <c r="JTT26" s="5"/>
      <c r="JTV26" s="28"/>
      <c r="JTW26" s="28"/>
      <c r="JUU26" s="5"/>
      <c r="JUW26" s="28"/>
      <c r="JUX26" s="28"/>
      <c r="JVV26" s="5"/>
      <c r="JVX26" s="28"/>
      <c r="JVY26" s="28"/>
      <c r="JWW26" s="5"/>
      <c r="JWY26" s="28"/>
      <c r="JWZ26" s="28"/>
      <c r="JXX26" s="5"/>
      <c r="JXZ26" s="28"/>
      <c r="JYA26" s="28"/>
      <c r="JYY26" s="5"/>
      <c r="JZA26" s="28"/>
      <c r="JZB26" s="28"/>
      <c r="JZZ26" s="5"/>
      <c r="KAB26" s="28"/>
      <c r="KAC26" s="28"/>
      <c r="KBA26" s="5"/>
      <c r="KBC26" s="28"/>
      <c r="KBD26" s="28"/>
      <c r="KCB26" s="5"/>
      <c r="KCD26" s="28"/>
      <c r="KCE26" s="28"/>
      <c r="KDC26" s="5"/>
      <c r="KDE26" s="28"/>
      <c r="KDF26" s="28"/>
      <c r="KED26" s="5"/>
      <c r="KEF26" s="28"/>
      <c r="KEG26" s="28"/>
      <c r="KFE26" s="5"/>
      <c r="KFG26" s="28"/>
      <c r="KFH26" s="28"/>
      <c r="KGF26" s="5"/>
      <c r="KGH26" s="28"/>
      <c r="KGI26" s="28"/>
      <c r="KHG26" s="5"/>
      <c r="KHI26" s="28"/>
      <c r="KHJ26" s="28"/>
      <c r="KIH26" s="5"/>
      <c r="KIJ26" s="28"/>
      <c r="KIK26" s="28"/>
      <c r="KJI26" s="5"/>
      <c r="KJK26" s="28"/>
      <c r="KJL26" s="28"/>
      <c r="KKJ26" s="5"/>
      <c r="KKL26" s="28"/>
      <c r="KKM26" s="28"/>
      <c r="KLK26" s="5"/>
      <c r="KLM26" s="28"/>
      <c r="KLN26" s="28"/>
      <c r="KML26" s="5"/>
      <c r="KMN26" s="28"/>
      <c r="KMO26" s="28"/>
      <c r="KNM26" s="5"/>
      <c r="KNO26" s="28"/>
      <c r="KNP26" s="28"/>
      <c r="KON26" s="5"/>
      <c r="KOP26" s="28"/>
      <c r="KOQ26" s="28"/>
      <c r="KPO26" s="5"/>
      <c r="KPQ26" s="28"/>
      <c r="KPR26" s="28"/>
      <c r="KQP26" s="5"/>
      <c r="KQR26" s="28"/>
      <c r="KQS26" s="28"/>
      <c r="KRQ26" s="5"/>
      <c r="KRS26" s="28"/>
      <c r="KRT26" s="28"/>
      <c r="KSR26" s="5"/>
      <c r="KST26" s="28"/>
      <c r="KSU26" s="28"/>
      <c r="KTS26" s="5"/>
      <c r="KTU26" s="28"/>
      <c r="KTV26" s="28"/>
      <c r="KUT26" s="5"/>
      <c r="KUV26" s="28"/>
      <c r="KUW26" s="28"/>
      <c r="KVU26" s="5"/>
      <c r="KVW26" s="28"/>
      <c r="KVX26" s="28"/>
      <c r="KWV26" s="5"/>
      <c r="KWX26" s="28"/>
      <c r="KWY26" s="28"/>
      <c r="KXW26" s="5"/>
      <c r="KXY26" s="28"/>
      <c r="KXZ26" s="28"/>
      <c r="KYX26" s="5"/>
      <c r="KYZ26" s="28"/>
      <c r="KZA26" s="28"/>
      <c r="KZY26" s="5"/>
      <c r="LAA26" s="28"/>
      <c r="LAB26" s="28"/>
      <c r="LAZ26" s="5"/>
      <c r="LBB26" s="28"/>
      <c r="LBC26" s="28"/>
      <c r="LCA26" s="5"/>
      <c r="LCC26" s="28"/>
      <c r="LCD26" s="28"/>
      <c r="LDB26" s="5"/>
      <c r="LDD26" s="28"/>
      <c r="LDE26" s="28"/>
      <c r="LEC26" s="5"/>
      <c r="LEE26" s="28"/>
      <c r="LEF26" s="28"/>
      <c r="LFD26" s="5"/>
      <c r="LFF26" s="28"/>
      <c r="LFG26" s="28"/>
      <c r="LGE26" s="5"/>
      <c r="LGG26" s="28"/>
      <c r="LGH26" s="28"/>
      <c r="LHF26" s="5"/>
      <c r="LHH26" s="28"/>
      <c r="LHI26" s="28"/>
      <c r="LIG26" s="5"/>
      <c r="LII26" s="28"/>
      <c r="LIJ26" s="28"/>
      <c r="LJH26" s="5"/>
      <c r="LJJ26" s="28"/>
      <c r="LJK26" s="28"/>
      <c r="LKI26" s="5"/>
      <c r="LKK26" s="28"/>
      <c r="LKL26" s="28"/>
      <c r="LLJ26" s="5"/>
      <c r="LLL26" s="28"/>
      <c r="LLM26" s="28"/>
      <c r="LMK26" s="5"/>
      <c r="LMM26" s="28"/>
      <c r="LMN26" s="28"/>
      <c r="LNL26" s="5"/>
      <c r="LNN26" s="28"/>
      <c r="LNO26" s="28"/>
      <c r="LOM26" s="5"/>
      <c r="LOO26" s="28"/>
      <c r="LOP26" s="28"/>
      <c r="LPN26" s="5"/>
      <c r="LPP26" s="28"/>
      <c r="LPQ26" s="28"/>
      <c r="LQO26" s="5"/>
      <c r="LQQ26" s="28"/>
      <c r="LQR26" s="28"/>
      <c r="LRP26" s="5"/>
      <c r="LRR26" s="28"/>
      <c r="LRS26" s="28"/>
      <c r="LSQ26" s="5"/>
      <c r="LSS26" s="28"/>
      <c r="LST26" s="28"/>
      <c r="LTR26" s="5"/>
      <c r="LTT26" s="28"/>
      <c r="LTU26" s="28"/>
      <c r="LUS26" s="5"/>
      <c r="LUU26" s="28"/>
      <c r="LUV26" s="28"/>
      <c r="LVT26" s="5"/>
      <c r="LVV26" s="28"/>
      <c r="LVW26" s="28"/>
      <c r="LWU26" s="5"/>
      <c r="LWW26" s="28"/>
      <c r="LWX26" s="28"/>
      <c r="LXV26" s="5"/>
      <c r="LXX26" s="28"/>
      <c r="LXY26" s="28"/>
      <c r="LYW26" s="5"/>
      <c r="LYY26" s="28"/>
      <c r="LYZ26" s="28"/>
      <c r="LZX26" s="5"/>
      <c r="LZZ26" s="28"/>
      <c r="MAA26" s="28"/>
      <c r="MAY26" s="5"/>
      <c r="MBA26" s="28"/>
      <c r="MBB26" s="28"/>
      <c r="MBZ26" s="5"/>
      <c r="MCB26" s="28"/>
      <c r="MCC26" s="28"/>
      <c r="MDA26" s="5"/>
      <c r="MDC26" s="28"/>
      <c r="MDD26" s="28"/>
      <c r="MEB26" s="5"/>
      <c r="MED26" s="28"/>
      <c r="MEE26" s="28"/>
      <c r="MFC26" s="5"/>
      <c r="MFE26" s="28"/>
      <c r="MFF26" s="28"/>
      <c r="MGD26" s="5"/>
      <c r="MGF26" s="28"/>
      <c r="MGG26" s="28"/>
      <c r="MHE26" s="5"/>
      <c r="MHG26" s="28"/>
      <c r="MHH26" s="28"/>
      <c r="MIF26" s="5"/>
      <c r="MIH26" s="28"/>
      <c r="MII26" s="28"/>
      <c r="MJG26" s="5"/>
      <c r="MJI26" s="28"/>
      <c r="MJJ26" s="28"/>
      <c r="MKH26" s="5"/>
      <c r="MKJ26" s="28"/>
      <c r="MKK26" s="28"/>
      <c r="MLI26" s="5"/>
      <c r="MLK26" s="28"/>
      <c r="MLL26" s="28"/>
      <c r="MMJ26" s="5"/>
      <c r="MML26" s="28"/>
      <c r="MMM26" s="28"/>
      <c r="MNK26" s="5"/>
      <c r="MNM26" s="28"/>
      <c r="MNN26" s="28"/>
      <c r="MOL26" s="5"/>
      <c r="MON26" s="28"/>
      <c r="MOO26" s="28"/>
      <c r="MPM26" s="5"/>
      <c r="MPO26" s="28"/>
      <c r="MPP26" s="28"/>
      <c r="MQN26" s="5"/>
      <c r="MQP26" s="28"/>
      <c r="MQQ26" s="28"/>
      <c r="MRO26" s="5"/>
      <c r="MRQ26" s="28"/>
      <c r="MRR26" s="28"/>
      <c r="MSP26" s="5"/>
      <c r="MSR26" s="28"/>
      <c r="MSS26" s="28"/>
      <c r="MTQ26" s="5"/>
      <c r="MTS26" s="28"/>
      <c r="MTT26" s="28"/>
      <c r="MUR26" s="5"/>
      <c r="MUT26" s="28"/>
      <c r="MUU26" s="28"/>
      <c r="MVS26" s="5"/>
      <c r="MVU26" s="28"/>
      <c r="MVV26" s="28"/>
      <c r="MWT26" s="5"/>
      <c r="MWV26" s="28"/>
      <c r="MWW26" s="28"/>
      <c r="MXU26" s="5"/>
      <c r="MXW26" s="28"/>
      <c r="MXX26" s="28"/>
      <c r="MYV26" s="5"/>
      <c r="MYX26" s="28"/>
      <c r="MYY26" s="28"/>
      <c r="MZW26" s="5"/>
      <c r="MZY26" s="28"/>
      <c r="MZZ26" s="28"/>
      <c r="NAX26" s="5"/>
      <c r="NAZ26" s="28"/>
      <c r="NBA26" s="28"/>
      <c r="NBY26" s="5"/>
      <c r="NCA26" s="28"/>
      <c r="NCB26" s="28"/>
      <c r="NCZ26" s="5"/>
      <c r="NDB26" s="28"/>
      <c r="NDC26" s="28"/>
      <c r="NEA26" s="5"/>
      <c r="NEC26" s="28"/>
      <c r="NED26" s="28"/>
      <c r="NFB26" s="5"/>
      <c r="NFD26" s="28"/>
      <c r="NFE26" s="28"/>
      <c r="NGC26" s="5"/>
      <c r="NGE26" s="28"/>
      <c r="NGF26" s="28"/>
      <c r="NHD26" s="5"/>
      <c r="NHF26" s="28"/>
      <c r="NHG26" s="28"/>
      <c r="NIE26" s="5"/>
      <c r="NIG26" s="28"/>
      <c r="NIH26" s="28"/>
      <c r="NJF26" s="5"/>
      <c r="NJH26" s="28"/>
      <c r="NJI26" s="28"/>
      <c r="NKG26" s="5"/>
      <c r="NKI26" s="28"/>
      <c r="NKJ26" s="28"/>
      <c r="NLH26" s="5"/>
      <c r="NLJ26" s="28"/>
      <c r="NLK26" s="28"/>
      <c r="NMI26" s="5"/>
      <c r="NMK26" s="28"/>
      <c r="NML26" s="28"/>
      <c r="NNJ26" s="5"/>
      <c r="NNL26" s="28"/>
      <c r="NNM26" s="28"/>
      <c r="NOK26" s="5"/>
      <c r="NOM26" s="28"/>
      <c r="NON26" s="28"/>
      <c r="NPL26" s="5"/>
      <c r="NPN26" s="28"/>
      <c r="NPO26" s="28"/>
      <c r="NQM26" s="5"/>
      <c r="NQO26" s="28"/>
      <c r="NQP26" s="28"/>
      <c r="NRN26" s="5"/>
      <c r="NRP26" s="28"/>
      <c r="NRQ26" s="28"/>
      <c r="NSO26" s="5"/>
      <c r="NSQ26" s="28"/>
      <c r="NSR26" s="28"/>
      <c r="NTP26" s="5"/>
      <c r="NTR26" s="28"/>
      <c r="NTS26" s="28"/>
      <c r="NUQ26" s="5"/>
      <c r="NUS26" s="28"/>
      <c r="NUT26" s="28"/>
      <c r="NVR26" s="5"/>
      <c r="NVT26" s="28"/>
      <c r="NVU26" s="28"/>
      <c r="NWS26" s="5"/>
      <c r="NWU26" s="28"/>
      <c r="NWV26" s="28"/>
      <c r="NXT26" s="5"/>
      <c r="NXV26" s="28"/>
      <c r="NXW26" s="28"/>
      <c r="NYU26" s="5"/>
      <c r="NYW26" s="28"/>
      <c r="NYX26" s="28"/>
      <c r="NZV26" s="5"/>
      <c r="NZX26" s="28"/>
      <c r="NZY26" s="28"/>
      <c r="OAW26" s="5"/>
      <c r="OAY26" s="28"/>
      <c r="OAZ26" s="28"/>
      <c r="OBX26" s="5"/>
      <c r="OBZ26" s="28"/>
      <c r="OCA26" s="28"/>
      <c r="OCY26" s="5"/>
      <c r="ODA26" s="28"/>
      <c r="ODB26" s="28"/>
      <c r="ODZ26" s="5"/>
      <c r="OEB26" s="28"/>
      <c r="OEC26" s="28"/>
      <c r="OFA26" s="5"/>
      <c r="OFC26" s="28"/>
      <c r="OFD26" s="28"/>
      <c r="OGB26" s="5"/>
      <c r="OGD26" s="28"/>
      <c r="OGE26" s="28"/>
      <c r="OHC26" s="5"/>
      <c r="OHE26" s="28"/>
      <c r="OHF26" s="28"/>
      <c r="OID26" s="5"/>
      <c r="OIF26" s="28"/>
      <c r="OIG26" s="28"/>
      <c r="OJE26" s="5"/>
      <c r="OJG26" s="28"/>
      <c r="OJH26" s="28"/>
      <c r="OKF26" s="5"/>
      <c r="OKH26" s="28"/>
      <c r="OKI26" s="28"/>
      <c r="OLG26" s="5"/>
      <c r="OLI26" s="28"/>
      <c r="OLJ26" s="28"/>
      <c r="OMH26" s="5"/>
      <c r="OMJ26" s="28"/>
      <c r="OMK26" s="28"/>
      <c r="ONI26" s="5"/>
      <c r="ONK26" s="28"/>
      <c r="ONL26" s="28"/>
      <c r="OOJ26" s="5"/>
      <c r="OOL26" s="28"/>
      <c r="OOM26" s="28"/>
      <c r="OPK26" s="5"/>
      <c r="OPM26" s="28"/>
      <c r="OPN26" s="28"/>
      <c r="OQL26" s="5"/>
      <c r="OQN26" s="28"/>
      <c r="OQO26" s="28"/>
      <c r="ORM26" s="5"/>
      <c r="ORO26" s="28"/>
      <c r="ORP26" s="28"/>
      <c r="OSN26" s="5"/>
      <c r="OSP26" s="28"/>
      <c r="OSQ26" s="28"/>
      <c r="OTO26" s="5"/>
      <c r="OTQ26" s="28"/>
      <c r="OTR26" s="28"/>
      <c r="OUP26" s="5"/>
      <c r="OUR26" s="28"/>
      <c r="OUS26" s="28"/>
      <c r="OVQ26" s="5"/>
      <c r="OVS26" s="28"/>
      <c r="OVT26" s="28"/>
      <c r="OWR26" s="5"/>
      <c r="OWT26" s="28"/>
      <c r="OWU26" s="28"/>
      <c r="OXS26" s="5"/>
      <c r="OXU26" s="28"/>
      <c r="OXV26" s="28"/>
      <c r="OYT26" s="5"/>
      <c r="OYV26" s="28"/>
      <c r="OYW26" s="28"/>
      <c r="OZU26" s="5"/>
      <c r="OZW26" s="28"/>
      <c r="OZX26" s="28"/>
      <c r="PAV26" s="5"/>
      <c r="PAX26" s="28"/>
      <c r="PAY26" s="28"/>
      <c r="PBW26" s="5"/>
      <c r="PBY26" s="28"/>
      <c r="PBZ26" s="28"/>
      <c r="PCX26" s="5"/>
      <c r="PCZ26" s="28"/>
      <c r="PDA26" s="28"/>
      <c r="PDY26" s="5"/>
      <c r="PEA26" s="28"/>
      <c r="PEB26" s="28"/>
      <c r="PEZ26" s="5"/>
      <c r="PFB26" s="28"/>
      <c r="PFC26" s="28"/>
      <c r="PGA26" s="5"/>
      <c r="PGC26" s="28"/>
      <c r="PGD26" s="28"/>
      <c r="PHB26" s="5"/>
      <c r="PHD26" s="28"/>
      <c r="PHE26" s="28"/>
      <c r="PIC26" s="5"/>
      <c r="PIE26" s="28"/>
      <c r="PIF26" s="28"/>
      <c r="PJD26" s="5"/>
      <c r="PJF26" s="28"/>
      <c r="PJG26" s="28"/>
      <c r="PKE26" s="5"/>
      <c r="PKG26" s="28"/>
      <c r="PKH26" s="28"/>
      <c r="PLF26" s="5"/>
      <c r="PLH26" s="28"/>
      <c r="PLI26" s="28"/>
      <c r="PMG26" s="5"/>
      <c r="PMI26" s="28"/>
      <c r="PMJ26" s="28"/>
      <c r="PNH26" s="5"/>
      <c r="PNJ26" s="28"/>
      <c r="PNK26" s="28"/>
      <c r="POI26" s="5"/>
      <c r="POK26" s="28"/>
      <c r="POL26" s="28"/>
      <c r="PPJ26" s="5"/>
      <c r="PPL26" s="28"/>
      <c r="PPM26" s="28"/>
      <c r="PQK26" s="5"/>
      <c r="PQM26" s="28"/>
      <c r="PQN26" s="28"/>
      <c r="PRL26" s="5"/>
      <c r="PRN26" s="28"/>
      <c r="PRO26" s="28"/>
      <c r="PSM26" s="5"/>
      <c r="PSO26" s="28"/>
      <c r="PSP26" s="28"/>
      <c r="PTN26" s="5"/>
      <c r="PTP26" s="28"/>
      <c r="PTQ26" s="28"/>
      <c r="PUO26" s="5"/>
      <c r="PUQ26" s="28"/>
      <c r="PUR26" s="28"/>
      <c r="PVP26" s="5"/>
      <c r="PVR26" s="28"/>
      <c r="PVS26" s="28"/>
      <c r="PWQ26" s="5"/>
      <c r="PWS26" s="28"/>
      <c r="PWT26" s="28"/>
      <c r="PXR26" s="5"/>
      <c r="PXT26" s="28"/>
      <c r="PXU26" s="28"/>
      <c r="PYS26" s="5"/>
      <c r="PYU26" s="28"/>
      <c r="PYV26" s="28"/>
      <c r="PZT26" s="5"/>
      <c r="PZV26" s="28"/>
      <c r="PZW26" s="28"/>
      <c r="QAU26" s="5"/>
      <c r="QAW26" s="28"/>
      <c r="QAX26" s="28"/>
      <c r="QBV26" s="5"/>
      <c r="QBX26" s="28"/>
      <c r="QBY26" s="28"/>
      <c r="QCW26" s="5"/>
      <c r="QCY26" s="28"/>
      <c r="QCZ26" s="28"/>
      <c r="QDX26" s="5"/>
      <c r="QDZ26" s="28"/>
      <c r="QEA26" s="28"/>
      <c r="QEY26" s="5"/>
      <c r="QFA26" s="28"/>
      <c r="QFB26" s="28"/>
      <c r="QFZ26" s="5"/>
      <c r="QGB26" s="28"/>
      <c r="QGC26" s="28"/>
      <c r="QHA26" s="5"/>
      <c r="QHC26" s="28"/>
      <c r="QHD26" s="28"/>
      <c r="QIB26" s="5"/>
      <c r="QID26" s="28"/>
      <c r="QIE26" s="28"/>
      <c r="QJC26" s="5"/>
      <c r="QJE26" s="28"/>
      <c r="QJF26" s="28"/>
      <c r="QKD26" s="5"/>
      <c r="QKF26" s="28"/>
      <c r="QKG26" s="28"/>
      <c r="QLE26" s="5"/>
      <c r="QLG26" s="28"/>
      <c r="QLH26" s="28"/>
      <c r="QMF26" s="5"/>
      <c r="QMH26" s="28"/>
      <c r="QMI26" s="28"/>
      <c r="QNG26" s="5"/>
      <c r="QNI26" s="28"/>
      <c r="QNJ26" s="28"/>
      <c r="QOH26" s="5"/>
      <c r="QOJ26" s="28"/>
      <c r="QOK26" s="28"/>
      <c r="QPI26" s="5"/>
      <c r="QPK26" s="28"/>
      <c r="QPL26" s="28"/>
      <c r="QQJ26" s="5"/>
      <c r="QQL26" s="28"/>
      <c r="QQM26" s="28"/>
      <c r="QRK26" s="5"/>
      <c r="QRM26" s="28"/>
      <c r="QRN26" s="28"/>
      <c r="QSL26" s="5"/>
      <c r="QSN26" s="28"/>
      <c r="QSO26" s="28"/>
      <c r="QTM26" s="5"/>
      <c r="QTO26" s="28"/>
      <c r="QTP26" s="28"/>
      <c r="QUN26" s="5"/>
      <c r="QUP26" s="28"/>
      <c r="QUQ26" s="28"/>
      <c r="QVO26" s="5"/>
      <c r="QVQ26" s="28"/>
      <c r="QVR26" s="28"/>
      <c r="QWP26" s="5"/>
      <c r="QWR26" s="28"/>
      <c r="QWS26" s="28"/>
      <c r="QXQ26" s="5"/>
      <c r="QXS26" s="28"/>
      <c r="QXT26" s="28"/>
      <c r="QYR26" s="5"/>
      <c r="QYT26" s="28"/>
      <c r="QYU26" s="28"/>
      <c r="QZS26" s="5"/>
      <c r="QZU26" s="28"/>
      <c r="QZV26" s="28"/>
      <c r="RAT26" s="5"/>
      <c r="RAV26" s="28"/>
      <c r="RAW26" s="28"/>
      <c r="RBU26" s="5"/>
      <c r="RBW26" s="28"/>
      <c r="RBX26" s="28"/>
      <c r="RCV26" s="5"/>
      <c r="RCX26" s="28"/>
      <c r="RCY26" s="28"/>
      <c r="RDW26" s="5"/>
      <c r="RDY26" s="28"/>
      <c r="RDZ26" s="28"/>
      <c r="REX26" s="5"/>
      <c r="REZ26" s="28"/>
      <c r="RFA26" s="28"/>
      <c r="RFY26" s="5"/>
      <c r="RGA26" s="28"/>
      <c r="RGB26" s="28"/>
      <c r="RGZ26" s="5"/>
      <c r="RHB26" s="28"/>
      <c r="RHC26" s="28"/>
      <c r="RIA26" s="5"/>
      <c r="RIC26" s="28"/>
      <c r="RID26" s="28"/>
      <c r="RJB26" s="5"/>
      <c r="RJD26" s="28"/>
      <c r="RJE26" s="28"/>
      <c r="RKC26" s="5"/>
      <c r="RKE26" s="28"/>
      <c r="RKF26" s="28"/>
      <c r="RLD26" s="5"/>
      <c r="RLF26" s="28"/>
      <c r="RLG26" s="28"/>
      <c r="RME26" s="5"/>
      <c r="RMG26" s="28"/>
      <c r="RMH26" s="28"/>
      <c r="RNF26" s="5"/>
      <c r="RNH26" s="28"/>
      <c r="RNI26" s="28"/>
      <c r="ROG26" s="5"/>
      <c r="ROI26" s="28"/>
      <c r="ROJ26" s="28"/>
      <c r="RPH26" s="5"/>
      <c r="RPJ26" s="28"/>
      <c r="RPK26" s="28"/>
      <c r="RQI26" s="5"/>
      <c r="RQK26" s="28"/>
      <c r="RQL26" s="28"/>
      <c r="RRJ26" s="5"/>
      <c r="RRL26" s="28"/>
      <c r="RRM26" s="28"/>
      <c r="RSK26" s="5"/>
      <c r="RSM26" s="28"/>
      <c r="RSN26" s="28"/>
      <c r="RTL26" s="5"/>
      <c r="RTN26" s="28"/>
      <c r="RTO26" s="28"/>
      <c r="RUM26" s="5"/>
      <c r="RUO26" s="28"/>
      <c r="RUP26" s="28"/>
      <c r="RVN26" s="5"/>
      <c r="RVP26" s="28"/>
      <c r="RVQ26" s="28"/>
      <c r="RWO26" s="5"/>
      <c r="RWQ26" s="28"/>
      <c r="RWR26" s="28"/>
      <c r="RXP26" s="5"/>
      <c r="RXR26" s="28"/>
      <c r="RXS26" s="28"/>
      <c r="RYQ26" s="5"/>
      <c r="RYS26" s="28"/>
      <c r="RYT26" s="28"/>
      <c r="RZR26" s="5"/>
      <c r="RZT26" s="28"/>
      <c r="RZU26" s="28"/>
      <c r="SAS26" s="5"/>
      <c r="SAU26" s="28"/>
      <c r="SAV26" s="28"/>
      <c r="SBT26" s="5"/>
      <c r="SBV26" s="28"/>
      <c r="SBW26" s="28"/>
      <c r="SCU26" s="5"/>
      <c r="SCW26" s="28"/>
      <c r="SCX26" s="28"/>
      <c r="SDV26" s="5"/>
      <c r="SDX26" s="28"/>
      <c r="SDY26" s="28"/>
      <c r="SEW26" s="5"/>
      <c r="SEY26" s="28"/>
      <c r="SEZ26" s="28"/>
      <c r="SFX26" s="5"/>
      <c r="SFZ26" s="28"/>
      <c r="SGA26" s="28"/>
      <c r="SGY26" s="5"/>
      <c r="SHA26" s="28"/>
      <c r="SHB26" s="28"/>
      <c r="SHZ26" s="5"/>
      <c r="SIB26" s="28"/>
      <c r="SIC26" s="28"/>
      <c r="SJA26" s="5"/>
      <c r="SJC26" s="28"/>
      <c r="SJD26" s="28"/>
      <c r="SKB26" s="5"/>
      <c r="SKD26" s="28"/>
      <c r="SKE26" s="28"/>
      <c r="SLC26" s="5"/>
      <c r="SLE26" s="28"/>
      <c r="SLF26" s="28"/>
      <c r="SMD26" s="5"/>
      <c r="SMF26" s="28"/>
      <c r="SMG26" s="28"/>
      <c r="SNE26" s="5"/>
      <c r="SNG26" s="28"/>
      <c r="SNH26" s="28"/>
      <c r="SOF26" s="5"/>
      <c r="SOH26" s="28"/>
      <c r="SOI26" s="28"/>
      <c r="SPG26" s="5"/>
      <c r="SPI26" s="28"/>
      <c r="SPJ26" s="28"/>
      <c r="SQH26" s="5"/>
      <c r="SQJ26" s="28"/>
      <c r="SQK26" s="28"/>
      <c r="SRI26" s="5"/>
      <c r="SRK26" s="28"/>
      <c r="SRL26" s="28"/>
      <c r="SSJ26" s="5"/>
      <c r="SSL26" s="28"/>
      <c r="SSM26" s="28"/>
      <c r="STK26" s="5"/>
      <c r="STM26" s="28"/>
      <c r="STN26" s="28"/>
      <c r="SUL26" s="5"/>
      <c r="SUN26" s="28"/>
      <c r="SUO26" s="28"/>
      <c r="SVM26" s="5"/>
      <c r="SVO26" s="28"/>
      <c r="SVP26" s="28"/>
      <c r="SWN26" s="5"/>
      <c r="SWP26" s="28"/>
      <c r="SWQ26" s="28"/>
      <c r="SXO26" s="5"/>
      <c r="SXQ26" s="28"/>
      <c r="SXR26" s="28"/>
      <c r="SYP26" s="5"/>
      <c r="SYR26" s="28"/>
      <c r="SYS26" s="28"/>
      <c r="SZQ26" s="5"/>
      <c r="SZS26" s="28"/>
      <c r="SZT26" s="28"/>
      <c r="TAR26" s="5"/>
      <c r="TAT26" s="28"/>
      <c r="TAU26" s="28"/>
      <c r="TBS26" s="5"/>
      <c r="TBU26" s="28"/>
      <c r="TBV26" s="28"/>
      <c r="TCT26" s="5"/>
      <c r="TCV26" s="28"/>
      <c r="TCW26" s="28"/>
      <c r="TDU26" s="5"/>
      <c r="TDW26" s="28"/>
      <c r="TDX26" s="28"/>
      <c r="TEV26" s="5"/>
      <c r="TEX26" s="28"/>
      <c r="TEY26" s="28"/>
      <c r="TFW26" s="5"/>
      <c r="TFY26" s="28"/>
      <c r="TFZ26" s="28"/>
      <c r="TGX26" s="5"/>
      <c r="TGZ26" s="28"/>
      <c r="THA26" s="28"/>
      <c r="THY26" s="5"/>
      <c r="TIA26" s="28"/>
      <c r="TIB26" s="28"/>
      <c r="TIZ26" s="5"/>
      <c r="TJB26" s="28"/>
      <c r="TJC26" s="28"/>
      <c r="TKA26" s="5"/>
      <c r="TKC26" s="28"/>
      <c r="TKD26" s="28"/>
      <c r="TLB26" s="5"/>
      <c r="TLD26" s="28"/>
      <c r="TLE26" s="28"/>
      <c r="TMC26" s="5"/>
      <c r="TME26" s="28"/>
      <c r="TMF26" s="28"/>
      <c r="TND26" s="5"/>
      <c r="TNF26" s="28"/>
      <c r="TNG26" s="28"/>
      <c r="TOE26" s="5"/>
      <c r="TOG26" s="28"/>
      <c r="TOH26" s="28"/>
      <c r="TPF26" s="5"/>
      <c r="TPH26" s="28"/>
      <c r="TPI26" s="28"/>
      <c r="TQG26" s="5"/>
      <c r="TQI26" s="28"/>
      <c r="TQJ26" s="28"/>
      <c r="TRH26" s="5"/>
      <c r="TRJ26" s="28"/>
      <c r="TRK26" s="28"/>
      <c r="TSI26" s="5"/>
      <c r="TSK26" s="28"/>
      <c r="TSL26" s="28"/>
      <c r="TTJ26" s="5"/>
      <c r="TTL26" s="28"/>
      <c r="TTM26" s="28"/>
      <c r="TUK26" s="5"/>
      <c r="TUM26" s="28"/>
      <c r="TUN26" s="28"/>
      <c r="TVL26" s="5"/>
      <c r="TVN26" s="28"/>
      <c r="TVO26" s="28"/>
      <c r="TWM26" s="5"/>
      <c r="TWO26" s="28"/>
      <c r="TWP26" s="28"/>
      <c r="TXN26" s="5"/>
      <c r="TXP26" s="28"/>
      <c r="TXQ26" s="28"/>
      <c r="TYO26" s="5"/>
      <c r="TYQ26" s="28"/>
      <c r="TYR26" s="28"/>
      <c r="TZP26" s="5"/>
      <c r="TZR26" s="28"/>
      <c r="TZS26" s="28"/>
      <c r="UAQ26" s="5"/>
      <c r="UAS26" s="28"/>
      <c r="UAT26" s="28"/>
      <c r="UBR26" s="5"/>
      <c r="UBT26" s="28"/>
      <c r="UBU26" s="28"/>
      <c r="UCS26" s="5"/>
      <c r="UCU26" s="28"/>
      <c r="UCV26" s="28"/>
      <c r="UDT26" s="5"/>
      <c r="UDV26" s="28"/>
      <c r="UDW26" s="28"/>
      <c r="UEU26" s="5"/>
      <c r="UEW26" s="28"/>
      <c r="UEX26" s="28"/>
      <c r="UFV26" s="5"/>
      <c r="UFX26" s="28"/>
      <c r="UFY26" s="28"/>
      <c r="UGW26" s="5"/>
      <c r="UGY26" s="28"/>
      <c r="UGZ26" s="28"/>
      <c r="UHX26" s="5"/>
      <c r="UHZ26" s="28"/>
      <c r="UIA26" s="28"/>
      <c r="UIY26" s="5"/>
      <c r="UJA26" s="28"/>
      <c r="UJB26" s="28"/>
      <c r="UJZ26" s="5"/>
      <c r="UKB26" s="28"/>
      <c r="UKC26" s="28"/>
      <c r="ULA26" s="5"/>
      <c r="ULC26" s="28"/>
      <c r="ULD26" s="28"/>
      <c r="UMB26" s="5"/>
      <c r="UMD26" s="28"/>
      <c r="UME26" s="28"/>
      <c r="UNC26" s="5"/>
      <c r="UNE26" s="28"/>
      <c r="UNF26" s="28"/>
      <c r="UOD26" s="5"/>
      <c r="UOF26" s="28"/>
      <c r="UOG26" s="28"/>
      <c r="UPE26" s="5"/>
      <c r="UPG26" s="28"/>
      <c r="UPH26" s="28"/>
      <c r="UQF26" s="5"/>
      <c r="UQH26" s="28"/>
      <c r="UQI26" s="28"/>
      <c r="URG26" s="5"/>
      <c r="URI26" s="28"/>
      <c r="URJ26" s="28"/>
      <c r="USH26" s="5"/>
      <c r="USJ26" s="28"/>
      <c r="USK26" s="28"/>
      <c r="UTI26" s="5"/>
      <c r="UTK26" s="28"/>
      <c r="UTL26" s="28"/>
      <c r="UUJ26" s="5"/>
      <c r="UUL26" s="28"/>
      <c r="UUM26" s="28"/>
      <c r="UVK26" s="5"/>
      <c r="UVM26" s="28"/>
      <c r="UVN26" s="28"/>
      <c r="UWL26" s="5"/>
      <c r="UWN26" s="28"/>
      <c r="UWO26" s="28"/>
      <c r="UXM26" s="5"/>
      <c r="UXO26" s="28"/>
      <c r="UXP26" s="28"/>
      <c r="UYN26" s="5"/>
      <c r="UYP26" s="28"/>
      <c r="UYQ26" s="28"/>
      <c r="UZO26" s="5"/>
      <c r="UZQ26" s="28"/>
      <c r="UZR26" s="28"/>
      <c r="VAP26" s="5"/>
      <c r="VAR26" s="28"/>
      <c r="VAS26" s="28"/>
      <c r="VBQ26" s="5"/>
      <c r="VBS26" s="28"/>
      <c r="VBT26" s="28"/>
      <c r="VCR26" s="5"/>
      <c r="VCT26" s="28"/>
      <c r="VCU26" s="28"/>
      <c r="VDS26" s="5"/>
      <c r="VDU26" s="28"/>
      <c r="VDV26" s="28"/>
      <c r="VET26" s="5"/>
      <c r="VEV26" s="28"/>
      <c r="VEW26" s="28"/>
      <c r="VFU26" s="5"/>
      <c r="VFW26" s="28"/>
      <c r="VFX26" s="28"/>
      <c r="VGV26" s="5"/>
      <c r="VGX26" s="28"/>
      <c r="VGY26" s="28"/>
      <c r="VHW26" s="5"/>
      <c r="VHY26" s="28"/>
      <c r="VHZ26" s="28"/>
      <c r="VIX26" s="5"/>
      <c r="VIZ26" s="28"/>
      <c r="VJA26" s="28"/>
      <c r="VJY26" s="5"/>
      <c r="VKA26" s="28"/>
      <c r="VKB26" s="28"/>
      <c r="VKZ26" s="5"/>
      <c r="VLB26" s="28"/>
      <c r="VLC26" s="28"/>
      <c r="VMA26" s="5"/>
      <c r="VMC26" s="28"/>
      <c r="VMD26" s="28"/>
      <c r="VNB26" s="5"/>
      <c r="VND26" s="28"/>
      <c r="VNE26" s="28"/>
      <c r="VOC26" s="5"/>
      <c r="VOE26" s="28"/>
      <c r="VOF26" s="28"/>
      <c r="VPD26" s="5"/>
      <c r="VPF26" s="28"/>
      <c r="VPG26" s="28"/>
      <c r="VQE26" s="5"/>
      <c r="VQG26" s="28"/>
      <c r="VQH26" s="28"/>
      <c r="VRF26" s="5"/>
      <c r="VRH26" s="28"/>
      <c r="VRI26" s="28"/>
      <c r="VSG26" s="5"/>
      <c r="VSI26" s="28"/>
      <c r="VSJ26" s="28"/>
      <c r="VTH26" s="5"/>
      <c r="VTJ26" s="28"/>
      <c r="VTK26" s="28"/>
      <c r="VUI26" s="5"/>
      <c r="VUK26" s="28"/>
      <c r="VUL26" s="28"/>
      <c r="VVJ26" s="5"/>
      <c r="VVL26" s="28"/>
      <c r="VVM26" s="28"/>
      <c r="VWK26" s="5"/>
      <c r="VWM26" s="28"/>
      <c r="VWN26" s="28"/>
      <c r="VXL26" s="5"/>
      <c r="VXN26" s="28"/>
      <c r="VXO26" s="28"/>
      <c r="VYM26" s="5"/>
      <c r="VYO26" s="28"/>
      <c r="VYP26" s="28"/>
      <c r="VZN26" s="5"/>
      <c r="VZP26" s="28"/>
      <c r="VZQ26" s="28"/>
      <c r="WAO26" s="5"/>
      <c r="WAQ26" s="28"/>
      <c r="WAR26" s="28"/>
      <c r="WBP26" s="5"/>
      <c r="WBR26" s="28"/>
      <c r="WBS26" s="28"/>
      <c r="WCQ26" s="5"/>
      <c r="WCS26" s="28"/>
      <c r="WCT26" s="28"/>
      <c r="WDR26" s="5"/>
      <c r="WDT26" s="28"/>
      <c r="WDU26" s="28"/>
      <c r="WES26" s="5"/>
      <c r="WEU26" s="28"/>
      <c r="WEV26" s="28"/>
      <c r="WFT26" s="5"/>
      <c r="WFV26" s="28"/>
      <c r="WFW26" s="28"/>
      <c r="WGU26" s="5"/>
      <c r="WGW26" s="28"/>
      <c r="WGX26" s="28"/>
      <c r="WHV26" s="5"/>
      <c r="WHX26" s="28"/>
      <c r="WHY26" s="28"/>
      <c r="WIW26" s="5"/>
      <c r="WIY26" s="28"/>
      <c r="WIZ26" s="28"/>
      <c r="WJX26" s="5"/>
      <c r="WJZ26" s="28"/>
      <c r="WKA26" s="28"/>
      <c r="WKY26" s="5"/>
      <c r="WLA26" s="28"/>
      <c r="WLB26" s="28"/>
      <c r="WLZ26" s="5"/>
      <c r="WMB26" s="28"/>
      <c r="WMC26" s="28"/>
      <c r="WNA26" s="5"/>
      <c r="WNC26" s="28"/>
      <c r="WND26" s="28"/>
      <c r="WOB26" s="5"/>
      <c r="WOD26" s="28"/>
      <c r="WOE26" s="28"/>
      <c r="WPC26" s="5"/>
      <c r="WPE26" s="28"/>
      <c r="WPF26" s="28"/>
      <c r="WQD26" s="5"/>
      <c r="WQF26" s="28"/>
      <c r="WQG26" s="28"/>
      <c r="WRE26" s="5"/>
      <c r="WRG26" s="28"/>
      <c r="WRH26" s="28"/>
      <c r="WSF26" s="5"/>
      <c r="WSH26" s="28"/>
      <c r="WSI26" s="28"/>
      <c r="WTG26" s="5"/>
      <c r="WTI26" s="28"/>
      <c r="WTJ26" s="28"/>
      <c r="WUH26" s="5"/>
      <c r="WUJ26" s="28"/>
      <c r="WUK26" s="28"/>
      <c r="WVI26" s="5"/>
      <c r="WVK26" s="28"/>
      <c r="WVL26" s="28"/>
      <c r="WWJ26" s="5"/>
      <c r="WWL26" s="28"/>
      <c r="WWM26" s="28"/>
      <c r="WXK26" s="5"/>
      <c r="WXM26" s="28"/>
      <c r="WXN26" s="28"/>
      <c r="WYL26" s="5"/>
      <c r="WYN26" s="28"/>
      <c r="WYO26" s="28"/>
      <c r="WZM26" s="5"/>
      <c r="WZO26" s="28"/>
      <c r="WZP26" s="28"/>
      <c r="XAN26" s="5"/>
      <c r="XAP26" s="28"/>
      <c r="XAQ26" s="28"/>
      <c r="XBO26" s="5"/>
      <c r="XBQ26" s="28"/>
      <c r="XBR26" s="28"/>
      <c r="XCP26" s="5"/>
      <c r="XCR26" s="28"/>
      <c r="XCS26" s="28"/>
    </row>
    <row r="27" spans="1:1012 1036:2038 2062:3064 3088:4090 4114:5116 5140:6142 6166:7168 7192:8191 8193:9193 9217:10219 10243:11245 11269:12271 12295:13297 13321:14323 14347:15349 15373:16321" ht="60.95" customHeight="1" x14ac:dyDescent="0.25">
      <c r="F27" s="17">
        <f t="shared" si="83"/>
        <v>18</v>
      </c>
      <c r="G27" s="31" t="s">
        <v>95</v>
      </c>
      <c r="H27" s="105" t="s">
        <v>96</v>
      </c>
      <c r="I27" s="106" t="s">
        <v>97</v>
      </c>
      <c r="J27" s="103" t="s">
        <v>98</v>
      </c>
      <c r="K27" s="104" t="s">
        <v>99</v>
      </c>
      <c r="M27" s="4"/>
      <c r="CD27" s="100" t="s">
        <v>100</v>
      </c>
    </row>
    <row r="28" spans="1:1012 1036:2038 2062:3064 3088:4090 4114:5116 5140:6142 6166:7168 7192:8191 8193:9193 9217:10219 10243:11245 11269:12271 12295:13297 13321:14323 14347:15349 15373:16321" x14ac:dyDescent="0.25">
      <c r="F28" s="17">
        <f t="shared" si="83"/>
        <v>19</v>
      </c>
      <c r="G28" s="12" t="s">
        <v>101</v>
      </c>
      <c r="H28" s="13">
        <v>0</v>
      </c>
      <c r="I28" s="13">
        <v>0</v>
      </c>
      <c r="J28" s="117">
        <v>0</v>
      </c>
      <c r="K28" s="189">
        <f>H66</f>
        <v>5932.6137446376706</v>
      </c>
      <c r="L28" s="189">
        <f t="shared" ref="L28:V28" si="92">$K$28</f>
        <v>5932.6137446376706</v>
      </c>
      <c r="M28" s="189">
        <f t="shared" si="92"/>
        <v>5932.6137446376706</v>
      </c>
      <c r="N28" s="189">
        <f t="shared" si="92"/>
        <v>5932.6137446376706</v>
      </c>
      <c r="O28" s="189">
        <f t="shared" si="92"/>
        <v>5932.6137446376706</v>
      </c>
      <c r="P28" s="189">
        <f t="shared" si="92"/>
        <v>5932.6137446376706</v>
      </c>
      <c r="Q28" s="189">
        <f t="shared" si="92"/>
        <v>5932.6137446376706</v>
      </c>
      <c r="R28" s="189">
        <f t="shared" si="92"/>
        <v>5932.6137446376706</v>
      </c>
      <c r="S28" s="189">
        <f t="shared" si="92"/>
        <v>5932.6137446376706</v>
      </c>
      <c r="T28" s="189">
        <f t="shared" si="92"/>
        <v>5932.6137446376706</v>
      </c>
      <c r="U28" s="189">
        <f t="shared" si="92"/>
        <v>5932.6137446376706</v>
      </c>
      <c r="V28" s="189">
        <f t="shared" si="92"/>
        <v>5932.6137446376706</v>
      </c>
      <c r="W28" s="189">
        <f>$K$28*(1+Dados!$C$22)</f>
        <v>6110.5921569768007</v>
      </c>
      <c r="X28" s="189">
        <f>$K$28*(1+Dados!$C$22)</f>
        <v>6110.5921569768007</v>
      </c>
      <c r="Y28" s="189">
        <f>$K$28*(1+Dados!$C$22)</f>
        <v>6110.5921569768007</v>
      </c>
      <c r="Z28" s="189">
        <f>$K$28*(1+Dados!$C$22)</f>
        <v>6110.5921569768007</v>
      </c>
      <c r="AA28" s="189">
        <f>$K$28*(1+Dados!$C$22)</f>
        <v>6110.5921569768007</v>
      </c>
      <c r="AB28" s="189">
        <f>$K$28*(1+Dados!$C$22)</f>
        <v>6110.5921569768007</v>
      </c>
      <c r="AC28" s="189">
        <f>$K$28*(1+Dados!$C$22)</f>
        <v>6110.5921569768007</v>
      </c>
      <c r="AD28" s="189">
        <f>$K$28*(1+Dados!$C$22)</f>
        <v>6110.5921569768007</v>
      </c>
      <c r="AE28" s="189">
        <f>$K$28*(1+Dados!$C$22)</f>
        <v>6110.5921569768007</v>
      </c>
      <c r="AF28" s="189">
        <f>$K$28*(1+Dados!$C$22)</f>
        <v>6110.5921569768007</v>
      </c>
      <c r="AG28" s="189">
        <f>$K$28*(1+Dados!$C$22)</f>
        <v>6110.5921569768007</v>
      </c>
      <c r="AH28" s="189">
        <f>$K$28*(1+Dados!$C$22)</f>
        <v>6110.5921569768007</v>
      </c>
      <c r="AI28" s="189">
        <f>$AH$28*(1+Dados!$C$22)</f>
        <v>6293.909921686105</v>
      </c>
      <c r="AJ28" s="189">
        <f>$AH$28*(1+Dados!$C$22)</f>
        <v>6293.909921686105</v>
      </c>
      <c r="AK28" s="189">
        <f>$AH$28*(1+Dados!$C$22)</f>
        <v>6293.909921686105</v>
      </c>
      <c r="AL28" s="189">
        <f>$AH$28*(1+Dados!$C$22)</f>
        <v>6293.909921686105</v>
      </c>
      <c r="AM28" s="189">
        <f>$AH$28*(1+Dados!$C$22)</f>
        <v>6293.909921686105</v>
      </c>
      <c r="AN28" s="189">
        <f>$AH$28*(1+Dados!$C$22)</f>
        <v>6293.909921686105</v>
      </c>
      <c r="AO28" s="189">
        <f>$AH$28*(1+Dados!$C$22)</f>
        <v>6293.909921686105</v>
      </c>
      <c r="AP28" s="189">
        <f>$AH$28*(1+Dados!$C$22)</f>
        <v>6293.909921686105</v>
      </c>
      <c r="AQ28" s="189">
        <f>$AH$28*(1+Dados!$C$22)</f>
        <v>6293.909921686105</v>
      </c>
      <c r="AR28" s="189">
        <f>$AH$28*(1+Dados!$C$22)</f>
        <v>6293.909921686105</v>
      </c>
      <c r="AS28" s="189">
        <f>$AH$28*(1+Dados!$C$22)</f>
        <v>6293.909921686105</v>
      </c>
      <c r="AT28" s="189">
        <f>$AH$28*(1+Dados!$C$22)</f>
        <v>6293.909921686105</v>
      </c>
      <c r="AU28" s="189">
        <f>$AS$28*(1+Dados!$C$22)</f>
        <v>6482.727219336688</v>
      </c>
      <c r="AV28" s="189">
        <f>$AS$28*(1+Dados!$C$22)</f>
        <v>6482.727219336688</v>
      </c>
      <c r="AW28" s="189">
        <f>$AS$28*(1+Dados!$C$22)</f>
        <v>6482.727219336688</v>
      </c>
      <c r="AX28" s="189">
        <f>$AS$28*(1+Dados!$C$22)</f>
        <v>6482.727219336688</v>
      </c>
      <c r="AY28" s="189">
        <f>$AS$28*(1+Dados!$C$22)</f>
        <v>6482.727219336688</v>
      </c>
      <c r="AZ28" s="189">
        <f>$AS$28*(1+Dados!$C$22)</f>
        <v>6482.727219336688</v>
      </c>
      <c r="BA28" s="189">
        <f>$AS$28*(1+Dados!$C$22)</f>
        <v>6482.727219336688</v>
      </c>
      <c r="BB28" s="189">
        <f>$AS$28*(1+Dados!$C$22)</f>
        <v>6482.727219336688</v>
      </c>
      <c r="BC28" s="189">
        <f>$AS$28*(1+Dados!$C$22)</f>
        <v>6482.727219336688</v>
      </c>
      <c r="BD28" s="189">
        <f>$AS$28*(1+Dados!$C$22)</f>
        <v>6482.727219336688</v>
      </c>
      <c r="BE28" s="189">
        <f>$AS$28*(1+Dados!$C$22)</f>
        <v>6482.727219336688</v>
      </c>
      <c r="BF28" s="189">
        <f>$AS$28*(1+Dados!$C$22)</f>
        <v>6482.727219336688</v>
      </c>
      <c r="BG28" s="189">
        <f>$BF$28*(1+Dados!$C$22)</f>
        <v>6677.2090359167887</v>
      </c>
      <c r="BH28" s="189">
        <f>$BF$28*(1+Dados!$C$22)</f>
        <v>6677.2090359167887</v>
      </c>
      <c r="BI28" s="189">
        <f>$BF$28*(1+Dados!$C$22)</f>
        <v>6677.2090359167887</v>
      </c>
      <c r="BJ28" s="189">
        <f>$BF$28*(1+Dados!$C$22)</f>
        <v>6677.2090359167887</v>
      </c>
      <c r="BK28" s="189">
        <f>$BF$28*(1+Dados!$C$22)</f>
        <v>6677.2090359167887</v>
      </c>
      <c r="BL28" s="189">
        <f>$BF$28*(1+Dados!$C$22)</f>
        <v>6677.2090359167887</v>
      </c>
      <c r="BM28" s="189">
        <f>$BF$28*(1+Dados!$C$22)</f>
        <v>6677.2090359167887</v>
      </c>
      <c r="BN28" s="189">
        <f>$BF$28*(1+Dados!$C$22)</f>
        <v>6677.2090359167887</v>
      </c>
      <c r="BO28" s="189">
        <f>$BF$28*(1+Dados!$C$22)</f>
        <v>6677.2090359167887</v>
      </c>
      <c r="BP28" s="189">
        <f>$BF$28*(1+Dados!$C$22)</f>
        <v>6677.2090359167887</v>
      </c>
      <c r="BQ28" s="189">
        <f>$BF$28*(1+Dados!$C$22)</f>
        <v>6677.2090359167887</v>
      </c>
      <c r="BR28" s="189">
        <f>$BF$28*(1+Dados!$C$22)</f>
        <v>6677.2090359167887</v>
      </c>
      <c r="BS28" s="189">
        <f>$BR$28*(1+Dados!$C$22)</f>
        <v>6877.5253069942928</v>
      </c>
      <c r="BT28" s="189">
        <f>$BR$28*(1+Dados!$C$22)</f>
        <v>6877.5253069942928</v>
      </c>
      <c r="BU28" s="189">
        <f>$BR$28*(1+Dados!$C$22)</f>
        <v>6877.5253069942928</v>
      </c>
      <c r="BV28" s="189">
        <f>$BR$28*(1+Dados!$C$22)</f>
        <v>6877.5253069942928</v>
      </c>
      <c r="BW28" s="189">
        <f>$BR$28*(1+Dados!$C$22)</f>
        <v>6877.5253069942928</v>
      </c>
      <c r="BX28" s="189">
        <f>$BR$28*(1+Dados!$C$22)</f>
        <v>6877.5253069942928</v>
      </c>
      <c r="BY28" s="189">
        <f>$BR$28*(1+Dados!$C$22)</f>
        <v>6877.5253069942928</v>
      </c>
      <c r="BZ28" s="189">
        <f>$BR$28*(1+Dados!$C$22)</f>
        <v>6877.5253069942928</v>
      </c>
      <c r="CA28" s="189">
        <f>$BR$28*(1+Dados!$C$22)</f>
        <v>6877.5253069942928</v>
      </c>
      <c r="CB28" s="189">
        <f>$BR$28*(1+Dados!$C$22)</f>
        <v>6877.5253069942928</v>
      </c>
      <c r="CC28" s="189">
        <f>$BR$28*(1+Dados!$C$22)</f>
        <v>6877.5253069942928</v>
      </c>
      <c r="CD28" s="189">
        <f>$BR$28*(1+Dados!$C$22)</f>
        <v>6877.5253069942928</v>
      </c>
      <c r="CE28" s="13"/>
      <c r="CF28" s="13"/>
    </row>
    <row r="29" spans="1:1012 1036:2038 2062:3064 3088:4090 4114:5116 5140:6142 6166:7168 7192:8191 8193:9193 9217:10219 10243:11245 11269:12271 12295:13297 13321:14323 14347:15349 15373:16321" x14ac:dyDescent="0.25">
      <c r="F29" s="17">
        <f t="shared" si="83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</row>
    <row r="30" spans="1:1012 1036:2038 2062:3064 3088:4090 4114:5116 5140:6142 6166:7168 7192:8191 8193:9193 9217:10219 10243:11245 11269:12271 12295:13297 13321:14323 14347:15349 15373:16321" ht="47.25" x14ac:dyDescent="0.25">
      <c r="F30" s="17">
        <f t="shared" si="83"/>
        <v>21</v>
      </c>
      <c r="G30" s="31" t="s">
        <v>102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100" t="s">
        <v>103</v>
      </c>
    </row>
    <row r="31" spans="1:1012 1036:2038 2062:3064 3088:4090 4114:5116 5140:6142 6166:7168 7192:8191 8193:9193 9217:10219 10243:11245 11269:12271 12295:13297 13321:14323 14347:15349 15373:16321" x14ac:dyDescent="0.25">
      <c r="F31" s="17">
        <f t="shared" si="83"/>
        <v>22</v>
      </c>
      <c r="G31" s="12" t="s">
        <v>104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114">
        <v>0</v>
      </c>
    </row>
    <row r="32" spans="1:1012 1036:2038 2062:3064 3088:4090 4114:5116 5140:6142 6166:7168 7192:8191 8193:9193 9217:10219 10243:11245 11269:12271 12295:13297 13321:14323 14347:15349 15373:16321" x14ac:dyDescent="0.25">
      <c r="F32" s="17">
        <f t="shared" si="83"/>
        <v>23</v>
      </c>
      <c r="G32" s="12" t="s">
        <v>105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114">
        <f>H96</f>
        <v>57133.226176373893</v>
      </c>
    </row>
    <row r="33" spans="6:84" x14ac:dyDescent="0.25">
      <c r="F33" s="17">
        <f t="shared" si="83"/>
        <v>24</v>
      </c>
    </row>
    <row r="34" spans="6:84" x14ac:dyDescent="0.25">
      <c r="F34" s="17">
        <f t="shared" si="83"/>
        <v>25</v>
      </c>
      <c r="G34" s="33" t="s">
        <v>106</v>
      </c>
    </row>
    <row r="35" spans="6:84" x14ac:dyDescent="0.25">
      <c r="F35" s="17">
        <f t="shared" si="83"/>
        <v>26</v>
      </c>
      <c r="G35" s="156" t="s">
        <v>107</v>
      </c>
    </row>
    <row r="36" spans="6:84" x14ac:dyDescent="0.25">
      <c r="F36" s="17">
        <f t="shared" si="83"/>
        <v>27</v>
      </c>
      <c r="G36" s="12" t="s">
        <v>108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216.54040167927496</v>
      </c>
      <c r="L36" s="13">
        <f>Tributos!$B$5*SUM(L28)</f>
        <v>216.54040167927496</v>
      </c>
      <c r="M36" s="13">
        <f>Tributos!$B$5*SUM(M28)</f>
        <v>216.54040167927496</v>
      </c>
      <c r="N36" s="13">
        <f>Tributos!$B$5*SUM(N28)</f>
        <v>216.54040167927496</v>
      </c>
      <c r="O36" s="13">
        <f>Tributos!$B$5*SUM(O28)</f>
        <v>216.54040167927496</v>
      </c>
      <c r="P36" s="13">
        <f>Tributos!$B$5*SUM(P28)</f>
        <v>216.54040167927496</v>
      </c>
      <c r="Q36" s="13">
        <f>Tributos!$B$5*SUM(Q28)</f>
        <v>216.54040167927496</v>
      </c>
      <c r="R36" s="13">
        <f>Tributos!$B$5*SUM(R28)</f>
        <v>216.54040167927496</v>
      </c>
      <c r="S36" s="13">
        <f>Tributos!$B$5*SUM(S28)</f>
        <v>216.54040167927496</v>
      </c>
      <c r="T36" s="13">
        <f>Tributos!$B$5*SUM(T28)</f>
        <v>216.54040167927496</v>
      </c>
      <c r="U36" s="13">
        <f>Tributos!$B$5*SUM(U28)</f>
        <v>216.54040167927496</v>
      </c>
      <c r="V36" s="13">
        <f>Tributos!$B$5*SUM(V28)</f>
        <v>216.54040167927496</v>
      </c>
      <c r="W36" s="13">
        <f>Tributos!$B$5*SUM(W28)</f>
        <v>223.0366137296532</v>
      </c>
      <c r="X36" s="13">
        <f>Tributos!$B$5*SUM(X28)</f>
        <v>223.0366137296532</v>
      </c>
      <c r="Y36" s="13">
        <f>Tributos!$B$5*SUM(Y28)</f>
        <v>223.0366137296532</v>
      </c>
      <c r="Z36" s="13">
        <f>Tributos!$B$5*SUM(Z28)</f>
        <v>223.0366137296532</v>
      </c>
      <c r="AA36" s="13">
        <f>Tributos!$B$5*SUM(AA28)</f>
        <v>223.0366137296532</v>
      </c>
      <c r="AB36" s="13">
        <f>Tributos!$B$5*SUM(AB28)</f>
        <v>223.0366137296532</v>
      </c>
      <c r="AC36" s="13">
        <f>Tributos!$B$5*SUM(AC28)</f>
        <v>223.0366137296532</v>
      </c>
      <c r="AD36" s="13">
        <f>Tributos!$B$5*SUM(AD28)</f>
        <v>223.0366137296532</v>
      </c>
      <c r="AE36" s="13">
        <f>Tributos!$B$5*SUM(AE28)</f>
        <v>223.0366137296532</v>
      </c>
      <c r="AF36" s="13">
        <f>Tributos!$B$5*SUM(AF28)</f>
        <v>223.0366137296532</v>
      </c>
      <c r="AG36" s="13">
        <f>Tributos!$B$5*SUM(AG28)</f>
        <v>223.0366137296532</v>
      </c>
      <c r="AH36" s="13">
        <f>Tributos!$B$5*SUM(AH28)</f>
        <v>223.0366137296532</v>
      </c>
      <c r="AI36" s="13">
        <f>Tributos!$B$5*SUM(AI28)</f>
        <v>229.72771214154281</v>
      </c>
      <c r="AJ36" s="13">
        <f>Tributos!$B$5*SUM(AJ28)</f>
        <v>229.72771214154281</v>
      </c>
      <c r="AK36" s="13">
        <f>Tributos!$B$5*SUM(AK28)</f>
        <v>229.72771214154281</v>
      </c>
      <c r="AL36" s="13">
        <f>Tributos!$B$5*SUM(AL28)</f>
        <v>229.72771214154281</v>
      </c>
      <c r="AM36" s="13">
        <f>Tributos!$B$5*SUM(AM28)</f>
        <v>229.72771214154281</v>
      </c>
      <c r="AN36" s="13">
        <f>Tributos!$B$5*SUM(AN28)</f>
        <v>229.72771214154281</v>
      </c>
      <c r="AO36" s="13">
        <f>Tributos!$B$5*SUM(AO28)</f>
        <v>229.72771214154281</v>
      </c>
      <c r="AP36" s="13">
        <f>Tributos!$B$5*SUM(AP28)</f>
        <v>229.72771214154281</v>
      </c>
      <c r="AQ36" s="13">
        <f>Tributos!$B$5*SUM(AQ28)</f>
        <v>229.72771214154281</v>
      </c>
      <c r="AR36" s="13">
        <f>Tributos!$B$5*SUM(AR28)</f>
        <v>229.72771214154281</v>
      </c>
      <c r="AS36" s="13">
        <f>Tributos!$B$5*SUM(AS28)</f>
        <v>229.72771214154281</v>
      </c>
      <c r="AT36" s="13">
        <f>Tributos!$B$5*SUM(AT28)</f>
        <v>229.72771214154281</v>
      </c>
      <c r="AU36" s="13">
        <f>Tributos!$B$5*SUM(AU28)</f>
        <v>236.6195435057891</v>
      </c>
      <c r="AV36" s="13">
        <f>Tributos!$B$5*SUM(AV28)</f>
        <v>236.6195435057891</v>
      </c>
      <c r="AW36" s="13">
        <f>Tributos!$B$5*SUM(AW28)</f>
        <v>236.6195435057891</v>
      </c>
      <c r="AX36" s="13">
        <f>Tributos!$B$5*SUM(AX28)</f>
        <v>236.6195435057891</v>
      </c>
      <c r="AY36" s="13">
        <f>Tributos!$B$5*SUM(AY28)</f>
        <v>236.6195435057891</v>
      </c>
      <c r="AZ36" s="13">
        <f>Tributos!$B$5*SUM(AZ28)</f>
        <v>236.6195435057891</v>
      </c>
      <c r="BA36" s="13">
        <f>Tributos!$B$5*SUM(BA28)</f>
        <v>236.6195435057891</v>
      </c>
      <c r="BB36" s="13">
        <f>Tributos!$B$5*SUM(BB28)</f>
        <v>236.6195435057891</v>
      </c>
      <c r="BC36" s="13">
        <f>Tributos!$B$5*SUM(BC28)</f>
        <v>236.6195435057891</v>
      </c>
      <c r="BD36" s="13">
        <f>Tributos!$B$5*SUM(BD28)</f>
        <v>236.6195435057891</v>
      </c>
      <c r="BE36" s="13">
        <f>Tributos!$B$5*SUM(BE28)</f>
        <v>236.6195435057891</v>
      </c>
      <c r="BF36" s="13">
        <f>Tributos!$B$5*SUM(BF28)</f>
        <v>236.6195435057891</v>
      </c>
      <c r="BG36" s="13">
        <f>Tributos!$B$5*SUM(BG28)</f>
        <v>243.71812981096278</v>
      </c>
      <c r="BH36" s="13">
        <f>Tributos!$B$5*SUM(BH28)</f>
        <v>243.71812981096278</v>
      </c>
      <c r="BI36" s="13">
        <f>Tributos!$B$5*SUM(BI28)</f>
        <v>243.71812981096278</v>
      </c>
      <c r="BJ36" s="13">
        <f>Tributos!$B$5*SUM(BJ28)</f>
        <v>243.71812981096278</v>
      </c>
      <c r="BK36" s="13">
        <f>Tributos!$B$5*SUM(BK28)</f>
        <v>243.71812981096278</v>
      </c>
      <c r="BL36" s="13">
        <f>Tributos!$B$5*SUM(BL28)</f>
        <v>243.71812981096278</v>
      </c>
      <c r="BM36" s="13">
        <f>Tributos!$B$5*SUM(BM28)</f>
        <v>243.71812981096278</v>
      </c>
      <c r="BN36" s="13">
        <f>Tributos!$B$5*SUM(BN28)</f>
        <v>243.71812981096278</v>
      </c>
      <c r="BO36" s="13">
        <f>Tributos!$B$5*SUM(BO28)</f>
        <v>243.71812981096278</v>
      </c>
      <c r="BP36" s="13">
        <f>Tributos!$B$5*SUM(BP28)</f>
        <v>243.71812981096278</v>
      </c>
      <c r="BQ36" s="13">
        <f>Tributos!$B$5*SUM(BQ28)</f>
        <v>243.71812981096278</v>
      </c>
      <c r="BR36" s="13">
        <f>Tributos!$B$5*SUM(BR28)</f>
        <v>243.71812981096278</v>
      </c>
      <c r="BS36" s="13">
        <f>Tributos!$B$5*SUM(BS28)</f>
        <v>251.02967370529169</v>
      </c>
      <c r="BT36" s="13">
        <f>Tributos!$B$5*SUM(BT28)</f>
        <v>251.02967370529169</v>
      </c>
      <c r="BU36" s="13">
        <f>Tributos!$B$5*SUM(BU28)</f>
        <v>251.02967370529169</v>
      </c>
      <c r="BV36" s="13">
        <f>Tributos!$B$5*SUM(BV28)</f>
        <v>251.02967370529169</v>
      </c>
      <c r="BW36" s="13">
        <f>Tributos!$B$5*SUM(BW28)</f>
        <v>251.02967370529169</v>
      </c>
      <c r="BX36" s="13">
        <f>Tributos!$B$5*SUM(BX28)</f>
        <v>251.02967370529169</v>
      </c>
      <c r="BY36" s="13">
        <f>Tributos!$B$5*SUM(BY28)</f>
        <v>251.02967370529169</v>
      </c>
      <c r="BZ36" s="13">
        <f>Tributos!$B$5*SUM(BZ28)</f>
        <v>251.02967370529169</v>
      </c>
      <c r="CA36" s="13">
        <f>Tributos!$B$5*SUM(CA28)</f>
        <v>251.02967370529169</v>
      </c>
      <c r="CB36" s="13">
        <f>Tributos!$B$5*SUM(CB28)</f>
        <v>251.02967370529169</v>
      </c>
      <c r="CC36" s="13">
        <f>Tributos!$B$5*SUM(CC28)</f>
        <v>251.02967370529169</v>
      </c>
      <c r="CD36" s="13">
        <f>Tributos!$B$5*SUM(CD28)</f>
        <v>251.02967370529169</v>
      </c>
      <c r="CE36" s="13">
        <f>Tributos!$B$5*SUM(CE28)</f>
        <v>0</v>
      </c>
      <c r="CF36" s="13">
        <f>Tributos!$B$5*SUM(CF28)</f>
        <v>0</v>
      </c>
    </row>
    <row r="37" spans="6:84" x14ac:dyDescent="0.25">
      <c r="F37" s="17">
        <f t="shared" si="83"/>
        <v>28</v>
      </c>
    </row>
    <row r="38" spans="6:84" x14ac:dyDescent="0.25">
      <c r="F38" s="17">
        <f t="shared" si="83"/>
        <v>29</v>
      </c>
      <c r="G38" s="160" t="s">
        <v>109</v>
      </c>
    </row>
    <row r="39" spans="6:84" x14ac:dyDescent="0.25">
      <c r="F39" s="17">
        <f t="shared" si="83"/>
        <v>30</v>
      </c>
      <c r="G39" s="31" t="s">
        <v>110</v>
      </c>
    </row>
    <row r="40" spans="6:84" x14ac:dyDescent="0.25">
      <c r="F40" s="17">
        <f t="shared" si="83"/>
        <v>31</v>
      </c>
      <c r="G40" s="12"/>
      <c r="H40" s="25">
        <f t="shared" ref="H40:AS40" si="93">SUM(H28)-H36</f>
        <v>0</v>
      </c>
      <c r="I40" s="25">
        <f t="shared" si="93"/>
        <v>0</v>
      </c>
      <c r="J40" s="25">
        <f t="shared" si="93"/>
        <v>0</v>
      </c>
      <c r="K40" s="25">
        <f t="shared" si="93"/>
        <v>5716.0733429583961</v>
      </c>
      <c r="L40" s="25">
        <f t="shared" si="93"/>
        <v>5716.0733429583961</v>
      </c>
      <c r="M40" s="25">
        <f t="shared" si="93"/>
        <v>5716.0733429583961</v>
      </c>
      <c r="N40" s="25">
        <f t="shared" si="93"/>
        <v>5716.0733429583961</v>
      </c>
      <c r="O40" s="25">
        <f t="shared" si="93"/>
        <v>5716.0733429583961</v>
      </c>
      <c r="P40" s="25">
        <f t="shared" si="93"/>
        <v>5716.0733429583961</v>
      </c>
      <c r="Q40" s="25">
        <f t="shared" si="93"/>
        <v>5716.0733429583961</v>
      </c>
      <c r="R40" s="25">
        <f t="shared" si="93"/>
        <v>5716.0733429583961</v>
      </c>
      <c r="S40" s="25">
        <f t="shared" si="93"/>
        <v>5716.0733429583961</v>
      </c>
      <c r="T40" s="25">
        <f t="shared" si="93"/>
        <v>5716.0733429583961</v>
      </c>
      <c r="U40" s="25">
        <f t="shared" si="93"/>
        <v>5716.0733429583961</v>
      </c>
      <c r="V40" s="25">
        <f t="shared" si="93"/>
        <v>5716.0733429583961</v>
      </c>
      <c r="W40" s="25">
        <f t="shared" si="93"/>
        <v>5887.5555432471474</v>
      </c>
      <c r="X40" s="25">
        <f t="shared" si="93"/>
        <v>5887.5555432471474</v>
      </c>
      <c r="Y40" s="25">
        <f t="shared" si="93"/>
        <v>5887.5555432471474</v>
      </c>
      <c r="Z40" s="25">
        <f t="shared" si="93"/>
        <v>5887.5555432471474</v>
      </c>
      <c r="AA40" s="25">
        <f t="shared" si="93"/>
        <v>5887.5555432471474</v>
      </c>
      <c r="AB40" s="25">
        <f t="shared" si="93"/>
        <v>5887.5555432471474</v>
      </c>
      <c r="AC40" s="25">
        <f t="shared" si="93"/>
        <v>5887.5555432471474</v>
      </c>
      <c r="AD40" s="25">
        <f t="shared" si="93"/>
        <v>5887.5555432471474</v>
      </c>
      <c r="AE40" s="25">
        <f t="shared" si="93"/>
        <v>5887.5555432471474</v>
      </c>
      <c r="AF40" s="25">
        <f t="shared" si="93"/>
        <v>5887.5555432471474</v>
      </c>
      <c r="AG40" s="25">
        <f t="shared" si="93"/>
        <v>5887.5555432471474</v>
      </c>
      <c r="AH40" s="25">
        <f t="shared" si="93"/>
        <v>5887.5555432471474</v>
      </c>
      <c r="AI40" s="25">
        <f t="shared" ref="AI40:AN40" si="94">SUM(AI28)-AI36</f>
        <v>6064.1822095445623</v>
      </c>
      <c r="AJ40" s="25">
        <f t="shared" si="94"/>
        <v>6064.1822095445623</v>
      </c>
      <c r="AK40" s="25">
        <f t="shared" si="94"/>
        <v>6064.1822095445623</v>
      </c>
      <c r="AL40" s="25">
        <f t="shared" si="94"/>
        <v>6064.1822095445623</v>
      </c>
      <c r="AM40" s="25">
        <f t="shared" si="94"/>
        <v>6064.1822095445623</v>
      </c>
      <c r="AN40" s="25">
        <f t="shared" si="94"/>
        <v>6064.1822095445623</v>
      </c>
      <c r="AO40" s="25">
        <f t="shared" si="93"/>
        <v>6064.1822095445623</v>
      </c>
      <c r="AP40" s="25">
        <f t="shared" si="93"/>
        <v>6064.1822095445623</v>
      </c>
      <c r="AQ40" s="25">
        <f t="shared" si="93"/>
        <v>6064.1822095445623</v>
      </c>
      <c r="AR40" s="25">
        <f t="shared" si="93"/>
        <v>6064.1822095445623</v>
      </c>
      <c r="AS40" s="25">
        <f t="shared" si="93"/>
        <v>6064.1822095445623</v>
      </c>
      <c r="AT40" s="25">
        <f t="shared" ref="AT40" si="95">SUM(AT28)-AT36</f>
        <v>6064.1822095445623</v>
      </c>
      <c r="AU40" s="25">
        <f t="shared" ref="AU40:AZ40" si="96">SUM(AU28)-AU36</f>
        <v>6246.1076758308991</v>
      </c>
      <c r="AV40" s="25">
        <f t="shared" si="96"/>
        <v>6246.1076758308991</v>
      </c>
      <c r="AW40" s="25">
        <f t="shared" si="96"/>
        <v>6246.1076758308991</v>
      </c>
      <c r="AX40" s="25">
        <f t="shared" si="96"/>
        <v>6246.1076758308991</v>
      </c>
      <c r="AY40" s="25">
        <f t="shared" si="96"/>
        <v>6246.1076758308991</v>
      </c>
      <c r="AZ40" s="25">
        <f t="shared" si="96"/>
        <v>6246.1076758308991</v>
      </c>
      <c r="BA40" s="25">
        <f t="shared" ref="BA40:BF40" si="97">SUM(BA28)-BA36</f>
        <v>6246.1076758308991</v>
      </c>
      <c r="BB40" s="25">
        <f t="shared" si="97"/>
        <v>6246.1076758308991</v>
      </c>
      <c r="BC40" s="25">
        <f t="shared" si="97"/>
        <v>6246.1076758308991</v>
      </c>
      <c r="BD40" s="25">
        <f t="shared" si="97"/>
        <v>6246.1076758308991</v>
      </c>
      <c r="BE40" s="25">
        <f t="shared" si="97"/>
        <v>6246.1076758308991</v>
      </c>
      <c r="BF40" s="25">
        <f t="shared" si="97"/>
        <v>6246.1076758308991</v>
      </c>
      <c r="BG40" s="25">
        <f t="shared" ref="BG40:BL40" si="98">SUM(BG28)-BG36</f>
        <v>6433.4909061058261</v>
      </c>
      <c r="BH40" s="25">
        <f t="shared" si="98"/>
        <v>6433.4909061058261</v>
      </c>
      <c r="BI40" s="25">
        <f t="shared" si="98"/>
        <v>6433.4909061058261</v>
      </c>
      <c r="BJ40" s="25">
        <f t="shared" si="98"/>
        <v>6433.4909061058261</v>
      </c>
      <c r="BK40" s="25">
        <f t="shared" si="98"/>
        <v>6433.4909061058261</v>
      </c>
      <c r="BL40" s="25">
        <f t="shared" si="98"/>
        <v>6433.4909061058261</v>
      </c>
      <c r="BM40" s="25">
        <f t="shared" ref="BM40:CC40" si="99">SUM(BM28)-BM36</f>
        <v>6433.4909061058261</v>
      </c>
      <c r="BN40" s="25">
        <f t="shared" si="99"/>
        <v>6433.4909061058261</v>
      </c>
      <c r="BO40" s="25">
        <f t="shared" si="99"/>
        <v>6433.4909061058261</v>
      </c>
      <c r="BP40" s="25">
        <f t="shared" ref="BP40:BQ40" si="100">SUM(BP28)-BP36</f>
        <v>6433.4909061058261</v>
      </c>
      <c r="BQ40" s="25">
        <f t="shared" si="100"/>
        <v>6433.4909061058261</v>
      </c>
      <c r="BR40" s="25">
        <f t="shared" si="99"/>
        <v>6433.4909061058261</v>
      </c>
      <c r="BS40" s="25">
        <f t="shared" ref="BS40:BT40" si="101">SUM(BS28)-BS36</f>
        <v>6626.4956332890015</v>
      </c>
      <c r="BT40" s="25">
        <f t="shared" si="101"/>
        <v>6626.4956332890015</v>
      </c>
      <c r="BU40" s="25">
        <f t="shared" si="99"/>
        <v>6626.4956332890015</v>
      </c>
      <c r="BV40" s="25">
        <f t="shared" si="99"/>
        <v>6626.4956332890015</v>
      </c>
      <c r="BW40" s="25">
        <f t="shared" si="99"/>
        <v>6626.4956332890015</v>
      </c>
      <c r="BX40" s="25">
        <f t="shared" si="99"/>
        <v>6626.4956332890015</v>
      </c>
      <c r="BY40" s="25">
        <f t="shared" si="99"/>
        <v>6626.4956332890015</v>
      </c>
      <c r="BZ40" s="25">
        <f t="shared" si="99"/>
        <v>6626.4956332890015</v>
      </c>
      <c r="CA40" s="25">
        <f t="shared" si="99"/>
        <v>6626.4956332890015</v>
      </c>
      <c r="CB40" s="25">
        <f t="shared" si="99"/>
        <v>6626.4956332890015</v>
      </c>
      <c r="CC40" s="25">
        <f t="shared" si="99"/>
        <v>6626.4956332890015</v>
      </c>
      <c r="CD40" s="25">
        <f>SUM(CD28)-CD36</f>
        <v>6626.4956332890015</v>
      </c>
      <c r="CE40" s="25">
        <f>SUM(CE28)-CE36</f>
        <v>0</v>
      </c>
      <c r="CF40" s="25">
        <f>SUM(CF28)-CF36</f>
        <v>0</v>
      </c>
    </row>
    <row r="41" spans="6:84" x14ac:dyDescent="0.25">
      <c r="F41" s="17">
        <f t="shared" si="83"/>
        <v>32</v>
      </c>
      <c r="G41" s="31" t="s">
        <v>111</v>
      </c>
    </row>
    <row r="42" spans="6:84" x14ac:dyDescent="0.25">
      <c r="F42" s="17">
        <f t="shared" si="83"/>
        <v>33</v>
      </c>
      <c r="G42" s="12"/>
      <c r="H42" s="25">
        <f>SUM(H31:H32)</f>
        <v>0</v>
      </c>
      <c r="I42" s="25">
        <f t="shared" ref="I42:AS42" si="102">SUM(I31:I32)</f>
        <v>0</v>
      </c>
      <c r="J42" s="25">
        <f t="shared" si="102"/>
        <v>0</v>
      </c>
      <c r="K42" s="25">
        <f t="shared" si="102"/>
        <v>0</v>
      </c>
      <c r="L42" s="25">
        <f t="shared" si="102"/>
        <v>0</v>
      </c>
      <c r="M42" s="25">
        <f t="shared" si="102"/>
        <v>0</v>
      </c>
      <c r="N42" s="25">
        <f t="shared" si="102"/>
        <v>0</v>
      </c>
      <c r="O42" s="25">
        <f t="shared" si="102"/>
        <v>0</v>
      </c>
      <c r="P42" s="25">
        <f t="shared" si="102"/>
        <v>0</v>
      </c>
      <c r="Q42" s="25">
        <f t="shared" si="102"/>
        <v>0</v>
      </c>
      <c r="R42" s="25">
        <f t="shared" si="102"/>
        <v>0</v>
      </c>
      <c r="S42" s="25">
        <f t="shared" si="102"/>
        <v>0</v>
      </c>
      <c r="T42" s="25">
        <f t="shared" si="102"/>
        <v>0</v>
      </c>
      <c r="U42" s="25">
        <f t="shared" si="102"/>
        <v>0</v>
      </c>
      <c r="V42" s="25">
        <f t="shared" si="102"/>
        <v>0</v>
      </c>
      <c r="W42" s="25">
        <f t="shared" si="102"/>
        <v>0</v>
      </c>
      <c r="X42" s="25">
        <f t="shared" si="102"/>
        <v>0</v>
      </c>
      <c r="Y42" s="25">
        <f t="shared" si="102"/>
        <v>0</v>
      </c>
      <c r="Z42" s="25">
        <f t="shared" si="102"/>
        <v>0</v>
      </c>
      <c r="AA42" s="25">
        <f t="shared" si="102"/>
        <v>0</v>
      </c>
      <c r="AB42" s="25">
        <f t="shared" si="102"/>
        <v>0</v>
      </c>
      <c r="AC42" s="25">
        <f t="shared" si="102"/>
        <v>0</v>
      </c>
      <c r="AD42" s="25">
        <f t="shared" si="102"/>
        <v>0</v>
      </c>
      <c r="AE42" s="25">
        <f t="shared" si="102"/>
        <v>0</v>
      </c>
      <c r="AF42" s="25">
        <f t="shared" si="102"/>
        <v>0</v>
      </c>
      <c r="AG42" s="25">
        <f t="shared" si="102"/>
        <v>0</v>
      </c>
      <c r="AH42" s="25">
        <f t="shared" si="102"/>
        <v>0</v>
      </c>
      <c r="AI42" s="25">
        <f t="shared" ref="AI42:AN42" si="103">SUM(AI31:AI32)</f>
        <v>0</v>
      </c>
      <c r="AJ42" s="25">
        <f t="shared" si="103"/>
        <v>0</v>
      </c>
      <c r="AK42" s="25">
        <f t="shared" si="103"/>
        <v>0</v>
      </c>
      <c r="AL42" s="25">
        <f t="shared" si="103"/>
        <v>0</v>
      </c>
      <c r="AM42" s="25">
        <f t="shared" si="103"/>
        <v>0</v>
      </c>
      <c r="AN42" s="25">
        <f t="shared" si="103"/>
        <v>0</v>
      </c>
      <c r="AO42" s="25">
        <f t="shared" si="102"/>
        <v>0</v>
      </c>
      <c r="AP42" s="25">
        <f t="shared" si="102"/>
        <v>0</v>
      </c>
      <c r="AQ42" s="25">
        <f t="shared" si="102"/>
        <v>0</v>
      </c>
      <c r="AR42" s="25">
        <f t="shared" si="102"/>
        <v>0</v>
      </c>
      <c r="AS42" s="25">
        <f t="shared" si="102"/>
        <v>0</v>
      </c>
      <c r="AT42" s="25">
        <f t="shared" ref="AT42:BE42" si="104">SUM(AT31:AT32)</f>
        <v>0</v>
      </c>
      <c r="AU42" s="25">
        <f t="shared" si="104"/>
        <v>0</v>
      </c>
      <c r="AV42" s="25">
        <f t="shared" si="104"/>
        <v>0</v>
      </c>
      <c r="AW42" s="25">
        <f t="shared" si="104"/>
        <v>0</v>
      </c>
      <c r="AX42" s="25">
        <f t="shared" si="104"/>
        <v>0</v>
      </c>
      <c r="AY42" s="25">
        <f t="shared" si="104"/>
        <v>0</v>
      </c>
      <c r="AZ42" s="25">
        <f t="shared" si="104"/>
        <v>0</v>
      </c>
      <c r="BA42" s="25">
        <f t="shared" si="104"/>
        <v>0</v>
      </c>
      <c r="BB42" s="25">
        <f t="shared" si="104"/>
        <v>0</v>
      </c>
      <c r="BC42" s="25">
        <f t="shared" si="104"/>
        <v>0</v>
      </c>
      <c r="BD42" s="25">
        <f t="shared" si="104"/>
        <v>0</v>
      </c>
      <c r="BE42" s="25">
        <f t="shared" si="104"/>
        <v>0</v>
      </c>
      <c r="BF42" s="25">
        <f t="shared" ref="BF42:BV42" si="105">SUM(BF31:BF32)</f>
        <v>0</v>
      </c>
      <c r="BG42" s="25">
        <f t="shared" si="105"/>
        <v>0</v>
      </c>
      <c r="BH42" s="25">
        <f t="shared" si="105"/>
        <v>0</v>
      </c>
      <c r="BI42" s="25">
        <f t="shared" si="105"/>
        <v>0</v>
      </c>
      <c r="BJ42" s="25">
        <f t="shared" si="105"/>
        <v>0</v>
      </c>
      <c r="BK42" s="25">
        <f t="shared" si="105"/>
        <v>0</v>
      </c>
      <c r="BL42" s="25">
        <f t="shared" si="105"/>
        <v>0</v>
      </c>
      <c r="BM42" s="25">
        <f t="shared" si="105"/>
        <v>0</v>
      </c>
      <c r="BN42" s="25">
        <f t="shared" si="105"/>
        <v>0</v>
      </c>
      <c r="BO42" s="25">
        <f t="shared" si="105"/>
        <v>0</v>
      </c>
      <c r="BP42" s="25">
        <f t="shared" ref="BP42:BQ42" si="106">SUM(BP31:BP32)</f>
        <v>0</v>
      </c>
      <c r="BQ42" s="25">
        <f t="shared" si="106"/>
        <v>0</v>
      </c>
      <c r="BR42" s="25">
        <f t="shared" si="105"/>
        <v>0</v>
      </c>
      <c r="BS42" s="25">
        <f t="shared" ref="BS42:BT42" si="107">SUM(BS31:BS32)</f>
        <v>0</v>
      </c>
      <c r="BT42" s="25">
        <f t="shared" si="107"/>
        <v>0</v>
      </c>
      <c r="BU42" s="25">
        <f t="shared" si="105"/>
        <v>0</v>
      </c>
      <c r="BV42" s="25">
        <f t="shared" si="105"/>
        <v>0</v>
      </c>
      <c r="BW42" s="25">
        <f t="shared" ref="BW42:CC42" si="108">SUM(BW31:BW32)</f>
        <v>0</v>
      </c>
      <c r="BX42" s="25">
        <f t="shared" si="108"/>
        <v>0</v>
      </c>
      <c r="BY42" s="25">
        <f t="shared" si="108"/>
        <v>0</v>
      </c>
      <c r="BZ42" s="25">
        <f t="shared" si="108"/>
        <v>0</v>
      </c>
      <c r="CA42" s="25">
        <f t="shared" si="108"/>
        <v>0</v>
      </c>
      <c r="CB42" s="25">
        <f t="shared" si="108"/>
        <v>0</v>
      </c>
      <c r="CC42" s="25">
        <f t="shared" si="108"/>
        <v>0</v>
      </c>
      <c r="CD42" s="25">
        <f>SUM(CD31:CD32)</f>
        <v>0</v>
      </c>
      <c r="CE42" s="25">
        <f>SUM(CE31:CE32)</f>
        <v>0</v>
      </c>
      <c r="CF42" s="25">
        <f>SUM(CF31:CF32)</f>
        <v>57133.226176373893</v>
      </c>
    </row>
    <row r="43" spans="6:84" x14ac:dyDescent="0.25">
      <c r="F43" s="17">
        <f t="shared" si="83"/>
        <v>34</v>
      </c>
    </row>
    <row r="44" spans="6:84" x14ac:dyDescent="0.25">
      <c r="F44" s="17">
        <f t="shared" si="83"/>
        <v>35</v>
      </c>
      <c r="G44" s="32" t="s">
        <v>112</v>
      </c>
    </row>
    <row r="45" spans="6:84" x14ac:dyDescent="0.25">
      <c r="F45" s="17">
        <f t="shared" si="83"/>
        <v>36</v>
      </c>
      <c r="G45" s="27"/>
      <c r="H45" s="27">
        <f>H28-H13-H11</f>
        <v>0</v>
      </c>
      <c r="I45" s="27">
        <f t="shared" ref="I45:AS45" si="109">I28-I13-I11</f>
        <v>-10471.769729720105</v>
      </c>
      <c r="J45" s="27">
        <f t="shared" si="109"/>
        <v>-5832.4197297201054</v>
      </c>
      <c r="K45" s="27">
        <f t="shared" si="109"/>
        <v>100.19401491756526</v>
      </c>
      <c r="L45" s="27">
        <f t="shared" si="109"/>
        <v>100.19401491756526</v>
      </c>
      <c r="M45" s="27">
        <f t="shared" si="109"/>
        <v>100.19401491756526</v>
      </c>
      <c r="N45" s="27">
        <f t="shared" si="109"/>
        <v>100.19401491756526</v>
      </c>
      <c r="O45" s="27">
        <f t="shared" si="109"/>
        <v>100.19401491756526</v>
      </c>
      <c r="P45" s="27">
        <f t="shared" si="109"/>
        <v>100.19401491756526</v>
      </c>
      <c r="Q45" s="27">
        <f t="shared" si="109"/>
        <v>100.19401491756526</v>
      </c>
      <c r="R45" s="27">
        <f t="shared" si="109"/>
        <v>100.19401491756526</v>
      </c>
      <c r="S45" s="27">
        <f t="shared" si="109"/>
        <v>100.19401491756526</v>
      </c>
      <c r="T45" s="27">
        <f t="shared" si="109"/>
        <v>100.19401491756526</v>
      </c>
      <c r="U45" s="27">
        <f t="shared" si="109"/>
        <v>-4639.1559850824351</v>
      </c>
      <c r="V45" s="27">
        <f t="shared" si="109"/>
        <v>100.19401491756526</v>
      </c>
      <c r="W45" s="27">
        <f t="shared" si="109"/>
        <v>278.1724272566953</v>
      </c>
      <c r="X45" s="27">
        <f t="shared" si="109"/>
        <v>278.1724272566953</v>
      </c>
      <c r="Y45" s="27">
        <f t="shared" si="109"/>
        <v>278.1724272566953</v>
      </c>
      <c r="Z45" s="27">
        <f t="shared" si="109"/>
        <v>278.1724272566953</v>
      </c>
      <c r="AA45" s="27">
        <f t="shared" si="109"/>
        <v>278.1724272566953</v>
      </c>
      <c r="AB45" s="27">
        <f t="shared" si="109"/>
        <v>278.1724272566953</v>
      </c>
      <c r="AC45" s="27">
        <f t="shared" si="109"/>
        <v>278.1724272566953</v>
      </c>
      <c r="AD45" s="27">
        <f t="shared" si="109"/>
        <v>278.1724272566953</v>
      </c>
      <c r="AE45" s="27">
        <f t="shared" si="109"/>
        <v>278.1724272566953</v>
      </c>
      <c r="AF45" s="27">
        <f t="shared" si="109"/>
        <v>278.1724272566953</v>
      </c>
      <c r="AG45" s="27">
        <f t="shared" si="109"/>
        <v>-3900.2750727433049</v>
      </c>
      <c r="AH45" s="27">
        <f t="shared" si="109"/>
        <v>278.1724272566953</v>
      </c>
      <c r="AI45" s="27">
        <f t="shared" ref="AI45:AN45" si="110">AI28-AI13-AI11</f>
        <v>461.49019196599966</v>
      </c>
      <c r="AJ45" s="27">
        <f t="shared" si="110"/>
        <v>461.49019196599966</v>
      </c>
      <c r="AK45" s="27">
        <f t="shared" si="110"/>
        <v>461.49019196599966</v>
      </c>
      <c r="AL45" s="27">
        <f t="shared" si="110"/>
        <v>461.49019196599966</v>
      </c>
      <c r="AM45" s="27">
        <f t="shared" si="110"/>
        <v>461.49019196599966</v>
      </c>
      <c r="AN45" s="27">
        <f t="shared" si="110"/>
        <v>461.49019196599966</v>
      </c>
      <c r="AO45" s="27">
        <f t="shared" si="109"/>
        <v>461.49019196599966</v>
      </c>
      <c r="AP45" s="27">
        <f t="shared" si="109"/>
        <v>461.49019196599966</v>
      </c>
      <c r="AQ45" s="27">
        <f t="shared" si="109"/>
        <v>461.49019196599966</v>
      </c>
      <c r="AR45" s="27">
        <f t="shared" si="109"/>
        <v>461.49019196599966</v>
      </c>
      <c r="AS45" s="27">
        <f t="shared" si="109"/>
        <v>-3240.1901830339998</v>
      </c>
      <c r="AT45" s="27">
        <f t="shared" ref="AT45:BE45" si="111">AT28-AT13-AT11</f>
        <v>461.49019196599966</v>
      </c>
      <c r="AU45" s="27">
        <f t="shared" si="111"/>
        <v>650.30748961658264</v>
      </c>
      <c r="AV45" s="27">
        <f t="shared" si="111"/>
        <v>650.30748961658264</v>
      </c>
      <c r="AW45" s="27">
        <f t="shared" si="111"/>
        <v>650.30748961658264</v>
      </c>
      <c r="AX45" s="27">
        <f t="shared" si="111"/>
        <v>650.30748961658264</v>
      </c>
      <c r="AY45" s="27">
        <f t="shared" si="111"/>
        <v>650.30748961658264</v>
      </c>
      <c r="AZ45" s="27">
        <f t="shared" si="111"/>
        <v>650.30748961658264</v>
      </c>
      <c r="BA45" s="27">
        <f t="shared" si="111"/>
        <v>650.30748961658264</v>
      </c>
      <c r="BB45" s="27">
        <f t="shared" si="111"/>
        <v>650.30748961658264</v>
      </c>
      <c r="BC45" s="27">
        <f t="shared" si="111"/>
        <v>650.30748961658264</v>
      </c>
      <c r="BD45" s="27">
        <f t="shared" si="111"/>
        <v>650.30748961658264</v>
      </c>
      <c r="BE45" s="27">
        <f t="shared" si="111"/>
        <v>-2646.1208291334169</v>
      </c>
      <c r="BF45" s="27">
        <f t="shared" ref="BF45:BV45" si="112">BF28-BF13-BF11</f>
        <v>650.30748961658264</v>
      </c>
      <c r="BG45" s="27">
        <f t="shared" si="112"/>
        <v>844.78930619668336</v>
      </c>
      <c r="BH45" s="27">
        <f t="shared" si="112"/>
        <v>844.78930619668336</v>
      </c>
      <c r="BI45" s="27">
        <f t="shared" si="112"/>
        <v>844.78930619668336</v>
      </c>
      <c r="BJ45" s="27">
        <f t="shared" si="112"/>
        <v>844.78930619668336</v>
      </c>
      <c r="BK45" s="27">
        <f t="shared" si="112"/>
        <v>844.78930619668336</v>
      </c>
      <c r="BL45" s="27">
        <f t="shared" si="112"/>
        <v>844.78930619668336</v>
      </c>
      <c r="BM45" s="27">
        <f t="shared" si="112"/>
        <v>844.78930619668336</v>
      </c>
      <c r="BN45" s="27">
        <f t="shared" si="112"/>
        <v>844.78930619668336</v>
      </c>
      <c r="BO45" s="27">
        <f t="shared" si="112"/>
        <v>844.78930619668336</v>
      </c>
      <c r="BP45" s="27">
        <f t="shared" ref="BP45:BQ45" si="113">BP28-BP13-BP11</f>
        <v>844.78930619668336</v>
      </c>
      <c r="BQ45" s="27">
        <f t="shared" si="113"/>
        <v>3625.2449649792889</v>
      </c>
      <c r="BR45" s="27">
        <f t="shared" si="112"/>
        <v>6577.2090359167887</v>
      </c>
      <c r="BS45" s="27">
        <f t="shared" ref="BS45:BT45" si="114">BS28-BS13-BS11</f>
        <v>6777.5253069942928</v>
      </c>
      <c r="BT45" s="27">
        <f t="shared" si="114"/>
        <v>6777.5253069942928</v>
      </c>
      <c r="BU45" s="27">
        <f t="shared" si="112"/>
        <v>6777.5253069942928</v>
      </c>
      <c r="BV45" s="27">
        <f t="shared" si="112"/>
        <v>6777.5253069942928</v>
      </c>
      <c r="BW45" s="27">
        <f t="shared" ref="BW45:CC45" si="115">BW28-BW13-BW11</f>
        <v>6777.5253069942928</v>
      </c>
      <c r="BX45" s="27">
        <f t="shared" si="115"/>
        <v>6777.5253069942928</v>
      </c>
      <c r="BY45" s="27">
        <f t="shared" si="115"/>
        <v>6777.5253069942928</v>
      </c>
      <c r="BZ45" s="27">
        <f t="shared" si="115"/>
        <v>6777.5253069942928</v>
      </c>
      <c r="CA45" s="27">
        <f t="shared" si="115"/>
        <v>6777.5253069942928</v>
      </c>
      <c r="CB45" s="27">
        <f t="shared" si="115"/>
        <v>6777.5253069942928</v>
      </c>
      <c r="CC45" s="27">
        <f t="shared" si="115"/>
        <v>4118.3558466974182</v>
      </c>
      <c r="CD45" s="27">
        <f>CD28-CD13-CD11</f>
        <v>6877.5253069942928</v>
      </c>
      <c r="CE45" s="27">
        <f>CE28-CE13-CE11</f>
        <v>0</v>
      </c>
      <c r="CF45" s="27">
        <f>CF28-CF13-CF11</f>
        <v>0</v>
      </c>
    </row>
    <row r="46" spans="6:84" x14ac:dyDescent="0.25">
      <c r="F46" s="17">
        <f t="shared" si="83"/>
        <v>37</v>
      </c>
    </row>
    <row r="47" spans="6:84" x14ac:dyDescent="0.25">
      <c r="F47" s="17">
        <f t="shared" si="83"/>
        <v>38</v>
      </c>
    </row>
    <row r="48" spans="6:84" x14ac:dyDescent="0.25">
      <c r="F48" s="17">
        <f t="shared" si="83"/>
        <v>39</v>
      </c>
      <c r="G48" s="33" t="s">
        <v>113</v>
      </c>
    </row>
    <row r="49" spans="6:85" x14ac:dyDescent="0.25">
      <c r="F49" s="17">
        <f t="shared" si="83"/>
        <v>40</v>
      </c>
      <c r="G49" s="33" t="s">
        <v>114</v>
      </c>
    </row>
    <row r="50" spans="6:85" x14ac:dyDescent="0.25">
      <c r="F50" s="17">
        <f t="shared" si="83"/>
        <v>41</v>
      </c>
      <c r="G50" s="27" t="s">
        <v>115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284.76545974260819</v>
      </c>
      <c r="L50" s="27">
        <f>Tributos!$B$8*SUM(Cashflow!L28)*32%</f>
        <v>284.76545974260819</v>
      </c>
      <c r="M50" s="27">
        <f>Tributos!$B$8*SUM(Cashflow!M28)*32%</f>
        <v>284.76545974260819</v>
      </c>
      <c r="N50" s="27">
        <f>Tributos!$B$8*SUM(Cashflow!N28)*32%</f>
        <v>284.76545974260819</v>
      </c>
      <c r="O50" s="27">
        <f>Tributos!$B$8*SUM(Cashflow!O28)*32%</f>
        <v>284.76545974260819</v>
      </c>
      <c r="P50" s="27">
        <f>Tributos!$B$8*SUM(Cashflow!P28)*32%</f>
        <v>284.76545974260819</v>
      </c>
      <c r="Q50" s="27">
        <f>Tributos!$B$8*SUM(Cashflow!Q28)*32%</f>
        <v>284.76545974260819</v>
      </c>
      <c r="R50" s="27">
        <f>Tributos!$B$8*SUM(Cashflow!R28)*32%</f>
        <v>284.76545974260819</v>
      </c>
      <c r="S50" s="27">
        <f>Tributos!$B$8*SUM(Cashflow!S28)*32%</f>
        <v>284.76545974260819</v>
      </c>
      <c r="T50" s="27">
        <f>Tributos!$B$8*SUM(Cashflow!T28)*32%</f>
        <v>284.76545974260819</v>
      </c>
      <c r="U50" s="27">
        <f>Tributos!$B$8*SUM(Cashflow!U28)*32%</f>
        <v>284.76545974260819</v>
      </c>
      <c r="V50" s="27">
        <f>Tributos!$B$8*SUM(Cashflow!V28)*32%</f>
        <v>284.76545974260819</v>
      </c>
      <c r="W50" s="27">
        <f>Tributos!$B$8*SUM(Cashflow!W28)*32%</f>
        <v>293.30842353488646</v>
      </c>
      <c r="X50" s="27">
        <f>Tributos!$B$8*SUM(Cashflow!X28)*32%</f>
        <v>293.30842353488646</v>
      </c>
      <c r="Y50" s="27">
        <f>Tributos!$B$8*SUM(Cashflow!Y28)*32%</f>
        <v>293.30842353488646</v>
      </c>
      <c r="Z50" s="27">
        <f>Tributos!$B$8*SUM(Cashflow!Z28)*32%</f>
        <v>293.30842353488646</v>
      </c>
      <c r="AA50" s="27">
        <f>Tributos!$B$8*SUM(Cashflow!AA28)*32%</f>
        <v>293.30842353488646</v>
      </c>
      <c r="AB50" s="27">
        <f>Tributos!$B$8*SUM(Cashflow!AB28)*32%</f>
        <v>293.30842353488646</v>
      </c>
      <c r="AC50" s="27">
        <f>Tributos!$B$8*SUM(Cashflow!AC28)*32%</f>
        <v>293.30842353488646</v>
      </c>
      <c r="AD50" s="27">
        <f>Tributos!$B$8*SUM(Cashflow!AD28)*32%</f>
        <v>293.30842353488646</v>
      </c>
      <c r="AE50" s="27">
        <f>Tributos!$B$8*SUM(Cashflow!AE28)*32%</f>
        <v>293.30842353488646</v>
      </c>
      <c r="AF50" s="27">
        <f>Tributos!$B$8*SUM(Cashflow!AF28)*32%</f>
        <v>293.30842353488646</v>
      </c>
      <c r="AG50" s="27">
        <f>Tributos!$B$8*SUM(Cashflow!AG28)*32%</f>
        <v>293.30842353488646</v>
      </c>
      <c r="AH50" s="27">
        <f>Tributos!$B$8*SUM(Cashflow!AH28)*32%</f>
        <v>293.30842353488646</v>
      </c>
      <c r="AI50" s="27">
        <f>Tributos!$B$8*SUM(Cashflow!AI28)*32%</f>
        <v>302.10767624093302</v>
      </c>
      <c r="AJ50" s="27">
        <f>Tributos!$B$8*SUM(Cashflow!AJ28)*32%</f>
        <v>302.10767624093302</v>
      </c>
      <c r="AK50" s="27">
        <f>Tributos!$B$8*SUM(Cashflow!AK28)*32%</f>
        <v>302.10767624093302</v>
      </c>
      <c r="AL50" s="27">
        <f>Tributos!$B$8*SUM(Cashflow!AL28)*32%</f>
        <v>302.10767624093302</v>
      </c>
      <c r="AM50" s="27">
        <f>Tributos!$B$8*SUM(Cashflow!AM28)*32%</f>
        <v>302.10767624093302</v>
      </c>
      <c r="AN50" s="27">
        <f>Tributos!$B$8*SUM(Cashflow!AN28)*32%</f>
        <v>302.10767624093302</v>
      </c>
      <c r="AO50" s="27">
        <f>Tributos!$B$8*SUM(Cashflow!AO28)*32%</f>
        <v>302.10767624093302</v>
      </c>
      <c r="AP50" s="27">
        <f>Tributos!$B$8*SUM(Cashflow!AP28)*32%</f>
        <v>302.10767624093302</v>
      </c>
      <c r="AQ50" s="27">
        <f>Tributos!$B$8*SUM(Cashflow!AQ28)*32%</f>
        <v>302.10767624093302</v>
      </c>
      <c r="AR50" s="27">
        <f>Tributos!$B$8*SUM(Cashflow!AR28)*32%</f>
        <v>302.10767624093302</v>
      </c>
      <c r="AS50" s="27">
        <f>Tributos!$B$8*SUM(Cashflow!AS28)*32%</f>
        <v>302.10767624093302</v>
      </c>
      <c r="AT50" s="27">
        <f>Tributos!$B$8*SUM(Cashflow!AT28)*32%</f>
        <v>302.10767624093302</v>
      </c>
      <c r="AU50" s="27">
        <f>Tributos!$B$8*SUM(Cashflow!AU28)*32%</f>
        <v>311.17090652816103</v>
      </c>
      <c r="AV50" s="27">
        <f>Tributos!$B$8*SUM(Cashflow!AV28)*32%</f>
        <v>311.17090652816103</v>
      </c>
      <c r="AW50" s="27">
        <f>Tributos!$B$8*SUM(Cashflow!AW28)*32%</f>
        <v>311.17090652816103</v>
      </c>
      <c r="AX50" s="27">
        <f>Tributos!$B$8*SUM(Cashflow!AX28)*32%</f>
        <v>311.17090652816103</v>
      </c>
      <c r="AY50" s="27">
        <f>Tributos!$B$8*SUM(Cashflow!AY28)*32%</f>
        <v>311.17090652816103</v>
      </c>
      <c r="AZ50" s="27">
        <f>Tributos!$B$8*SUM(Cashflow!AZ28)*32%</f>
        <v>311.17090652816103</v>
      </c>
      <c r="BA50" s="27">
        <f>Tributos!$B$8*SUM(Cashflow!BA28)*32%</f>
        <v>311.17090652816103</v>
      </c>
      <c r="BB50" s="27">
        <f>Tributos!$B$8*SUM(Cashflow!BB28)*32%</f>
        <v>311.17090652816103</v>
      </c>
      <c r="BC50" s="27">
        <f>Tributos!$B$8*SUM(Cashflow!BC28)*32%</f>
        <v>311.17090652816103</v>
      </c>
      <c r="BD50" s="27">
        <f>Tributos!$B$8*SUM(Cashflow!BD28)*32%</f>
        <v>311.17090652816103</v>
      </c>
      <c r="BE50" s="27">
        <f>Tributos!$B$8*SUM(Cashflow!BE28)*32%</f>
        <v>311.17090652816103</v>
      </c>
      <c r="BF50" s="27">
        <f>Tributos!$B$8*SUM(Cashflow!BF28)*32%</f>
        <v>311.17090652816103</v>
      </c>
      <c r="BG50" s="27">
        <f>Tributos!$B$8*SUM(Cashflow!BG28)*32%</f>
        <v>320.50603372400582</v>
      </c>
      <c r="BH50" s="27">
        <f>Tributos!$B$8*SUM(Cashflow!BH28)*32%</f>
        <v>320.50603372400582</v>
      </c>
      <c r="BI50" s="27">
        <f>Tributos!$B$8*SUM(Cashflow!BI28)*32%</f>
        <v>320.50603372400582</v>
      </c>
      <c r="BJ50" s="27">
        <f>Tributos!$B$8*SUM(Cashflow!BJ28)*32%</f>
        <v>320.50603372400582</v>
      </c>
      <c r="BK50" s="27">
        <f>Tributos!$B$8*SUM(Cashflow!BK28)*32%</f>
        <v>320.50603372400582</v>
      </c>
      <c r="BL50" s="27">
        <f>Tributos!$B$8*SUM(Cashflow!BL28)*32%</f>
        <v>320.50603372400582</v>
      </c>
      <c r="BM50" s="27">
        <f>Tributos!$B$8*SUM(Cashflow!BM28)*32%</f>
        <v>320.50603372400582</v>
      </c>
      <c r="BN50" s="27">
        <f>Tributos!$B$8*SUM(Cashflow!BN28)*32%</f>
        <v>320.50603372400582</v>
      </c>
      <c r="BO50" s="27">
        <f>Tributos!$B$8*SUM(Cashflow!BO28)*32%</f>
        <v>320.50603372400582</v>
      </c>
      <c r="BP50" s="27">
        <f>Tributos!$B$8*SUM(Cashflow!BP28)*32%</f>
        <v>320.50603372400582</v>
      </c>
      <c r="BQ50" s="27">
        <f>Tributos!$B$8*SUM(Cashflow!BQ28)*32%</f>
        <v>320.50603372400582</v>
      </c>
      <c r="BR50" s="27">
        <f>Tributos!$B$8*SUM(Cashflow!BR28)*32%</f>
        <v>320.50603372400582</v>
      </c>
      <c r="BS50" s="27">
        <f>Tributos!$B$8*SUM(Cashflow!BS28)*32%</f>
        <v>330.12121473572603</v>
      </c>
      <c r="BT50" s="27">
        <f>Tributos!$B$8*SUM(Cashflow!BT28)*32%</f>
        <v>330.12121473572603</v>
      </c>
      <c r="BU50" s="27">
        <f>Tributos!$B$8*SUM(Cashflow!BU28)*32%</f>
        <v>330.12121473572603</v>
      </c>
      <c r="BV50" s="27">
        <f>Tributos!$B$8*SUM(Cashflow!BV28)*32%</f>
        <v>330.12121473572603</v>
      </c>
      <c r="BW50" s="27">
        <f>Tributos!$B$8*SUM(Cashflow!BW28)*32%</f>
        <v>330.12121473572603</v>
      </c>
      <c r="BX50" s="27">
        <f>Tributos!$B$8*SUM(Cashflow!BX28)*32%</f>
        <v>330.12121473572603</v>
      </c>
      <c r="BY50" s="27">
        <f>Tributos!$B$8*SUM(Cashflow!BY28)*32%</f>
        <v>330.12121473572603</v>
      </c>
      <c r="BZ50" s="27">
        <f>Tributos!$B$8*SUM(Cashflow!BZ28)*32%</f>
        <v>330.12121473572603</v>
      </c>
      <c r="CA50" s="27">
        <f>Tributos!$B$8*SUM(Cashflow!CA28)*32%</f>
        <v>330.12121473572603</v>
      </c>
      <c r="CB50" s="27">
        <f>Tributos!$B$8*SUM(Cashflow!CB28)*32%</f>
        <v>330.12121473572603</v>
      </c>
      <c r="CC50" s="27">
        <f>Tributos!$B$8*SUM(Cashflow!CC28)*32%</f>
        <v>330.12121473572603</v>
      </c>
      <c r="CD50" s="27">
        <f>Tributos!$B$8*SUM(Cashflow!CD28)*32%</f>
        <v>330.12121473572603</v>
      </c>
      <c r="CE50" s="27">
        <f>Tributos!$B$8*SUM(Cashflow!CE28)*32%</f>
        <v>0</v>
      </c>
      <c r="CF50" s="27">
        <f>Tributos!$B$8*SUM(Cashflow!CF28)*32%</f>
        <v>0</v>
      </c>
    </row>
    <row r="51" spans="6:85" x14ac:dyDescent="0.25">
      <c r="F51" s="17">
        <f t="shared" si="83"/>
        <v>42</v>
      </c>
      <c r="G51" s="27" t="s">
        <v>116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170.85927584556492</v>
      </c>
      <c r="L51" s="27">
        <f>Tributos!$B$9*SUM(Cashflow!L28)*32%</f>
        <v>170.85927584556492</v>
      </c>
      <c r="M51" s="27">
        <f>Tributos!$B$9*SUM(Cashflow!M28)*32%</f>
        <v>170.85927584556492</v>
      </c>
      <c r="N51" s="27">
        <f>Tributos!$B$9*SUM(Cashflow!N28)*32%</f>
        <v>170.85927584556492</v>
      </c>
      <c r="O51" s="27">
        <f>Tributos!$B$9*SUM(Cashflow!O28)*32%</f>
        <v>170.85927584556492</v>
      </c>
      <c r="P51" s="27">
        <f>Tributos!$B$9*SUM(Cashflow!P28)*32%</f>
        <v>170.85927584556492</v>
      </c>
      <c r="Q51" s="27">
        <f>Tributos!$B$9*SUM(Cashflow!Q28)*32%</f>
        <v>170.85927584556492</v>
      </c>
      <c r="R51" s="27">
        <f>Tributos!$B$9*SUM(Cashflow!R28)*32%</f>
        <v>170.85927584556492</v>
      </c>
      <c r="S51" s="27">
        <f>Tributos!$B$9*SUM(Cashflow!S28)*32%</f>
        <v>170.85927584556492</v>
      </c>
      <c r="T51" s="27">
        <f>Tributos!$B$9*SUM(Cashflow!T28)*32%</f>
        <v>170.85927584556492</v>
      </c>
      <c r="U51" s="27">
        <f>Tributos!$B$9*SUM(Cashflow!U28)*32%</f>
        <v>170.85927584556492</v>
      </c>
      <c r="V51" s="27">
        <f>Tributos!$B$9*SUM(Cashflow!V28)*32%</f>
        <v>170.85927584556492</v>
      </c>
      <c r="W51" s="27">
        <f>Tributos!$B$9*SUM(Cashflow!W28)*32%</f>
        <v>175.98505412093186</v>
      </c>
      <c r="X51" s="27">
        <f>Tributos!$B$9*SUM(Cashflow!X28)*32%</f>
        <v>175.98505412093186</v>
      </c>
      <c r="Y51" s="27">
        <f>Tributos!$B$9*SUM(Cashflow!Y28)*32%</f>
        <v>175.98505412093186</v>
      </c>
      <c r="Z51" s="27">
        <f>Tributos!$B$9*SUM(Cashflow!Z28)*32%</f>
        <v>175.98505412093186</v>
      </c>
      <c r="AA51" s="27">
        <f>Tributos!$B$9*SUM(Cashflow!AA28)*32%</f>
        <v>175.98505412093186</v>
      </c>
      <c r="AB51" s="27">
        <f>Tributos!$B$9*SUM(Cashflow!AB28)*32%</f>
        <v>175.98505412093186</v>
      </c>
      <c r="AC51" s="27">
        <f>Tributos!$B$9*SUM(Cashflow!AC28)*32%</f>
        <v>175.98505412093186</v>
      </c>
      <c r="AD51" s="27">
        <f>Tributos!$B$9*SUM(Cashflow!AD28)*32%</f>
        <v>175.98505412093186</v>
      </c>
      <c r="AE51" s="27">
        <f>Tributos!$B$9*SUM(Cashflow!AE28)*32%</f>
        <v>175.98505412093186</v>
      </c>
      <c r="AF51" s="27">
        <f>Tributos!$B$9*SUM(Cashflow!AF28)*32%</f>
        <v>175.98505412093186</v>
      </c>
      <c r="AG51" s="27">
        <f>Tributos!$B$9*SUM(Cashflow!AG28)*32%</f>
        <v>175.98505412093186</v>
      </c>
      <c r="AH51" s="27">
        <f>Tributos!$B$9*SUM(Cashflow!AH28)*32%</f>
        <v>175.98505412093186</v>
      </c>
      <c r="AI51" s="27">
        <f>Tributos!$B$9*SUM(Cashflow!AI28)*32%</f>
        <v>181.26460574455982</v>
      </c>
      <c r="AJ51" s="27">
        <f>Tributos!$B$9*SUM(Cashflow!AJ28)*32%</f>
        <v>181.26460574455982</v>
      </c>
      <c r="AK51" s="27">
        <f>Tributos!$B$9*SUM(Cashflow!AK28)*32%</f>
        <v>181.26460574455982</v>
      </c>
      <c r="AL51" s="27">
        <f>Tributos!$B$9*SUM(Cashflow!AL28)*32%</f>
        <v>181.26460574455982</v>
      </c>
      <c r="AM51" s="27">
        <f>Tributos!$B$9*SUM(Cashflow!AM28)*32%</f>
        <v>181.26460574455982</v>
      </c>
      <c r="AN51" s="27">
        <f>Tributos!$B$9*SUM(Cashflow!AN28)*32%</f>
        <v>181.26460574455982</v>
      </c>
      <c r="AO51" s="27">
        <f>Tributos!$B$9*SUM(Cashflow!AO28)*32%</f>
        <v>181.26460574455982</v>
      </c>
      <c r="AP51" s="27">
        <f>Tributos!$B$9*SUM(Cashflow!AP28)*32%</f>
        <v>181.26460574455982</v>
      </c>
      <c r="AQ51" s="27">
        <f>Tributos!$B$9*SUM(Cashflow!AQ28)*32%</f>
        <v>181.26460574455982</v>
      </c>
      <c r="AR51" s="27">
        <f>Tributos!$B$9*SUM(Cashflow!AR28)*32%</f>
        <v>181.26460574455982</v>
      </c>
      <c r="AS51" s="27">
        <f>Tributos!$B$9*SUM(Cashflow!AS28)*32%</f>
        <v>181.26460574455982</v>
      </c>
      <c r="AT51" s="27">
        <f>Tributos!$B$9*SUM(Cashflow!AT28)*32%</f>
        <v>181.26460574455982</v>
      </c>
      <c r="AU51" s="27">
        <f>Tributos!$B$9*SUM(Cashflow!AU28)*32%</f>
        <v>186.70254391689662</v>
      </c>
      <c r="AV51" s="27">
        <f>Tributos!$B$9*SUM(Cashflow!AV28)*32%</f>
        <v>186.70254391689662</v>
      </c>
      <c r="AW51" s="27">
        <f>Tributos!$B$9*SUM(Cashflow!AW28)*32%</f>
        <v>186.70254391689662</v>
      </c>
      <c r="AX51" s="27">
        <f>Tributos!$B$9*SUM(Cashflow!AX28)*32%</f>
        <v>186.70254391689662</v>
      </c>
      <c r="AY51" s="27">
        <f>Tributos!$B$9*SUM(Cashflow!AY28)*32%</f>
        <v>186.70254391689662</v>
      </c>
      <c r="AZ51" s="27">
        <f>Tributos!$B$9*SUM(Cashflow!AZ28)*32%</f>
        <v>186.70254391689662</v>
      </c>
      <c r="BA51" s="27">
        <f>Tributos!$B$9*SUM(Cashflow!BA28)*32%</f>
        <v>186.70254391689662</v>
      </c>
      <c r="BB51" s="27">
        <f>Tributos!$B$9*SUM(Cashflow!BB28)*32%</f>
        <v>186.70254391689662</v>
      </c>
      <c r="BC51" s="27">
        <f>Tributos!$B$9*SUM(Cashflow!BC28)*32%</f>
        <v>186.70254391689662</v>
      </c>
      <c r="BD51" s="27">
        <f>Tributos!$B$9*SUM(Cashflow!BD28)*32%</f>
        <v>186.70254391689662</v>
      </c>
      <c r="BE51" s="27">
        <f>Tributos!$B$9*SUM(Cashflow!BE28)*32%</f>
        <v>186.70254391689662</v>
      </c>
      <c r="BF51" s="27">
        <f>Tributos!$B$9*SUM(Cashflow!BF28)*32%</f>
        <v>186.70254391689662</v>
      </c>
      <c r="BG51" s="27">
        <f>Tributos!$B$9*SUM(Cashflow!BG28)*32%</f>
        <v>192.3036202344035</v>
      </c>
      <c r="BH51" s="27">
        <f>Tributos!$B$9*SUM(Cashflow!BH28)*32%</f>
        <v>192.3036202344035</v>
      </c>
      <c r="BI51" s="27">
        <f>Tributos!$B$9*SUM(Cashflow!BI28)*32%</f>
        <v>192.3036202344035</v>
      </c>
      <c r="BJ51" s="27">
        <f>Tributos!$B$9*SUM(Cashflow!BJ28)*32%</f>
        <v>192.3036202344035</v>
      </c>
      <c r="BK51" s="27">
        <f>Tributos!$B$9*SUM(Cashflow!BK28)*32%</f>
        <v>192.3036202344035</v>
      </c>
      <c r="BL51" s="27">
        <f>Tributos!$B$9*SUM(Cashflow!BL28)*32%</f>
        <v>192.3036202344035</v>
      </c>
      <c r="BM51" s="27">
        <f>Tributos!$B$9*SUM(Cashflow!BM28)*32%</f>
        <v>192.3036202344035</v>
      </c>
      <c r="BN51" s="27">
        <f>Tributos!$B$9*SUM(Cashflow!BN28)*32%</f>
        <v>192.3036202344035</v>
      </c>
      <c r="BO51" s="27">
        <f>Tributos!$B$9*SUM(Cashflow!BO28)*32%</f>
        <v>192.3036202344035</v>
      </c>
      <c r="BP51" s="27">
        <f>Tributos!$B$9*SUM(Cashflow!BP28)*32%</f>
        <v>192.3036202344035</v>
      </c>
      <c r="BQ51" s="27">
        <f>Tributos!$B$9*SUM(Cashflow!BQ28)*32%</f>
        <v>192.3036202344035</v>
      </c>
      <c r="BR51" s="27">
        <f>Tributos!$B$9*SUM(Cashflow!BR28)*32%</f>
        <v>192.3036202344035</v>
      </c>
      <c r="BS51" s="27">
        <f>Tributos!$B$9*SUM(Cashflow!BS28)*32%</f>
        <v>198.07272884143563</v>
      </c>
      <c r="BT51" s="27">
        <f>Tributos!$B$9*SUM(Cashflow!BT28)*32%</f>
        <v>198.07272884143563</v>
      </c>
      <c r="BU51" s="27">
        <f>Tributos!$B$9*SUM(Cashflow!BU28)*32%</f>
        <v>198.07272884143563</v>
      </c>
      <c r="BV51" s="27">
        <f>Tributos!$B$9*SUM(Cashflow!BV28)*32%</f>
        <v>198.07272884143563</v>
      </c>
      <c r="BW51" s="27">
        <f>Tributos!$B$9*SUM(Cashflow!BW28)*32%</f>
        <v>198.07272884143563</v>
      </c>
      <c r="BX51" s="27">
        <f>Tributos!$B$9*SUM(Cashflow!BX28)*32%</f>
        <v>198.07272884143563</v>
      </c>
      <c r="BY51" s="27">
        <f>Tributos!$B$9*SUM(Cashflow!BY28)*32%</f>
        <v>198.07272884143563</v>
      </c>
      <c r="BZ51" s="27">
        <f>Tributos!$B$9*SUM(Cashflow!BZ28)*32%</f>
        <v>198.07272884143563</v>
      </c>
      <c r="CA51" s="27">
        <f>Tributos!$B$9*SUM(Cashflow!CA28)*32%</f>
        <v>198.07272884143563</v>
      </c>
      <c r="CB51" s="27">
        <f>Tributos!$B$9*SUM(Cashflow!CB28)*32%</f>
        <v>198.07272884143563</v>
      </c>
      <c r="CC51" s="27">
        <f>Tributos!$B$9*SUM(Cashflow!CC28)*32%</f>
        <v>198.07272884143563</v>
      </c>
      <c r="CD51" s="27">
        <f>Tributos!$B$9*SUM(Cashflow!CD28)*32%</f>
        <v>198.07272884143563</v>
      </c>
      <c r="CE51" s="27">
        <f>Tributos!$B$9*SUM(Cashflow!CE28)*32%</f>
        <v>0</v>
      </c>
      <c r="CF51" s="27">
        <f>Tributos!$B$9*SUM(Cashflow!CF28)*32%</f>
        <v>0</v>
      </c>
    </row>
    <row r="52" spans="6:85" x14ac:dyDescent="0.25">
      <c r="F52" s="17">
        <f t="shared" si="83"/>
        <v>43</v>
      </c>
      <c r="G52" s="33" t="s">
        <v>117</v>
      </c>
    </row>
    <row r="53" spans="6:85" x14ac:dyDescent="0.25">
      <c r="F53" s="17">
        <f t="shared" si="83"/>
        <v>44</v>
      </c>
      <c r="G53" s="27" t="s">
        <v>118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0</v>
      </c>
      <c r="BL53" s="27">
        <v>0</v>
      </c>
      <c r="BM53" s="27">
        <v>0</v>
      </c>
      <c r="BN53" s="27">
        <v>0</v>
      </c>
      <c r="BO53" s="27">
        <v>0</v>
      </c>
      <c r="BP53" s="27">
        <v>0</v>
      </c>
      <c r="BQ53" s="27">
        <v>0</v>
      </c>
      <c r="BR53" s="27">
        <v>0</v>
      </c>
      <c r="BS53" s="27">
        <v>0</v>
      </c>
      <c r="BT53" s="27">
        <v>0</v>
      </c>
      <c r="BU53" s="27">
        <v>0</v>
      </c>
      <c r="BV53" s="27">
        <v>0</v>
      </c>
      <c r="BW53" s="27">
        <v>0</v>
      </c>
      <c r="BX53" s="27">
        <v>0</v>
      </c>
      <c r="BY53" s="27">
        <v>0</v>
      </c>
      <c r="BZ53" s="27">
        <v>0</v>
      </c>
      <c r="CA53" s="27">
        <v>0</v>
      </c>
      <c r="CB53" s="27">
        <v>0</v>
      </c>
      <c r="CC53" s="27">
        <v>0</v>
      </c>
      <c r="CD53" s="27">
        <v>0</v>
      </c>
      <c r="CE53" s="27">
        <v>0</v>
      </c>
      <c r="CF53" s="196"/>
    </row>
    <row r="54" spans="6:85" x14ac:dyDescent="0.25">
      <c r="F54" s="17">
        <f t="shared" si="83"/>
        <v>45</v>
      </c>
      <c r="G54" s="27" t="s">
        <v>119</v>
      </c>
      <c r="H54" s="27">
        <f>H28*3.2%</f>
        <v>0</v>
      </c>
      <c r="I54" s="27">
        <f t="shared" ref="I54:AS54" si="116">I28*3.2%</f>
        <v>0</v>
      </c>
      <c r="J54" s="27">
        <f t="shared" si="116"/>
        <v>0</v>
      </c>
      <c r="K54" s="27">
        <f t="shared" si="116"/>
        <v>189.84363982840546</v>
      </c>
      <c r="L54" s="27">
        <f t="shared" si="116"/>
        <v>189.84363982840546</v>
      </c>
      <c r="M54" s="27">
        <f t="shared" si="116"/>
        <v>189.84363982840546</v>
      </c>
      <c r="N54" s="27">
        <f t="shared" si="116"/>
        <v>189.84363982840546</v>
      </c>
      <c r="O54" s="27">
        <f t="shared" si="116"/>
        <v>189.84363982840546</v>
      </c>
      <c r="P54" s="27">
        <f t="shared" si="116"/>
        <v>189.84363982840546</v>
      </c>
      <c r="Q54" s="27">
        <f t="shared" si="116"/>
        <v>189.84363982840546</v>
      </c>
      <c r="R54" s="27">
        <f t="shared" si="116"/>
        <v>189.84363982840546</v>
      </c>
      <c r="S54" s="27">
        <f t="shared" si="116"/>
        <v>189.84363982840546</v>
      </c>
      <c r="T54" s="27">
        <f t="shared" si="116"/>
        <v>189.84363982840546</v>
      </c>
      <c r="U54" s="27">
        <f t="shared" si="116"/>
        <v>189.84363982840546</v>
      </c>
      <c r="V54" s="27">
        <f t="shared" si="116"/>
        <v>189.84363982840546</v>
      </c>
      <c r="W54" s="27">
        <f t="shared" si="116"/>
        <v>195.53894902325763</v>
      </c>
      <c r="X54" s="27">
        <f t="shared" si="116"/>
        <v>195.53894902325763</v>
      </c>
      <c r="Y54" s="27">
        <f t="shared" si="116"/>
        <v>195.53894902325763</v>
      </c>
      <c r="Z54" s="27">
        <f t="shared" si="116"/>
        <v>195.53894902325763</v>
      </c>
      <c r="AA54" s="27">
        <f t="shared" si="116"/>
        <v>195.53894902325763</v>
      </c>
      <c r="AB54" s="27">
        <f t="shared" si="116"/>
        <v>195.53894902325763</v>
      </c>
      <c r="AC54" s="27">
        <f t="shared" si="116"/>
        <v>195.53894902325763</v>
      </c>
      <c r="AD54" s="27">
        <f t="shared" si="116"/>
        <v>195.53894902325763</v>
      </c>
      <c r="AE54" s="27">
        <f t="shared" si="116"/>
        <v>195.53894902325763</v>
      </c>
      <c r="AF54" s="27">
        <f t="shared" si="116"/>
        <v>195.53894902325763</v>
      </c>
      <c r="AG54" s="27">
        <f t="shared" si="116"/>
        <v>195.53894902325763</v>
      </c>
      <c r="AH54" s="27">
        <f t="shared" si="116"/>
        <v>195.53894902325763</v>
      </c>
      <c r="AI54" s="27">
        <f t="shared" si="116"/>
        <v>201.40511749395537</v>
      </c>
      <c r="AJ54" s="27">
        <f t="shared" si="116"/>
        <v>201.40511749395537</v>
      </c>
      <c r="AK54" s="27">
        <f t="shared" si="116"/>
        <v>201.40511749395537</v>
      </c>
      <c r="AL54" s="27">
        <f t="shared" si="116"/>
        <v>201.40511749395537</v>
      </c>
      <c r="AM54" s="27">
        <f t="shared" si="116"/>
        <v>201.40511749395537</v>
      </c>
      <c r="AN54" s="27">
        <f t="shared" si="116"/>
        <v>201.40511749395537</v>
      </c>
      <c r="AO54" s="27">
        <f t="shared" si="116"/>
        <v>201.40511749395537</v>
      </c>
      <c r="AP54" s="27">
        <f t="shared" si="116"/>
        <v>201.40511749395537</v>
      </c>
      <c r="AQ54" s="27">
        <f t="shared" si="116"/>
        <v>201.40511749395537</v>
      </c>
      <c r="AR54" s="27">
        <f t="shared" si="116"/>
        <v>201.40511749395537</v>
      </c>
      <c r="AS54" s="27">
        <f t="shared" si="116"/>
        <v>201.40511749395537</v>
      </c>
      <c r="AT54" s="27">
        <f t="shared" ref="AT54:BE54" si="117">AT28*3.2%</f>
        <v>201.40511749395537</v>
      </c>
      <c r="AU54" s="27">
        <f t="shared" si="117"/>
        <v>207.44727101877402</v>
      </c>
      <c r="AV54" s="27">
        <f t="shared" si="117"/>
        <v>207.44727101877402</v>
      </c>
      <c r="AW54" s="27">
        <f t="shared" si="117"/>
        <v>207.44727101877402</v>
      </c>
      <c r="AX54" s="27">
        <f t="shared" si="117"/>
        <v>207.44727101877402</v>
      </c>
      <c r="AY54" s="27">
        <f t="shared" si="117"/>
        <v>207.44727101877402</v>
      </c>
      <c r="AZ54" s="27">
        <f t="shared" si="117"/>
        <v>207.44727101877402</v>
      </c>
      <c r="BA54" s="27">
        <f t="shared" si="117"/>
        <v>207.44727101877402</v>
      </c>
      <c r="BB54" s="27">
        <f t="shared" si="117"/>
        <v>207.44727101877402</v>
      </c>
      <c r="BC54" s="27">
        <f t="shared" si="117"/>
        <v>207.44727101877402</v>
      </c>
      <c r="BD54" s="27">
        <f t="shared" si="117"/>
        <v>207.44727101877402</v>
      </c>
      <c r="BE54" s="27">
        <f t="shared" si="117"/>
        <v>207.44727101877402</v>
      </c>
      <c r="BF54" s="27">
        <f t="shared" ref="BF54:BV54" si="118">BF28*3.2%</f>
        <v>207.44727101877402</v>
      </c>
      <c r="BG54" s="27">
        <f t="shared" si="118"/>
        <v>213.67068914933725</v>
      </c>
      <c r="BH54" s="27">
        <f t="shared" si="118"/>
        <v>213.67068914933725</v>
      </c>
      <c r="BI54" s="27">
        <f t="shared" si="118"/>
        <v>213.67068914933725</v>
      </c>
      <c r="BJ54" s="27">
        <f t="shared" si="118"/>
        <v>213.67068914933725</v>
      </c>
      <c r="BK54" s="27">
        <f t="shared" si="118"/>
        <v>213.67068914933725</v>
      </c>
      <c r="BL54" s="27">
        <f t="shared" si="118"/>
        <v>213.67068914933725</v>
      </c>
      <c r="BM54" s="27">
        <f t="shared" si="118"/>
        <v>213.67068914933725</v>
      </c>
      <c r="BN54" s="27">
        <f t="shared" si="118"/>
        <v>213.67068914933725</v>
      </c>
      <c r="BO54" s="27">
        <f t="shared" si="118"/>
        <v>213.67068914933725</v>
      </c>
      <c r="BP54" s="27">
        <f t="shared" ref="BP54:BQ54" si="119">BP28*3.2%</f>
        <v>213.67068914933725</v>
      </c>
      <c r="BQ54" s="27">
        <f t="shared" si="119"/>
        <v>213.67068914933725</v>
      </c>
      <c r="BR54" s="27">
        <f t="shared" si="118"/>
        <v>213.67068914933725</v>
      </c>
      <c r="BS54" s="27">
        <f t="shared" ref="BS54:BT54" si="120">BS28*3.2%</f>
        <v>220.08080982381736</v>
      </c>
      <c r="BT54" s="27">
        <f t="shared" si="120"/>
        <v>220.08080982381736</v>
      </c>
      <c r="BU54" s="27">
        <f t="shared" si="118"/>
        <v>220.08080982381736</v>
      </c>
      <c r="BV54" s="27">
        <f t="shared" si="118"/>
        <v>220.08080982381736</v>
      </c>
      <c r="BW54" s="27">
        <f t="shared" ref="BW54:CC54" si="121">BW28*3.2%</f>
        <v>220.08080982381736</v>
      </c>
      <c r="BX54" s="27">
        <f t="shared" si="121"/>
        <v>220.08080982381736</v>
      </c>
      <c r="BY54" s="27">
        <f t="shared" si="121"/>
        <v>220.08080982381736</v>
      </c>
      <c r="BZ54" s="27">
        <f t="shared" si="121"/>
        <v>220.08080982381736</v>
      </c>
      <c r="CA54" s="27">
        <f t="shared" si="121"/>
        <v>220.08080982381736</v>
      </c>
      <c r="CB54" s="27">
        <f t="shared" si="121"/>
        <v>220.08080982381736</v>
      </c>
      <c r="CC54" s="27">
        <f t="shared" si="121"/>
        <v>220.08080982381736</v>
      </c>
      <c r="CD54" s="27">
        <f>CD28*3.2%</f>
        <v>220.08080982381736</v>
      </c>
      <c r="CE54" s="27">
        <f>CE28*3.2%</f>
        <v>0</v>
      </c>
      <c r="CF54" s="196"/>
    </row>
    <row r="55" spans="6:85" x14ac:dyDescent="0.25">
      <c r="F55" s="17"/>
      <c r="G55" s="27" t="s">
        <v>108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0</v>
      </c>
      <c r="BL55" s="27">
        <v>0</v>
      </c>
      <c r="BM55" s="27">
        <v>0</v>
      </c>
      <c r="BN55" s="27">
        <v>0</v>
      </c>
      <c r="BO55" s="27">
        <v>0</v>
      </c>
      <c r="BP55" s="27">
        <v>0</v>
      </c>
      <c r="BQ55" s="27">
        <v>0</v>
      </c>
      <c r="BR55" s="27">
        <v>0</v>
      </c>
      <c r="BS55" s="27">
        <v>0</v>
      </c>
      <c r="BT55" s="27">
        <v>0</v>
      </c>
      <c r="BU55" s="27">
        <v>0</v>
      </c>
      <c r="BV55" s="27">
        <v>0</v>
      </c>
      <c r="BW55" s="27">
        <v>0</v>
      </c>
      <c r="BX55" s="27">
        <v>0</v>
      </c>
      <c r="BY55" s="27">
        <v>0</v>
      </c>
      <c r="BZ55" s="27">
        <v>0</v>
      </c>
      <c r="CA55" s="27">
        <v>0</v>
      </c>
      <c r="CB55" s="27">
        <v>0</v>
      </c>
      <c r="CC55" s="27">
        <v>0</v>
      </c>
      <c r="CD55" s="27">
        <v>0</v>
      </c>
      <c r="CE55" s="27">
        <v>0</v>
      </c>
      <c r="CF55" s="196"/>
    </row>
    <row r="56" spans="6:85" x14ac:dyDescent="0.25">
      <c r="F56" s="17">
        <f>F54+1</f>
        <v>46</v>
      </c>
      <c r="G56" s="27" t="s">
        <v>120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0</v>
      </c>
      <c r="BT56" s="27">
        <v>0</v>
      </c>
      <c r="BU56" s="27">
        <v>0</v>
      </c>
      <c r="BV56" s="27">
        <v>0</v>
      </c>
      <c r="BW56" s="27">
        <v>0</v>
      </c>
      <c r="BX56" s="27">
        <v>0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0</v>
      </c>
      <c r="CF56" s="196"/>
    </row>
    <row r="57" spans="6:85" x14ac:dyDescent="0.25">
      <c r="F57" s="17">
        <f>F56+1</f>
        <v>47</v>
      </c>
    </row>
    <row r="58" spans="6:85" x14ac:dyDescent="0.25">
      <c r="F58" s="17">
        <f t="shared" si="83"/>
        <v>48</v>
      </c>
      <c r="G58" s="165" t="s">
        <v>121</v>
      </c>
    </row>
    <row r="59" spans="6:85" x14ac:dyDescent="0.25">
      <c r="F59" s="17">
        <f t="shared" si="83"/>
        <v>49</v>
      </c>
      <c r="G59" s="27" t="s">
        <v>122</v>
      </c>
      <c r="H59" s="27">
        <f>H45-H50-H51-H54</f>
        <v>0</v>
      </c>
      <c r="I59" s="27">
        <f t="shared" ref="I59:AS59" si="122">I45-I50-I51-I54</f>
        <v>-10471.769729720105</v>
      </c>
      <c r="J59" s="27">
        <f t="shared" si="122"/>
        <v>-5832.4197297201054</v>
      </c>
      <c r="K59" s="27">
        <f t="shared" si="122"/>
        <v>-545.27436049901326</v>
      </c>
      <c r="L59" s="27">
        <f t="shared" si="122"/>
        <v>-545.27436049901326</v>
      </c>
      <c r="M59" s="27">
        <f t="shared" si="122"/>
        <v>-545.27436049901326</v>
      </c>
      <c r="N59" s="27">
        <f t="shared" si="122"/>
        <v>-545.27436049901326</v>
      </c>
      <c r="O59" s="27">
        <f t="shared" si="122"/>
        <v>-545.27436049901326</v>
      </c>
      <c r="P59" s="27">
        <f t="shared" si="122"/>
        <v>-545.27436049901326</v>
      </c>
      <c r="Q59" s="27">
        <f t="shared" si="122"/>
        <v>-545.27436049901326</v>
      </c>
      <c r="R59" s="27">
        <f t="shared" si="122"/>
        <v>-545.27436049901326</v>
      </c>
      <c r="S59" s="27">
        <f t="shared" si="122"/>
        <v>-545.27436049901326</v>
      </c>
      <c r="T59" s="27">
        <f t="shared" si="122"/>
        <v>-545.27436049901326</v>
      </c>
      <c r="U59" s="27">
        <f t="shared" si="122"/>
        <v>-5284.6243604990141</v>
      </c>
      <c r="V59" s="27">
        <f t="shared" si="122"/>
        <v>-545.27436049901326</v>
      </c>
      <c r="W59" s="27">
        <f t="shared" si="122"/>
        <v>-386.65999942238068</v>
      </c>
      <c r="X59" s="27">
        <f t="shared" si="122"/>
        <v>-386.65999942238068</v>
      </c>
      <c r="Y59" s="27">
        <f t="shared" si="122"/>
        <v>-386.65999942238068</v>
      </c>
      <c r="Z59" s="27">
        <f t="shared" si="122"/>
        <v>-386.65999942238068</v>
      </c>
      <c r="AA59" s="27">
        <f t="shared" si="122"/>
        <v>-386.65999942238068</v>
      </c>
      <c r="AB59" s="27">
        <f t="shared" si="122"/>
        <v>-386.65999942238068</v>
      </c>
      <c r="AC59" s="27">
        <f t="shared" si="122"/>
        <v>-386.65999942238068</v>
      </c>
      <c r="AD59" s="27">
        <f t="shared" si="122"/>
        <v>-386.65999942238068</v>
      </c>
      <c r="AE59" s="27">
        <f t="shared" si="122"/>
        <v>-386.65999942238068</v>
      </c>
      <c r="AF59" s="27">
        <f t="shared" si="122"/>
        <v>-386.65999942238068</v>
      </c>
      <c r="AG59" s="27">
        <f t="shared" si="122"/>
        <v>-4565.10749942238</v>
      </c>
      <c r="AH59" s="27">
        <f t="shared" si="122"/>
        <v>-386.65999942238068</v>
      </c>
      <c r="AI59" s="27">
        <f t="shared" si="122"/>
        <v>-223.28720751344855</v>
      </c>
      <c r="AJ59" s="27">
        <f t="shared" si="122"/>
        <v>-223.28720751344855</v>
      </c>
      <c r="AK59" s="27">
        <f t="shared" si="122"/>
        <v>-223.28720751344855</v>
      </c>
      <c r="AL59" s="27">
        <f t="shared" si="122"/>
        <v>-223.28720751344855</v>
      </c>
      <c r="AM59" s="27">
        <f t="shared" si="122"/>
        <v>-223.28720751344855</v>
      </c>
      <c r="AN59" s="27">
        <f t="shared" si="122"/>
        <v>-223.28720751344855</v>
      </c>
      <c r="AO59" s="27">
        <f t="shared" si="122"/>
        <v>-223.28720751344855</v>
      </c>
      <c r="AP59" s="27">
        <f t="shared" si="122"/>
        <v>-223.28720751344855</v>
      </c>
      <c r="AQ59" s="27">
        <f t="shared" si="122"/>
        <v>-223.28720751344855</v>
      </c>
      <c r="AR59" s="27">
        <f t="shared" si="122"/>
        <v>-223.28720751344855</v>
      </c>
      <c r="AS59" s="27">
        <f t="shared" si="122"/>
        <v>-3924.9675825134482</v>
      </c>
      <c r="AT59" s="27">
        <f t="shared" ref="AT59:BE59" si="123">AT45-AT50-AT51-AT54</f>
        <v>-223.28720751344855</v>
      </c>
      <c r="AU59" s="27">
        <f t="shared" si="123"/>
        <v>-55.013231847249017</v>
      </c>
      <c r="AV59" s="27">
        <f t="shared" si="123"/>
        <v>-55.013231847249017</v>
      </c>
      <c r="AW59" s="27">
        <f t="shared" si="123"/>
        <v>-55.013231847249017</v>
      </c>
      <c r="AX59" s="27">
        <f t="shared" si="123"/>
        <v>-55.013231847249017</v>
      </c>
      <c r="AY59" s="27">
        <f t="shared" si="123"/>
        <v>-55.013231847249017</v>
      </c>
      <c r="AZ59" s="27">
        <f t="shared" si="123"/>
        <v>-55.013231847249017</v>
      </c>
      <c r="BA59" s="27">
        <f t="shared" si="123"/>
        <v>-55.013231847249017</v>
      </c>
      <c r="BB59" s="27">
        <f t="shared" si="123"/>
        <v>-55.013231847249017</v>
      </c>
      <c r="BC59" s="27">
        <f t="shared" si="123"/>
        <v>-55.013231847249017</v>
      </c>
      <c r="BD59" s="27">
        <f t="shared" si="123"/>
        <v>-55.013231847249017</v>
      </c>
      <c r="BE59" s="27">
        <f t="shared" si="123"/>
        <v>-3351.4415505972484</v>
      </c>
      <c r="BF59" s="27">
        <f t="shared" ref="BF59:BV59" si="124">BF45-BF50-BF51-BF54</f>
        <v>-55.013231847249017</v>
      </c>
      <c r="BG59" s="27">
        <f t="shared" si="124"/>
        <v>118.30896308893671</v>
      </c>
      <c r="BH59" s="27">
        <f t="shared" si="124"/>
        <v>118.30896308893671</v>
      </c>
      <c r="BI59" s="27">
        <f t="shared" si="124"/>
        <v>118.30896308893671</v>
      </c>
      <c r="BJ59" s="27">
        <f t="shared" si="124"/>
        <v>118.30896308893671</v>
      </c>
      <c r="BK59" s="27">
        <f t="shared" si="124"/>
        <v>118.30896308893671</v>
      </c>
      <c r="BL59" s="27">
        <f t="shared" si="124"/>
        <v>118.30896308893671</v>
      </c>
      <c r="BM59" s="27">
        <f t="shared" si="124"/>
        <v>118.30896308893671</v>
      </c>
      <c r="BN59" s="27">
        <f t="shared" si="124"/>
        <v>118.30896308893671</v>
      </c>
      <c r="BO59" s="27">
        <f t="shared" si="124"/>
        <v>118.30896308893671</v>
      </c>
      <c r="BP59" s="27">
        <f t="shared" ref="BP59:BQ59" si="125">BP45-BP50-BP51-BP54</f>
        <v>118.30896308893671</v>
      </c>
      <c r="BQ59" s="27">
        <f t="shared" si="125"/>
        <v>2898.7646218715427</v>
      </c>
      <c r="BR59" s="27">
        <f t="shared" si="124"/>
        <v>5850.7286928090416</v>
      </c>
      <c r="BS59" s="27">
        <f t="shared" ref="BS59:BT59" si="126">BS45-BS50-BS51-BS54</f>
        <v>6029.2505535933133</v>
      </c>
      <c r="BT59" s="27">
        <f t="shared" si="126"/>
        <v>6029.2505535933133</v>
      </c>
      <c r="BU59" s="27">
        <f t="shared" si="124"/>
        <v>6029.2505535933133</v>
      </c>
      <c r="BV59" s="27">
        <f t="shared" si="124"/>
        <v>6029.2505535933133</v>
      </c>
      <c r="BW59" s="27">
        <f t="shared" ref="BW59:CC59" si="127">BW45-BW50-BW51-BW54</f>
        <v>6029.2505535933133</v>
      </c>
      <c r="BX59" s="27">
        <f t="shared" si="127"/>
        <v>6029.2505535933133</v>
      </c>
      <c r="BY59" s="27">
        <f t="shared" si="127"/>
        <v>6029.2505535933133</v>
      </c>
      <c r="BZ59" s="27">
        <f t="shared" si="127"/>
        <v>6029.2505535933133</v>
      </c>
      <c r="CA59" s="27">
        <f t="shared" si="127"/>
        <v>6029.2505535933133</v>
      </c>
      <c r="CB59" s="27">
        <f t="shared" si="127"/>
        <v>6029.2505535933133</v>
      </c>
      <c r="CC59" s="27">
        <f t="shared" si="127"/>
        <v>3370.0810932964396</v>
      </c>
      <c r="CD59" s="27">
        <f>CD45-CD50-CD51-CD54</f>
        <v>6129.2505535933133</v>
      </c>
      <c r="CE59" s="27">
        <f>CE45-CE50-CE51-CE54</f>
        <v>0</v>
      </c>
      <c r="CF59" s="27">
        <f>CF45-CF50-CF51-CF54</f>
        <v>0</v>
      </c>
    </row>
    <row r="60" spans="6:85" x14ac:dyDescent="0.25">
      <c r="F60" s="17">
        <f t="shared" si="83"/>
        <v>50</v>
      </c>
      <c r="G60" s="27" t="s">
        <v>123</v>
      </c>
      <c r="H60" s="27">
        <f t="shared" ref="H60:U60" si="128">H42-H53-H54-H56</f>
        <v>0</v>
      </c>
      <c r="I60" s="27">
        <f t="shared" si="128"/>
        <v>0</v>
      </c>
      <c r="J60" s="27">
        <f t="shared" si="128"/>
        <v>0</v>
      </c>
      <c r="K60" s="27">
        <f t="shared" si="128"/>
        <v>-189.84363982840546</v>
      </c>
      <c r="L60" s="27">
        <f t="shared" si="128"/>
        <v>-189.84363982840546</v>
      </c>
      <c r="M60" s="27">
        <f t="shared" si="128"/>
        <v>-189.84363982840546</v>
      </c>
      <c r="N60" s="27">
        <f t="shared" si="128"/>
        <v>-189.84363982840546</v>
      </c>
      <c r="O60" s="27">
        <f t="shared" si="128"/>
        <v>-189.84363982840546</v>
      </c>
      <c r="P60" s="27">
        <f t="shared" si="128"/>
        <v>-189.84363982840546</v>
      </c>
      <c r="Q60" s="27">
        <f t="shared" si="128"/>
        <v>-189.84363982840546</v>
      </c>
      <c r="R60" s="27">
        <f t="shared" si="128"/>
        <v>-189.84363982840546</v>
      </c>
      <c r="S60" s="27">
        <f t="shared" si="128"/>
        <v>-189.84363982840546</v>
      </c>
      <c r="T60" s="27">
        <f t="shared" si="128"/>
        <v>-189.84363982840546</v>
      </c>
      <c r="U60" s="27">
        <f t="shared" si="128"/>
        <v>-189.84363982840546</v>
      </c>
      <c r="V60" s="27">
        <f t="shared" ref="V60:AS60" si="129">V42-V53-V54-V56</f>
        <v>-189.84363982840546</v>
      </c>
      <c r="W60" s="27">
        <f t="shared" si="129"/>
        <v>-195.53894902325763</v>
      </c>
      <c r="X60" s="27">
        <f t="shared" si="129"/>
        <v>-195.53894902325763</v>
      </c>
      <c r="Y60" s="27">
        <f t="shared" si="129"/>
        <v>-195.53894902325763</v>
      </c>
      <c r="Z60" s="27">
        <f t="shared" si="129"/>
        <v>-195.53894902325763</v>
      </c>
      <c r="AA60" s="27">
        <f t="shared" si="129"/>
        <v>-195.53894902325763</v>
      </c>
      <c r="AB60" s="27">
        <f t="shared" si="129"/>
        <v>-195.53894902325763</v>
      </c>
      <c r="AC60" s="27">
        <f t="shared" si="129"/>
        <v>-195.53894902325763</v>
      </c>
      <c r="AD60" s="27">
        <f t="shared" si="129"/>
        <v>-195.53894902325763</v>
      </c>
      <c r="AE60" s="27">
        <f t="shared" si="129"/>
        <v>-195.53894902325763</v>
      </c>
      <c r="AF60" s="27">
        <f t="shared" si="129"/>
        <v>-195.53894902325763</v>
      </c>
      <c r="AG60" s="27">
        <f t="shared" si="129"/>
        <v>-195.53894902325763</v>
      </c>
      <c r="AH60" s="27">
        <f t="shared" si="129"/>
        <v>-195.53894902325763</v>
      </c>
      <c r="AI60" s="27">
        <f t="shared" ref="AI60:AN60" si="130">AI42-AI53-AI54-AI56</f>
        <v>-201.40511749395537</v>
      </c>
      <c r="AJ60" s="27">
        <f t="shared" si="130"/>
        <v>-201.40511749395537</v>
      </c>
      <c r="AK60" s="27">
        <f t="shared" si="130"/>
        <v>-201.40511749395537</v>
      </c>
      <c r="AL60" s="27">
        <f t="shared" si="130"/>
        <v>-201.40511749395537</v>
      </c>
      <c r="AM60" s="27">
        <f t="shared" si="130"/>
        <v>-201.40511749395537</v>
      </c>
      <c r="AN60" s="27">
        <f t="shared" si="130"/>
        <v>-201.40511749395537</v>
      </c>
      <c r="AO60" s="27">
        <f t="shared" si="129"/>
        <v>-201.40511749395537</v>
      </c>
      <c r="AP60" s="27">
        <f t="shared" si="129"/>
        <v>-201.40511749395537</v>
      </c>
      <c r="AQ60" s="27">
        <f t="shared" si="129"/>
        <v>-201.40511749395537</v>
      </c>
      <c r="AR60" s="27">
        <f t="shared" si="129"/>
        <v>-201.40511749395537</v>
      </c>
      <c r="AS60" s="27">
        <f t="shared" si="129"/>
        <v>-201.40511749395537</v>
      </c>
      <c r="AT60" s="27">
        <f t="shared" ref="AT60:BE60" si="131">AT42-AT53-AT54-AT56</f>
        <v>-201.40511749395537</v>
      </c>
      <c r="AU60" s="27">
        <f t="shared" si="131"/>
        <v>-207.44727101877402</v>
      </c>
      <c r="AV60" s="27">
        <f t="shared" si="131"/>
        <v>-207.44727101877402</v>
      </c>
      <c r="AW60" s="27">
        <f t="shared" si="131"/>
        <v>-207.44727101877402</v>
      </c>
      <c r="AX60" s="27">
        <f t="shared" si="131"/>
        <v>-207.44727101877402</v>
      </c>
      <c r="AY60" s="27">
        <f t="shared" si="131"/>
        <v>-207.44727101877402</v>
      </c>
      <c r="AZ60" s="27">
        <f t="shared" si="131"/>
        <v>-207.44727101877402</v>
      </c>
      <c r="BA60" s="27">
        <f t="shared" si="131"/>
        <v>-207.44727101877402</v>
      </c>
      <c r="BB60" s="27">
        <f t="shared" si="131"/>
        <v>-207.44727101877402</v>
      </c>
      <c r="BC60" s="27">
        <f t="shared" si="131"/>
        <v>-207.44727101877402</v>
      </c>
      <c r="BD60" s="27">
        <f t="shared" si="131"/>
        <v>-207.44727101877402</v>
      </c>
      <c r="BE60" s="27">
        <f t="shared" si="131"/>
        <v>-207.44727101877402</v>
      </c>
      <c r="BF60" s="27">
        <f t="shared" ref="BF60:BV60" si="132">BF42-BF53-BF54-BF56</f>
        <v>-207.44727101877402</v>
      </c>
      <c r="BG60" s="27">
        <f t="shared" si="132"/>
        <v>-213.67068914933725</v>
      </c>
      <c r="BH60" s="27">
        <f t="shared" si="132"/>
        <v>-213.67068914933725</v>
      </c>
      <c r="BI60" s="27">
        <f t="shared" si="132"/>
        <v>-213.67068914933725</v>
      </c>
      <c r="BJ60" s="27">
        <f t="shared" si="132"/>
        <v>-213.67068914933725</v>
      </c>
      <c r="BK60" s="27">
        <f t="shared" si="132"/>
        <v>-213.67068914933725</v>
      </c>
      <c r="BL60" s="27">
        <f t="shared" si="132"/>
        <v>-213.67068914933725</v>
      </c>
      <c r="BM60" s="27">
        <f t="shared" si="132"/>
        <v>-213.67068914933725</v>
      </c>
      <c r="BN60" s="27">
        <f t="shared" si="132"/>
        <v>-213.67068914933725</v>
      </c>
      <c r="BO60" s="27">
        <f t="shared" si="132"/>
        <v>-213.67068914933725</v>
      </c>
      <c r="BP60" s="27">
        <f t="shared" ref="BP60:BQ60" si="133">BP42-BP53-BP54-BP56</f>
        <v>-213.67068914933725</v>
      </c>
      <c r="BQ60" s="27">
        <f t="shared" si="133"/>
        <v>-213.67068914933725</v>
      </c>
      <c r="BR60" s="27">
        <f t="shared" si="132"/>
        <v>-213.67068914933725</v>
      </c>
      <c r="BS60" s="27">
        <f t="shared" ref="BS60:BT60" si="134">BS42-BS53-BS54-BS56</f>
        <v>-220.08080982381736</v>
      </c>
      <c r="BT60" s="27">
        <f t="shared" si="134"/>
        <v>-220.08080982381736</v>
      </c>
      <c r="BU60" s="27">
        <f t="shared" si="132"/>
        <v>-220.08080982381736</v>
      </c>
      <c r="BV60" s="27">
        <f t="shared" si="132"/>
        <v>-220.08080982381736</v>
      </c>
      <c r="BW60" s="27">
        <f t="shared" ref="BW60:CC60" si="135">BW42-BW53-BW54-BW56</f>
        <v>-220.08080982381736</v>
      </c>
      <c r="BX60" s="27">
        <f t="shared" si="135"/>
        <v>-220.08080982381736</v>
      </c>
      <c r="BY60" s="27">
        <f t="shared" si="135"/>
        <v>-220.08080982381736</v>
      </c>
      <c r="BZ60" s="27">
        <f t="shared" si="135"/>
        <v>-220.08080982381736</v>
      </c>
      <c r="CA60" s="27">
        <f t="shared" si="135"/>
        <v>-220.08080982381736</v>
      </c>
      <c r="CB60" s="27">
        <f t="shared" si="135"/>
        <v>-220.08080982381736</v>
      </c>
      <c r="CC60" s="27">
        <f t="shared" si="135"/>
        <v>-220.08080982381736</v>
      </c>
      <c r="CD60" s="27">
        <f>CD42-CD53-CD54-CD56</f>
        <v>-220.08080982381736</v>
      </c>
      <c r="CE60" s="27">
        <f>CE42-CE53-CE54-CE56</f>
        <v>0</v>
      </c>
      <c r="CF60" s="27">
        <f>H96</f>
        <v>57133.226176373893</v>
      </c>
    </row>
    <row r="61" spans="6:85" x14ac:dyDescent="0.25">
      <c r="F61" s="17">
        <f t="shared" si="83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</row>
    <row r="62" spans="6:85" x14ac:dyDescent="0.25">
      <c r="F62" s="17">
        <f t="shared" si="83"/>
        <v>52</v>
      </c>
      <c r="G62" s="32" t="s">
        <v>124</v>
      </c>
    </row>
    <row r="63" spans="6:85" x14ac:dyDescent="0.25">
      <c r="F63" s="17">
        <f t="shared" si="83"/>
        <v>53</v>
      </c>
      <c r="G63" s="27"/>
      <c r="H63" s="27">
        <f t="shared" ref="H63:CE63" si="136">H59+H31+H32</f>
        <v>0</v>
      </c>
      <c r="I63" s="27">
        <f t="shared" si="136"/>
        <v>-10471.769729720105</v>
      </c>
      <c r="J63" s="27">
        <f t="shared" si="136"/>
        <v>-5832.4197297201054</v>
      </c>
      <c r="K63" s="27">
        <f t="shared" si="136"/>
        <v>-545.27436049901326</v>
      </c>
      <c r="L63" s="27">
        <f t="shared" si="136"/>
        <v>-545.27436049901326</v>
      </c>
      <c r="M63" s="27">
        <f t="shared" si="136"/>
        <v>-545.27436049901326</v>
      </c>
      <c r="N63" s="27">
        <f t="shared" si="136"/>
        <v>-545.27436049901326</v>
      </c>
      <c r="O63" s="27">
        <f t="shared" si="136"/>
        <v>-545.27436049901326</v>
      </c>
      <c r="P63" s="27">
        <f t="shared" si="136"/>
        <v>-545.27436049901326</v>
      </c>
      <c r="Q63" s="27">
        <f t="shared" si="136"/>
        <v>-545.27436049901326</v>
      </c>
      <c r="R63" s="27">
        <f t="shared" si="136"/>
        <v>-545.27436049901326</v>
      </c>
      <c r="S63" s="27">
        <f t="shared" si="136"/>
        <v>-545.27436049901326</v>
      </c>
      <c r="T63" s="27">
        <f t="shared" si="136"/>
        <v>-545.27436049901326</v>
      </c>
      <c r="U63" s="27">
        <f t="shared" si="136"/>
        <v>-5284.6243604990141</v>
      </c>
      <c r="V63" s="27">
        <f t="shared" si="136"/>
        <v>-545.27436049901326</v>
      </c>
      <c r="W63" s="27">
        <f t="shared" si="136"/>
        <v>-386.65999942238068</v>
      </c>
      <c r="X63" s="27">
        <f t="shared" si="136"/>
        <v>-386.65999942238068</v>
      </c>
      <c r="Y63" s="27">
        <f t="shared" si="136"/>
        <v>-386.65999942238068</v>
      </c>
      <c r="Z63" s="27">
        <f t="shared" si="136"/>
        <v>-386.65999942238068</v>
      </c>
      <c r="AA63" s="27">
        <f t="shared" si="136"/>
        <v>-386.65999942238068</v>
      </c>
      <c r="AB63" s="27">
        <f t="shared" si="136"/>
        <v>-386.65999942238068</v>
      </c>
      <c r="AC63" s="27">
        <f t="shared" si="136"/>
        <v>-386.65999942238068</v>
      </c>
      <c r="AD63" s="27">
        <f t="shared" si="136"/>
        <v>-386.65999942238068</v>
      </c>
      <c r="AE63" s="27">
        <f t="shared" si="136"/>
        <v>-386.65999942238068</v>
      </c>
      <c r="AF63" s="27">
        <f t="shared" si="136"/>
        <v>-386.65999942238068</v>
      </c>
      <c r="AG63" s="27">
        <f t="shared" si="136"/>
        <v>-4565.10749942238</v>
      </c>
      <c r="AH63" s="27">
        <f t="shared" si="136"/>
        <v>-386.65999942238068</v>
      </c>
      <c r="AI63" s="27">
        <f t="shared" si="136"/>
        <v>-223.28720751344855</v>
      </c>
      <c r="AJ63" s="27">
        <f t="shared" si="136"/>
        <v>-223.28720751344855</v>
      </c>
      <c r="AK63" s="27">
        <f t="shared" si="136"/>
        <v>-223.28720751344855</v>
      </c>
      <c r="AL63" s="27">
        <f t="shared" si="136"/>
        <v>-223.28720751344855</v>
      </c>
      <c r="AM63" s="27">
        <f t="shared" si="136"/>
        <v>-223.28720751344855</v>
      </c>
      <c r="AN63" s="27">
        <f t="shared" si="136"/>
        <v>-223.28720751344855</v>
      </c>
      <c r="AO63" s="27">
        <f t="shared" si="136"/>
        <v>-223.28720751344855</v>
      </c>
      <c r="AP63" s="27">
        <f t="shared" si="136"/>
        <v>-223.28720751344855</v>
      </c>
      <c r="AQ63" s="27">
        <f t="shared" si="136"/>
        <v>-223.28720751344855</v>
      </c>
      <c r="AR63" s="27">
        <f t="shared" si="136"/>
        <v>-223.28720751344855</v>
      </c>
      <c r="AS63" s="27">
        <f t="shared" si="136"/>
        <v>-3924.9675825134482</v>
      </c>
      <c r="AT63" s="27">
        <f t="shared" si="136"/>
        <v>-223.28720751344855</v>
      </c>
      <c r="AU63" s="27">
        <f t="shared" si="136"/>
        <v>-55.013231847249017</v>
      </c>
      <c r="AV63" s="27">
        <f t="shared" si="136"/>
        <v>-55.013231847249017</v>
      </c>
      <c r="AW63" s="27">
        <f t="shared" si="136"/>
        <v>-55.013231847249017</v>
      </c>
      <c r="AX63" s="27">
        <f t="shared" si="136"/>
        <v>-55.013231847249017</v>
      </c>
      <c r="AY63" s="27">
        <f t="shared" si="136"/>
        <v>-55.013231847249017</v>
      </c>
      <c r="AZ63" s="27">
        <f t="shared" si="136"/>
        <v>-55.013231847249017</v>
      </c>
      <c r="BA63" s="27">
        <f t="shared" si="136"/>
        <v>-55.013231847249017</v>
      </c>
      <c r="BB63" s="27">
        <f t="shared" si="136"/>
        <v>-55.013231847249017</v>
      </c>
      <c r="BC63" s="27">
        <f t="shared" si="136"/>
        <v>-55.013231847249017</v>
      </c>
      <c r="BD63" s="27">
        <f t="shared" si="136"/>
        <v>-55.013231847249017</v>
      </c>
      <c r="BE63" s="27">
        <f t="shared" si="136"/>
        <v>-3351.4415505972484</v>
      </c>
      <c r="BF63" s="27">
        <f t="shared" si="136"/>
        <v>-55.013231847249017</v>
      </c>
      <c r="BG63" s="27">
        <f t="shared" si="136"/>
        <v>118.30896308893671</v>
      </c>
      <c r="BH63" s="27">
        <f t="shared" si="136"/>
        <v>118.30896308893671</v>
      </c>
      <c r="BI63" s="27">
        <f t="shared" si="136"/>
        <v>118.30896308893671</v>
      </c>
      <c r="BJ63" s="27">
        <f t="shared" si="136"/>
        <v>118.30896308893671</v>
      </c>
      <c r="BK63" s="27">
        <f t="shared" si="136"/>
        <v>118.30896308893671</v>
      </c>
      <c r="BL63" s="27">
        <f t="shared" si="136"/>
        <v>118.30896308893671</v>
      </c>
      <c r="BM63" s="27">
        <f t="shared" si="136"/>
        <v>118.30896308893671</v>
      </c>
      <c r="BN63" s="27">
        <f t="shared" si="136"/>
        <v>118.30896308893671</v>
      </c>
      <c r="BO63" s="27">
        <f t="shared" si="136"/>
        <v>118.30896308893671</v>
      </c>
      <c r="BP63" s="27">
        <f t="shared" ref="BP63:BQ63" si="137">BP59+BP31+BP32</f>
        <v>118.30896308893671</v>
      </c>
      <c r="BQ63" s="27">
        <f t="shared" si="137"/>
        <v>2898.7646218715427</v>
      </c>
      <c r="BR63" s="27">
        <f t="shared" si="136"/>
        <v>5850.7286928090416</v>
      </c>
      <c r="BS63" s="27">
        <f t="shared" ref="BS63:BT63" si="138">BS59+BS31+BS32</f>
        <v>6029.2505535933133</v>
      </c>
      <c r="BT63" s="27">
        <f t="shared" si="138"/>
        <v>6029.2505535933133</v>
      </c>
      <c r="BU63" s="27">
        <f t="shared" si="136"/>
        <v>6029.2505535933133</v>
      </c>
      <c r="BV63" s="27">
        <f t="shared" si="136"/>
        <v>6029.2505535933133</v>
      </c>
      <c r="BW63" s="27">
        <f t="shared" ref="BW63:CC63" si="139">BW59+BW31+BW32</f>
        <v>6029.2505535933133</v>
      </c>
      <c r="BX63" s="27">
        <f t="shared" si="139"/>
        <v>6029.2505535933133</v>
      </c>
      <c r="BY63" s="27">
        <f t="shared" si="139"/>
        <v>6029.2505535933133</v>
      </c>
      <c r="BZ63" s="27">
        <f t="shared" si="139"/>
        <v>6029.2505535933133</v>
      </c>
      <c r="CA63" s="27">
        <f t="shared" si="139"/>
        <v>6029.2505535933133</v>
      </c>
      <c r="CB63" s="27">
        <f t="shared" si="139"/>
        <v>6029.2505535933133</v>
      </c>
      <c r="CC63" s="27">
        <f t="shared" si="139"/>
        <v>3370.0810932964396</v>
      </c>
      <c r="CD63" s="27">
        <f t="shared" si="136"/>
        <v>6129.2505535933133</v>
      </c>
      <c r="CE63" s="27">
        <f t="shared" si="136"/>
        <v>0</v>
      </c>
      <c r="CF63" s="27">
        <f>CF60</f>
        <v>57133.226176373893</v>
      </c>
      <c r="CG63" s="28">
        <f>SUM(H63:CF63)</f>
        <v>90114.733060191444</v>
      </c>
    </row>
    <row r="64" spans="6:85" x14ac:dyDescent="0.25">
      <c r="F64" s="17">
        <f t="shared" si="83"/>
        <v>54</v>
      </c>
    </row>
    <row r="65" spans="6:13" x14ac:dyDescent="0.25">
      <c r="F65" s="17">
        <f t="shared" si="83"/>
        <v>55</v>
      </c>
    </row>
    <row r="66" spans="6:13" x14ac:dyDescent="0.25">
      <c r="F66" s="17">
        <f t="shared" si="83"/>
        <v>56</v>
      </c>
      <c r="G66" s="16" t="s">
        <v>125</v>
      </c>
      <c r="H66" s="190">
        <v>5932.6137446376706</v>
      </c>
      <c r="I66">
        <f>3300/3150</f>
        <v>1.0476190476190477</v>
      </c>
      <c r="J66">
        <f>3200*I66</f>
        <v>3352.3809523809527</v>
      </c>
    </row>
    <row r="67" spans="6:13" x14ac:dyDescent="0.25">
      <c r="F67" s="17">
        <f t="shared" si="83"/>
        <v>57</v>
      </c>
    </row>
    <row r="68" spans="6:13" x14ac:dyDescent="0.25">
      <c r="F68" s="17">
        <f t="shared" si="83"/>
        <v>58</v>
      </c>
      <c r="G68" s="16" t="s">
        <v>126</v>
      </c>
      <c r="H68" s="46">
        <v>0.25</v>
      </c>
    </row>
    <row r="69" spans="6:13" x14ac:dyDescent="0.25">
      <c r="F69" s="17">
        <f t="shared" si="83"/>
        <v>59</v>
      </c>
      <c r="J69">
        <f>3540/3570</f>
        <v>0.99159663865546221</v>
      </c>
    </row>
    <row r="70" spans="6:13" x14ac:dyDescent="0.25">
      <c r="F70" s="17">
        <f t="shared" si="83"/>
        <v>60</v>
      </c>
      <c r="G70" s="16" t="s">
        <v>127</v>
      </c>
      <c r="H70" s="46">
        <f>(1+H68)^(1/12)-1</f>
        <v>1.8769265121506118E-2</v>
      </c>
      <c r="J70">
        <v>3530</v>
      </c>
    </row>
    <row r="71" spans="6:13" x14ac:dyDescent="0.25">
      <c r="F71" s="17">
        <f t="shared" si="83"/>
        <v>61</v>
      </c>
      <c r="J71">
        <f>3530/3570</f>
        <v>0.98879551820728295</v>
      </c>
    </row>
    <row r="72" spans="6:13" ht="28.5" x14ac:dyDescent="0.45">
      <c r="F72" s="17">
        <f t="shared" si="83"/>
        <v>62</v>
      </c>
      <c r="G72" s="16" t="s">
        <v>128</v>
      </c>
      <c r="H72" s="34">
        <f>NPV(H70,H63:CF63)</f>
        <v>754.74184142126376</v>
      </c>
      <c r="I72" s="227" t="s">
        <v>129</v>
      </c>
      <c r="J72" s="228"/>
      <c r="K72" s="228"/>
      <c r="L72" s="228"/>
      <c r="M72" s="228"/>
    </row>
    <row r="73" spans="6:13" x14ac:dyDescent="0.25">
      <c r="F73" s="17">
        <f t="shared" si="83"/>
        <v>63</v>
      </c>
      <c r="I73" s="226"/>
    </row>
    <row r="74" spans="6:13" x14ac:dyDescent="0.25">
      <c r="F74" s="17">
        <f t="shared" si="83"/>
        <v>64</v>
      </c>
      <c r="G74" s="16" t="s">
        <v>130</v>
      </c>
      <c r="H74" s="204">
        <f>IRR(H63:CF63,0.1)</f>
        <v>1.9139319183128389E-2</v>
      </c>
    </row>
    <row r="75" spans="6:13" x14ac:dyDescent="0.25">
      <c r="F75" s="17">
        <f t="shared" si="83"/>
        <v>65</v>
      </c>
    </row>
    <row r="76" spans="6:13" x14ac:dyDescent="0.25">
      <c r="F76" s="17">
        <f t="shared" si="83"/>
        <v>66</v>
      </c>
      <c r="G76" s="233" t="s">
        <v>131</v>
      </c>
      <c r="H76">
        <v>36</v>
      </c>
      <c r="I76">
        <v>48</v>
      </c>
    </row>
    <row r="77" spans="6:13" x14ac:dyDescent="0.25">
      <c r="F77" s="17">
        <f t="shared" ref="F77" si="140">F76+1</f>
        <v>67</v>
      </c>
      <c r="G77" s="43" t="s">
        <v>132</v>
      </c>
      <c r="H77">
        <v>3950</v>
      </c>
      <c r="I77">
        <v>3570</v>
      </c>
    </row>
    <row r="78" spans="6:13" x14ac:dyDescent="0.25">
      <c r="H78" s="176">
        <v>3570</v>
      </c>
      <c r="I78" s="176">
        <f>H77-H78</f>
        <v>380</v>
      </c>
      <c r="J78" s="176">
        <f>I78*43</f>
        <v>16340</v>
      </c>
    </row>
    <row r="79" spans="6:13" x14ac:dyDescent="0.25">
      <c r="H79" s="26">
        <f>(H78/H77)-1</f>
        <v>-9.6202531645569578E-2</v>
      </c>
      <c r="J79" s="176">
        <f>J78*12</f>
        <v>196080</v>
      </c>
    </row>
    <row r="80" spans="6:13" x14ac:dyDescent="0.25">
      <c r="G80" s="269" t="s">
        <v>133</v>
      </c>
      <c r="H80" s="269"/>
      <c r="J80" s="176">
        <f>J79*3</f>
        <v>588240</v>
      </c>
    </row>
    <row r="81" spans="7:8" x14ac:dyDescent="0.25">
      <c r="G81" t="s">
        <v>134</v>
      </c>
      <c r="H81" s="126">
        <f>SUM(H21:CF21)</f>
        <v>256999.9999999998</v>
      </c>
    </row>
    <row r="82" spans="7:8" x14ac:dyDescent="0.25">
      <c r="G82" s="267" t="s">
        <v>135</v>
      </c>
      <c r="H82" s="268"/>
    </row>
    <row r="83" spans="7:8" x14ac:dyDescent="0.25">
      <c r="G83" s="161" t="s">
        <v>136</v>
      </c>
      <c r="H83" s="162">
        <f>Dados!C32</f>
        <v>257000</v>
      </c>
    </row>
    <row r="84" spans="7:8" x14ac:dyDescent="0.25">
      <c r="G84" s="161" t="s">
        <v>137</v>
      </c>
      <c r="H84" s="162">
        <f>SUM(H21:CJ21)</f>
        <v>256999.9999999998</v>
      </c>
    </row>
    <row r="85" spans="7:8" x14ac:dyDescent="0.25">
      <c r="G85" t="s">
        <v>138</v>
      </c>
      <c r="H85" s="126">
        <f ca="1">IF(H83-H84&lt;0,0,H83-H85)</f>
        <v>0</v>
      </c>
    </row>
    <row r="86" spans="7:8" x14ac:dyDescent="0.25">
      <c r="H86" s="126"/>
    </row>
    <row r="87" spans="7:8" x14ac:dyDescent="0.25">
      <c r="G87" s="161" t="s">
        <v>139</v>
      </c>
      <c r="H87" s="162">
        <f>Dados!C36</f>
        <v>86565.494206627118</v>
      </c>
    </row>
    <row r="88" spans="7:8" x14ac:dyDescent="0.25">
      <c r="H88" s="126"/>
    </row>
    <row r="89" spans="7:8" ht="29.1" customHeight="1" x14ac:dyDescent="0.25">
      <c r="G89" t="s">
        <v>140</v>
      </c>
      <c r="H89" s="126">
        <f>H87</f>
        <v>86565.494206627118</v>
      </c>
    </row>
    <row r="90" spans="7:8" ht="31.5" x14ac:dyDescent="0.25">
      <c r="G90" s="163" t="s">
        <v>141</v>
      </c>
      <c r="H90" s="164">
        <f>H87</f>
        <v>86565.494206627118</v>
      </c>
    </row>
    <row r="91" spans="7:8" x14ac:dyDescent="0.25">
      <c r="G91" s="265" t="s">
        <v>142</v>
      </c>
      <c r="H91" s="266"/>
    </row>
    <row r="92" spans="7:8" x14ac:dyDescent="0.25">
      <c r="G92" s="27" t="s">
        <v>118</v>
      </c>
      <c r="H92" s="202">
        <f>$H$90*15%</f>
        <v>12984.824130994068</v>
      </c>
    </row>
    <row r="93" spans="7:8" x14ac:dyDescent="0.25">
      <c r="G93" s="27" t="s">
        <v>119</v>
      </c>
      <c r="H93" s="202">
        <f>H90*10%</f>
        <v>8656.5494206627118</v>
      </c>
    </row>
    <row r="94" spans="7:8" x14ac:dyDescent="0.25">
      <c r="G94" s="27" t="s">
        <v>120</v>
      </c>
      <c r="H94" s="202">
        <f>H90*9%</f>
        <v>7790.8944785964404</v>
      </c>
    </row>
    <row r="95" spans="7:8" x14ac:dyDescent="0.25">
      <c r="G95" s="203" t="s">
        <v>143</v>
      </c>
      <c r="H95" s="202">
        <f>SUM(H92:H94)</f>
        <v>29432.268030253221</v>
      </c>
    </row>
    <row r="96" spans="7:8" x14ac:dyDescent="0.25">
      <c r="G96" s="203" t="s">
        <v>144</v>
      </c>
      <c r="H96" s="202">
        <f>H87-H95</f>
        <v>57133.226176373893</v>
      </c>
    </row>
  </sheetData>
  <mergeCells count="11">
    <mergeCell ref="G91:H91"/>
    <mergeCell ref="G82:H82"/>
    <mergeCell ref="G80:H80"/>
    <mergeCell ref="AT5:BE5"/>
    <mergeCell ref="BF5:BQ5"/>
    <mergeCell ref="BR5:CC5"/>
    <mergeCell ref="G1:H1"/>
    <mergeCell ref="G5:H5"/>
    <mergeCell ref="J5:U5"/>
    <mergeCell ref="V5:AG5"/>
    <mergeCell ref="AH5:AS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X24" workbookViewId="0">
      <selection activeCell="C41" sqref="C41:BJ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37" t="s">
        <v>145</v>
      </c>
      <c r="B1" s="237"/>
      <c r="C1" s="237"/>
      <c r="D1" s="237"/>
      <c r="E1" s="237"/>
      <c r="F1" s="237"/>
    </row>
    <row r="2" spans="1:34" ht="20.100000000000001" customHeight="1" x14ac:dyDescent="0.25">
      <c r="A2" s="237"/>
      <c r="B2" s="237"/>
      <c r="C2" s="237"/>
      <c r="D2" s="237"/>
      <c r="E2" s="237"/>
      <c r="F2" s="237"/>
    </row>
    <row r="3" spans="1:34" hidden="1" x14ac:dyDescent="0.25">
      <c r="A3" s="238" t="s">
        <v>146</v>
      </c>
      <c r="B3" s="238"/>
      <c r="C3" s="239" t="s">
        <v>147</v>
      </c>
      <c r="D3" s="240">
        <v>12</v>
      </c>
    </row>
    <row r="4" spans="1:34" ht="30.95" hidden="1" customHeight="1" x14ac:dyDescent="0.25">
      <c r="A4" s="238"/>
      <c r="B4" s="238"/>
      <c r="C4" s="239"/>
      <c r="D4" s="240"/>
    </row>
    <row r="5" spans="1:34" ht="30" hidden="1" customHeight="1" x14ac:dyDescent="0.25">
      <c r="A5" s="238"/>
      <c r="B5" s="238"/>
      <c r="C5" s="123" t="s">
        <v>14</v>
      </c>
      <c r="D5" s="124">
        <v>3</v>
      </c>
    </row>
    <row r="6" spans="1:34" ht="44.1" hidden="1" customHeight="1" x14ac:dyDescent="0.25">
      <c r="A6" s="238"/>
      <c r="B6" s="238"/>
      <c r="C6" s="125" t="s">
        <v>148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41" t="s">
        <v>149</v>
      </c>
      <c r="B8" s="24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150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151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43" t="s">
        <v>152</v>
      </c>
      <c r="B15" s="244"/>
      <c r="E15" s="4"/>
      <c r="I15" s="4"/>
      <c r="J15" s="4"/>
      <c r="K15" s="6"/>
      <c r="AH15" s="4"/>
    </row>
    <row r="16" spans="1:34" hidden="1" x14ac:dyDescent="0.25">
      <c r="A16" s="71" t="s">
        <v>153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154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151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155</v>
      </c>
      <c r="B22" s="131" t="s">
        <v>156</v>
      </c>
      <c r="C22" s="131" t="s">
        <v>157</v>
      </c>
      <c r="D22" s="131" t="s">
        <v>158</v>
      </c>
      <c r="E22" s="132" t="s">
        <v>159</v>
      </c>
      <c r="F22" s="132" t="s">
        <v>160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161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162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163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164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165</v>
      </c>
      <c r="B27" s="140">
        <v>0</v>
      </c>
      <c r="C27" s="141" t="s">
        <v>166</v>
      </c>
      <c r="D27" s="141" t="s">
        <v>166</v>
      </c>
      <c r="E27" s="142" t="s">
        <v>166</v>
      </c>
      <c r="F27" s="142" t="s">
        <v>166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167</v>
      </c>
      <c r="B28" s="138">
        <f>Dados!C29</f>
        <v>257000</v>
      </c>
      <c r="C28" s="138"/>
      <c r="D28" s="138"/>
      <c r="E28" s="138"/>
      <c r="F28" s="138"/>
    </row>
    <row r="29" spans="1:34" x14ac:dyDescent="0.25">
      <c r="A29" s="55" t="s">
        <v>168</v>
      </c>
      <c r="B29" s="138">
        <f>Dados!C30</f>
        <v>0</v>
      </c>
      <c r="C29" s="138"/>
      <c r="D29" s="138"/>
      <c r="E29" s="138"/>
      <c r="F29" s="138"/>
    </row>
    <row r="30" spans="1:34" ht="15" customHeight="1" x14ac:dyDescent="0.25">
      <c r="A30" s="238" t="str">
        <f>Dados!A29</f>
        <v>express</v>
      </c>
      <c r="B30" s="238"/>
      <c r="C30" s="246" t="s">
        <v>147</v>
      </c>
      <c r="D30" s="245">
        <f>Dados!C13</f>
        <v>60</v>
      </c>
    </row>
    <row r="31" spans="1:34" ht="32.1" customHeight="1" x14ac:dyDescent="0.25">
      <c r="A31" s="238"/>
      <c r="B31" s="238"/>
      <c r="C31" s="246"/>
      <c r="D31" s="245"/>
    </row>
    <row r="32" spans="1:34" ht="51.95" customHeight="1" x14ac:dyDescent="0.25">
      <c r="A32" s="238"/>
      <c r="B32" s="238"/>
      <c r="C32" s="110" t="s">
        <v>14</v>
      </c>
      <c r="D32" s="109">
        <f>Dados!C9</f>
        <v>2</v>
      </c>
    </row>
    <row r="33" spans="1:65" ht="78.75" x14ac:dyDescent="0.25">
      <c r="A33" s="238"/>
      <c r="B33" s="238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38"/>
      <c r="B34" s="238"/>
      <c r="C34" s="108" t="s">
        <v>148</v>
      </c>
      <c r="D34" s="109">
        <f>Dados!C13+Dados!C9+Dados!C11</f>
        <v>64</v>
      </c>
    </row>
    <row r="35" spans="1:65" ht="24" customHeight="1" thickBot="1" x14ac:dyDescent="0.3"/>
    <row r="36" spans="1:65" x14ac:dyDescent="0.25">
      <c r="A36" s="241" t="s">
        <v>169</v>
      </c>
      <c r="B36" s="242"/>
      <c r="C36" s="5"/>
      <c r="D36" s="5">
        <f>B37/4</f>
        <v>64250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150</v>
      </c>
      <c r="B37" s="8">
        <f>((B28+B29)*B23)-B58-B78</f>
        <v>257000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170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43282</v>
      </c>
      <c r="C39" s="14">
        <f>EDATE(B39,1)</f>
        <v>43313</v>
      </c>
      <c r="D39" s="14">
        <f t="shared" ref="D39:AP39" si="3">EDATE(C39,1)</f>
        <v>43344</v>
      </c>
      <c r="E39" s="14">
        <f t="shared" si="3"/>
        <v>43374</v>
      </c>
      <c r="F39" s="14">
        <f t="shared" si="3"/>
        <v>43405</v>
      </c>
      <c r="G39" s="14">
        <f t="shared" si="3"/>
        <v>43435</v>
      </c>
      <c r="H39" s="14">
        <f t="shared" si="3"/>
        <v>43466</v>
      </c>
      <c r="I39" s="14">
        <f t="shared" si="3"/>
        <v>43497</v>
      </c>
      <c r="J39" s="14">
        <f t="shared" si="3"/>
        <v>43525</v>
      </c>
      <c r="K39" s="14">
        <f t="shared" si="3"/>
        <v>43556</v>
      </c>
      <c r="L39" s="14">
        <f t="shared" si="3"/>
        <v>43586</v>
      </c>
      <c r="M39" s="14">
        <f t="shared" si="3"/>
        <v>43617</v>
      </c>
      <c r="N39" s="14">
        <f t="shared" si="3"/>
        <v>43647</v>
      </c>
      <c r="O39" s="14">
        <f t="shared" si="3"/>
        <v>43678</v>
      </c>
      <c r="P39" s="14">
        <f t="shared" si="3"/>
        <v>43709</v>
      </c>
      <c r="Q39" s="14">
        <f t="shared" si="3"/>
        <v>43739</v>
      </c>
      <c r="R39" s="14">
        <f t="shared" si="3"/>
        <v>43770</v>
      </c>
      <c r="S39" s="14">
        <f t="shared" si="3"/>
        <v>43800</v>
      </c>
      <c r="T39" s="14">
        <f t="shared" si="3"/>
        <v>43831</v>
      </c>
      <c r="U39" s="14">
        <f t="shared" si="3"/>
        <v>43862</v>
      </c>
      <c r="V39" s="14">
        <f t="shared" si="3"/>
        <v>43891</v>
      </c>
      <c r="W39" s="14">
        <f t="shared" si="3"/>
        <v>43922</v>
      </c>
      <c r="X39" s="14">
        <f t="shared" si="3"/>
        <v>43952</v>
      </c>
      <c r="Y39" s="14">
        <f t="shared" si="3"/>
        <v>43983</v>
      </c>
      <c r="Z39" s="14">
        <f t="shared" si="3"/>
        <v>44013</v>
      </c>
      <c r="AA39" s="14">
        <f t="shared" si="3"/>
        <v>44044</v>
      </c>
      <c r="AB39" s="14">
        <f t="shared" si="3"/>
        <v>44075</v>
      </c>
      <c r="AC39" s="14">
        <f t="shared" si="3"/>
        <v>44105</v>
      </c>
      <c r="AD39" s="14">
        <f t="shared" si="3"/>
        <v>44136</v>
      </c>
      <c r="AE39" s="14">
        <f t="shared" si="3"/>
        <v>44166</v>
      </c>
      <c r="AF39" s="14">
        <f t="shared" si="3"/>
        <v>44197</v>
      </c>
      <c r="AG39" s="14">
        <f t="shared" si="3"/>
        <v>44228</v>
      </c>
      <c r="AH39" s="14">
        <f>EDATE(AG39,1)</f>
        <v>44256</v>
      </c>
      <c r="AI39" s="14">
        <f t="shared" si="3"/>
        <v>44287</v>
      </c>
      <c r="AJ39" s="14">
        <f t="shared" si="3"/>
        <v>44317</v>
      </c>
      <c r="AK39" s="14">
        <f t="shared" si="3"/>
        <v>44348</v>
      </c>
      <c r="AL39" s="14">
        <f t="shared" si="3"/>
        <v>44378</v>
      </c>
      <c r="AM39" s="14">
        <f t="shared" si="3"/>
        <v>44409</v>
      </c>
      <c r="AN39" s="14">
        <f t="shared" si="3"/>
        <v>44440</v>
      </c>
      <c r="AO39" s="14">
        <f t="shared" si="3"/>
        <v>44470</v>
      </c>
      <c r="AP39" s="14">
        <f t="shared" si="3"/>
        <v>44501</v>
      </c>
      <c r="AQ39" s="14">
        <f t="shared" ref="AQ39" si="4">EDATE(AP39,1)</f>
        <v>44531</v>
      </c>
      <c r="AR39" s="14">
        <f t="shared" ref="AR39" si="5">EDATE(AQ39,1)</f>
        <v>44562</v>
      </c>
      <c r="AS39" s="14">
        <f t="shared" ref="AS39" si="6">EDATE(AR39,1)</f>
        <v>44593</v>
      </c>
      <c r="AT39" s="14">
        <f t="shared" ref="AT39" si="7">EDATE(AS39,1)</f>
        <v>44621</v>
      </c>
      <c r="AU39" s="14">
        <f t="shared" ref="AU39" si="8">EDATE(AT39,1)</f>
        <v>44652</v>
      </c>
      <c r="AV39" s="14">
        <f t="shared" ref="AV39" si="9">EDATE(AU39,1)</f>
        <v>44682</v>
      </c>
      <c r="AW39" s="14">
        <f t="shared" ref="AW39" si="10">EDATE(AV39,1)</f>
        <v>44713</v>
      </c>
      <c r="AX39" s="14">
        <f t="shared" ref="AX39" si="11">EDATE(AW39,1)</f>
        <v>44743</v>
      </c>
      <c r="AY39" s="14">
        <f t="shared" ref="AY39" si="12">EDATE(AX39,1)</f>
        <v>44774</v>
      </c>
      <c r="AZ39" s="14">
        <f t="shared" ref="AZ39" si="13">EDATE(AY39,1)</f>
        <v>44805</v>
      </c>
      <c r="BA39" s="14">
        <f t="shared" ref="BA39" si="14">EDATE(AZ39,1)</f>
        <v>44835</v>
      </c>
      <c r="BB39" s="212">
        <f t="shared" ref="BB39" si="15">EDATE(BA39,1)</f>
        <v>44866</v>
      </c>
      <c r="BC39" s="14">
        <f t="shared" ref="BC39" si="16">EDATE(BB39,1)</f>
        <v>44896</v>
      </c>
      <c r="BD39" s="14">
        <f t="shared" ref="BD39" si="17">EDATE(BC39,1)</f>
        <v>44927</v>
      </c>
      <c r="BE39" s="14">
        <f t="shared" ref="BE39" si="18">EDATE(BD39,1)</f>
        <v>44958</v>
      </c>
      <c r="BF39" s="14">
        <f t="shared" ref="BF39" si="19">EDATE(BE39,1)</f>
        <v>44986</v>
      </c>
      <c r="BG39" s="14">
        <f t="shared" ref="BG39" si="20">EDATE(BF39,1)</f>
        <v>45017</v>
      </c>
      <c r="BH39" s="14">
        <f t="shared" ref="BH39" si="21">EDATE(BG39,1)</f>
        <v>45047</v>
      </c>
      <c r="BI39" s="14">
        <f t="shared" ref="BI39" si="22">EDATE(BH39,1)</f>
        <v>45078</v>
      </c>
      <c r="BJ39" s="14">
        <f t="shared" ref="BJ39" si="23">EDATE(BI39,1)</f>
        <v>45108</v>
      </c>
      <c r="BK39" s="14">
        <f t="shared" ref="BK39" si="24">EDATE(BJ39,1)</f>
        <v>45139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151</v>
      </c>
      <c r="B41" s="218"/>
      <c r="C41" s="232">
        <f>-PMT($B$38,60,$B$37,,)</f>
        <v>5732.4197297201054</v>
      </c>
      <c r="D41" s="232">
        <f t="shared" ref="D41:BJ41" si="47">-PMT($B$38,60,$B$37,,)</f>
        <v>5732.4197297201054</v>
      </c>
      <c r="E41" s="232">
        <f t="shared" si="47"/>
        <v>5732.4197297201054</v>
      </c>
      <c r="F41" s="232">
        <f t="shared" si="47"/>
        <v>5732.4197297201054</v>
      </c>
      <c r="G41" s="232">
        <f t="shared" si="47"/>
        <v>5732.4197297201054</v>
      </c>
      <c r="H41" s="232">
        <f t="shared" si="47"/>
        <v>5732.4197297201054</v>
      </c>
      <c r="I41" s="232">
        <f t="shared" si="47"/>
        <v>5732.4197297201054</v>
      </c>
      <c r="J41" s="232">
        <f t="shared" si="47"/>
        <v>5732.4197297201054</v>
      </c>
      <c r="K41" s="232">
        <f t="shared" si="47"/>
        <v>5732.4197297201054</v>
      </c>
      <c r="L41" s="232">
        <f t="shared" si="47"/>
        <v>5732.4197297201054</v>
      </c>
      <c r="M41" s="232">
        <f t="shared" si="47"/>
        <v>5732.4197297201054</v>
      </c>
      <c r="N41" s="232">
        <f t="shared" si="47"/>
        <v>5732.4197297201054</v>
      </c>
      <c r="O41" s="232">
        <f t="shared" si="47"/>
        <v>5732.4197297201054</v>
      </c>
      <c r="P41" s="232">
        <f t="shared" si="47"/>
        <v>5732.4197297201054</v>
      </c>
      <c r="Q41" s="232">
        <f t="shared" si="47"/>
        <v>5732.4197297201054</v>
      </c>
      <c r="R41" s="232">
        <f t="shared" si="47"/>
        <v>5732.4197297201054</v>
      </c>
      <c r="S41" s="232">
        <f t="shared" si="47"/>
        <v>5732.4197297201054</v>
      </c>
      <c r="T41" s="232">
        <f t="shared" si="47"/>
        <v>5732.4197297201054</v>
      </c>
      <c r="U41" s="232">
        <f t="shared" si="47"/>
        <v>5732.4197297201054</v>
      </c>
      <c r="V41" s="232">
        <f t="shared" si="47"/>
        <v>5732.4197297201054</v>
      </c>
      <c r="W41" s="232">
        <f t="shared" si="47"/>
        <v>5732.4197297201054</v>
      </c>
      <c r="X41" s="232">
        <f t="shared" si="47"/>
        <v>5732.4197297201054</v>
      </c>
      <c r="Y41" s="232">
        <f t="shared" si="47"/>
        <v>5732.4197297201054</v>
      </c>
      <c r="Z41" s="232">
        <f t="shared" si="47"/>
        <v>5732.4197297201054</v>
      </c>
      <c r="AA41" s="232">
        <f t="shared" si="47"/>
        <v>5732.4197297201054</v>
      </c>
      <c r="AB41" s="232">
        <f t="shared" si="47"/>
        <v>5732.4197297201054</v>
      </c>
      <c r="AC41" s="232">
        <f t="shared" si="47"/>
        <v>5732.4197297201054</v>
      </c>
      <c r="AD41" s="232">
        <f t="shared" si="47"/>
        <v>5732.4197297201054</v>
      </c>
      <c r="AE41" s="232">
        <f t="shared" si="47"/>
        <v>5732.4197297201054</v>
      </c>
      <c r="AF41" s="232">
        <f t="shared" si="47"/>
        <v>5732.4197297201054</v>
      </c>
      <c r="AG41" s="232">
        <f t="shared" si="47"/>
        <v>5732.4197297201054</v>
      </c>
      <c r="AH41" s="232">
        <f t="shared" si="47"/>
        <v>5732.4197297201054</v>
      </c>
      <c r="AI41" s="232">
        <f t="shared" si="47"/>
        <v>5732.4197297201054</v>
      </c>
      <c r="AJ41" s="232">
        <f t="shared" si="47"/>
        <v>5732.4197297201054</v>
      </c>
      <c r="AK41" s="232">
        <f t="shared" si="47"/>
        <v>5732.4197297201054</v>
      </c>
      <c r="AL41" s="232">
        <f t="shared" si="47"/>
        <v>5732.4197297201054</v>
      </c>
      <c r="AM41" s="232">
        <f t="shared" si="47"/>
        <v>5732.4197297201054</v>
      </c>
      <c r="AN41" s="232">
        <f t="shared" si="47"/>
        <v>5732.4197297201054</v>
      </c>
      <c r="AO41" s="232">
        <f t="shared" si="47"/>
        <v>5732.4197297201054</v>
      </c>
      <c r="AP41" s="232">
        <f t="shared" si="47"/>
        <v>5732.4197297201054</v>
      </c>
      <c r="AQ41" s="232">
        <f t="shared" si="47"/>
        <v>5732.4197297201054</v>
      </c>
      <c r="AR41" s="232">
        <f t="shared" si="47"/>
        <v>5732.4197297201054</v>
      </c>
      <c r="AS41" s="232">
        <f t="shared" si="47"/>
        <v>5732.4197297201054</v>
      </c>
      <c r="AT41" s="232">
        <f t="shared" si="47"/>
        <v>5732.4197297201054</v>
      </c>
      <c r="AU41" s="232">
        <f t="shared" si="47"/>
        <v>5732.4197297201054</v>
      </c>
      <c r="AV41" s="232">
        <f t="shared" si="47"/>
        <v>5732.4197297201054</v>
      </c>
      <c r="AW41" s="232">
        <f t="shared" si="47"/>
        <v>5732.4197297201054</v>
      </c>
      <c r="AX41" s="232">
        <f t="shared" si="47"/>
        <v>5732.4197297201054</v>
      </c>
      <c r="AY41" s="232">
        <f t="shared" si="47"/>
        <v>5732.4197297201054</v>
      </c>
      <c r="AZ41" s="232">
        <f t="shared" si="47"/>
        <v>5732.4197297201054</v>
      </c>
      <c r="BA41" s="232">
        <f t="shared" si="47"/>
        <v>5732.4197297201054</v>
      </c>
      <c r="BB41" s="232">
        <f t="shared" si="47"/>
        <v>5732.4197297201054</v>
      </c>
      <c r="BC41" s="232">
        <f t="shared" si="47"/>
        <v>5732.4197297201054</v>
      </c>
      <c r="BD41" s="232">
        <f t="shared" si="47"/>
        <v>5732.4197297201054</v>
      </c>
      <c r="BE41" s="232">
        <f t="shared" si="47"/>
        <v>5732.4197297201054</v>
      </c>
      <c r="BF41" s="232">
        <f t="shared" si="47"/>
        <v>5732.4197297201054</v>
      </c>
      <c r="BG41" s="232">
        <f t="shared" si="47"/>
        <v>5732.4197297201054</v>
      </c>
      <c r="BH41" s="232">
        <f t="shared" si="47"/>
        <v>5732.4197297201054</v>
      </c>
      <c r="BI41" s="232">
        <f t="shared" si="47"/>
        <v>5732.4197297201054</v>
      </c>
      <c r="BJ41" s="232">
        <f t="shared" si="47"/>
        <v>5732.4197297201054</v>
      </c>
      <c r="BK41" s="218"/>
    </row>
    <row r="42" spans="1:65" ht="16.5" thickBot="1" x14ac:dyDescent="0.3">
      <c r="A42" s="5"/>
      <c r="B42" s="4"/>
      <c r="C42" s="4"/>
      <c r="D42" s="4"/>
      <c r="E42" s="4"/>
      <c r="F42" s="21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41" t="s">
        <v>155</v>
      </c>
      <c r="B43" s="24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150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43282</v>
      </c>
      <c r="C46" s="14">
        <f>EDATE(B46,1)</f>
        <v>43313</v>
      </c>
      <c r="D46" s="14">
        <f t="shared" ref="D46" si="48">EDATE(C46,1)</f>
        <v>43344</v>
      </c>
      <c r="E46" s="14">
        <f t="shared" ref="E46" si="49">EDATE(D46,1)</f>
        <v>43374</v>
      </c>
      <c r="F46" s="14">
        <f t="shared" ref="F46" si="50">EDATE(E46,1)</f>
        <v>43405</v>
      </c>
      <c r="G46" s="14">
        <f t="shared" ref="G46" si="51">EDATE(F46,1)</f>
        <v>43435</v>
      </c>
      <c r="H46" s="14">
        <f t="shared" ref="H46" si="52">EDATE(G46,1)</f>
        <v>43466</v>
      </c>
      <c r="I46" s="14">
        <f t="shared" ref="I46" si="53">EDATE(H46,1)</f>
        <v>43497</v>
      </c>
      <c r="J46" s="14">
        <f t="shared" ref="J46" si="54">EDATE(I46,1)</f>
        <v>43525</v>
      </c>
      <c r="K46" s="14">
        <f t="shared" ref="K46" si="55">EDATE(J46,1)</f>
        <v>43556</v>
      </c>
      <c r="L46" s="14">
        <f t="shared" ref="L46" si="56">EDATE(K46,1)</f>
        <v>43586</v>
      </c>
      <c r="M46" s="14">
        <f t="shared" ref="M46" si="57">EDATE(L46,1)</f>
        <v>43617</v>
      </c>
      <c r="N46" s="14">
        <f t="shared" ref="N46" si="58">EDATE(M46,1)</f>
        <v>43647</v>
      </c>
      <c r="O46" s="14">
        <f t="shared" ref="O46" si="59">EDATE(N46,1)</f>
        <v>43678</v>
      </c>
      <c r="P46" s="14">
        <f t="shared" ref="P46" si="60">EDATE(O46,1)</f>
        <v>43709</v>
      </c>
      <c r="Q46" s="14">
        <f t="shared" ref="Q46" si="61">EDATE(P46,1)</f>
        <v>43739</v>
      </c>
      <c r="R46" s="14">
        <f t="shared" ref="R46" si="62">EDATE(Q46,1)</f>
        <v>43770</v>
      </c>
      <c r="S46" s="14">
        <f t="shared" ref="S46" si="63">EDATE(R46,1)</f>
        <v>43800</v>
      </c>
      <c r="T46" s="14">
        <f t="shared" ref="T46" si="64">EDATE(S46,1)</f>
        <v>43831</v>
      </c>
      <c r="U46" s="14">
        <f t="shared" ref="U46" si="65">EDATE(T46,1)</f>
        <v>43862</v>
      </c>
      <c r="V46" s="14">
        <f t="shared" ref="V46" si="66">EDATE(U46,1)</f>
        <v>43891</v>
      </c>
      <c r="W46" s="14">
        <f t="shared" ref="W46" si="67">EDATE(V46,1)</f>
        <v>43922</v>
      </c>
      <c r="X46" s="14">
        <f t="shared" ref="X46" si="68">EDATE(W46,1)</f>
        <v>43952</v>
      </c>
      <c r="Y46" s="14">
        <f t="shared" ref="Y46" si="69">EDATE(X46,1)</f>
        <v>43983</v>
      </c>
      <c r="Z46" s="14">
        <f t="shared" ref="Z46" si="70">EDATE(Y46,1)</f>
        <v>44013</v>
      </c>
      <c r="AA46" s="14">
        <f t="shared" ref="AA46" si="71">EDATE(Z46,1)</f>
        <v>44044</v>
      </c>
      <c r="AB46" s="14">
        <f t="shared" ref="AB46" si="72">EDATE(AA46,1)</f>
        <v>44075</v>
      </c>
      <c r="AC46" s="14">
        <f t="shared" ref="AC46" si="73">EDATE(AB46,1)</f>
        <v>44105</v>
      </c>
      <c r="AD46" s="14">
        <f t="shared" ref="AD46" si="74">EDATE(AC46,1)</f>
        <v>44136</v>
      </c>
      <c r="AE46" s="14">
        <f t="shared" ref="AE46" si="75">EDATE(AD46,1)</f>
        <v>44166</v>
      </c>
      <c r="AF46" s="14">
        <f t="shared" ref="AF46" si="76">EDATE(AE46,1)</f>
        <v>44197</v>
      </c>
      <c r="AG46" s="14">
        <f t="shared" ref="AG46" si="77">EDATE(AF46,1)</f>
        <v>44228</v>
      </c>
      <c r="AH46" s="14">
        <f>EDATE(AG46,1)</f>
        <v>44256</v>
      </c>
      <c r="AI46" s="14">
        <f t="shared" ref="AI46" si="78">EDATE(AH46,1)</f>
        <v>44287</v>
      </c>
      <c r="AJ46" s="14">
        <f t="shared" ref="AJ46" si="79">EDATE(AI46,1)</f>
        <v>44317</v>
      </c>
      <c r="AK46" s="14">
        <f t="shared" ref="AK46" si="80">EDATE(AJ46,1)</f>
        <v>44348</v>
      </c>
      <c r="AL46" s="14">
        <f t="shared" ref="AL46" si="81">EDATE(AK46,1)</f>
        <v>44378</v>
      </c>
      <c r="AM46" s="14">
        <f t="shared" ref="AM46" si="82">EDATE(AL46,1)</f>
        <v>44409</v>
      </c>
      <c r="AN46" s="14">
        <f t="shared" ref="AN46" si="83">EDATE(AM46,1)</f>
        <v>44440</v>
      </c>
      <c r="AO46" s="14">
        <f t="shared" ref="AO46" si="84">EDATE(AN46,1)</f>
        <v>44470</v>
      </c>
      <c r="AP46" s="14">
        <f t="shared" ref="AP46" si="85">EDATE(AO46,1)</f>
        <v>44501</v>
      </c>
      <c r="AQ46" s="14">
        <f t="shared" ref="AQ46" si="86">EDATE(AP46,1)</f>
        <v>44531</v>
      </c>
      <c r="AR46" s="14">
        <f t="shared" ref="AR46" si="87">EDATE(AQ46,1)</f>
        <v>44562</v>
      </c>
      <c r="AS46" s="14">
        <f t="shared" ref="AS46" si="88">EDATE(AR46,1)</f>
        <v>44593</v>
      </c>
      <c r="AT46" s="14">
        <f t="shared" ref="AT46" si="89">EDATE(AS46,1)</f>
        <v>44621</v>
      </c>
      <c r="AU46" s="14">
        <f t="shared" ref="AU46" si="90">EDATE(AT46,1)</f>
        <v>44652</v>
      </c>
      <c r="AV46" s="14">
        <f t="shared" ref="AV46" si="91">EDATE(AU46,1)</f>
        <v>44682</v>
      </c>
      <c r="AW46" s="14">
        <f t="shared" ref="AW46" si="92">EDATE(AV46,1)</f>
        <v>44713</v>
      </c>
      <c r="AX46" s="14">
        <f t="shared" ref="AX46" si="93">EDATE(AW46,1)</f>
        <v>44743</v>
      </c>
      <c r="AY46" s="14">
        <f t="shared" ref="AY46" si="94">EDATE(AX46,1)</f>
        <v>44774</v>
      </c>
      <c r="AZ46" s="14">
        <f t="shared" ref="AZ46" si="95">EDATE(AY46,1)</f>
        <v>44805</v>
      </c>
      <c r="BA46" s="14">
        <f t="shared" ref="BA46" si="96">EDATE(AZ46,1)</f>
        <v>44835</v>
      </c>
      <c r="BB46" s="14">
        <f t="shared" ref="BB46" si="97">EDATE(BA46,1)</f>
        <v>44866</v>
      </c>
      <c r="BC46" s="14">
        <f t="shared" ref="BC46" si="98">EDATE(BB46,1)</f>
        <v>44896</v>
      </c>
      <c r="BD46" s="14">
        <f t="shared" ref="BD46" si="99">EDATE(BC46,1)</f>
        <v>44927</v>
      </c>
      <c r="BE46" s="14">
        <f t="shared" ref="BE46" si="100">EDATE(BD46,1)</f>
        <v>44958</v>
      </c>
      <c r="BF46" s="14">
        <f t="shared" ref="BF46" si="101">EDATE(BE46,1)</f>
        <v>44986</v>
      </c>
      <c r="BG46" s="14">
        <f t="shared" ref="BG46" si="102">EDATE(BF46,1)</f>
        <v>45017</v>
      </c>
      <c r="BH46" s="14">
        <f t="shared" ref="BH46" si="103">EDATE(BG46,1)</f>
        <v>45047</v>
      </c>
      <c r="BI46" s="14">
        <f t="shared" ref="BI46" si="104">EDATE(BH46,1)</f>
        <v>45078</v>
      </c>
      <c r="BJ46" s="14">
        <f t="shared" ref="BJ46" si="105">EDATE(BI46,1)</f>
        <v>45108</v>
      </c>
      <c r="BK46" s="14">
        <f t="shared" ref="BK46" si="106">EDATE(BJ46,1)</f>
        <v>45139</v>
      </c>
      <c r="BL46" s="14">
        <f t="shared" ref="BL46" si="107">EDATE(BK46,1)</f>
        <v>45170</v>
      </c>
      <c r="BM46" s="14">
        <f t="shared" ref="BM46" si="108">EDATE(BL46,1)</f>
        <v>45200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151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41" t="s">
        <v>164</v>
      </c>
      <c r="B50" s="242"/>
      <c r="C50" s="144" t="s">
        <v>171</v>
      </c>
      <c r="D50" s="145" t="s">
        <v>172</v>
      </c>
      <c r="E50" s="82" t="s">
        <v>173</v>
      </c>
      <c r="F50" s="146" t="s">
        <v>174</v>
      </c>
      <c r="G50" s="147" t="s">
        <v>175</v>
      </c>
      <c r="H50" s="147" t="s">
        <v>176</v>
      </c>
      <c r="I50" s="147" t="s">
        <v>177</v>
      </c>
      <c r="J50" s="147" t="s">
        <v>178</v>
      </c>
      <c r="K50" s="147" t="s">
        <v>179</v>
      </c>
      <c r="L50" s="148" t="s">
        <v>180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150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43282</v>
      </c>
      <c r="C53" s="14">
        <f>EDATE(B53,1)</f>
        <v>43313</v>
      </c>
      <c r="D53" s="14">
        <f t="shared" ref="D53:AP53" si="170">EDATE(C53,1)</f>
        <v>43344</v>
      </c>
      <c r="E53" s="14">
        <f t="shared" si="170"/>
        <v>43374</v>
      </c>
      <c r="F53" s="14">
        <f t="shared" si="170"/>
        <v>43405</v>
      </c>
      <c r="G53" s="14">
        <f t="shared" si="170"/>
        <v>43435</v>
      </c>
      <c r="H53" s="14">
        <f t="shared" si="170"/>
        <v>43466</v>
      </c>
      <c r="I53" s="14">
        <f t="shared" si="170"/>
        <v>43497</v>
      </c>
      <c r="J53" s="14">
        <f t="shared" si="170"/>
        <v>43525</v>
      </c>
      <c r="K53" s="14">
        <f t="shared" si="170"/>
        <v>43556</v>
      </c>
      <c r="L53" s="14">
        <f t="shared" si="170"/>
        <v>43586</v>
      </c>
      <c r="M53" s="14">
        <f t="shared" si="170"/>
        <v>43617</v>
      </c>
      <c r="N53" s="14">
        <f t="shared" si="170"/>
        <v>43647</v>
      </c>
      <c r="O53" s="14">
        <f t="shared" si="170"/>
        <v>43678</v>
      </c>
      <c r="P53" s="14">
        <f t="shared" si="170"/>
        <v>43709</v>
      </c>
      <c r="Q53" s="14">
        <f t="shared" si="170"/>
        <v>43739</v>
      </c>
      <c r="R53" s="14">
        <f t="shared" si="170"/>
        <v>43770</v>
      </c>
      <c r="S53" s="14">
        <f t="shared" si="170"/>
        <v>43800</v>
      </c>
      <c r="T53" s="14">
        <f t="shared" si="170"/>
        <v>43831</v>
      </c>
      <c r="U53" s="14">
        <f t="shared" si="170"/>
        <v>43862</v>
      </c>
      <c r="V53" s="14">
        <f t="shared" si="170"/>
        <v>43891</v>
      </c>
      <c r="W53" s="14">
        <f t="shared" si="170"/>
        <v>43922</v>
      </c>
      <c r="X53" s="14">
        <f t="shared" si="170"/>
        <v>43952</v>
      </c>
      <c r="Y53" s="14">
        <f t="shared" si="170"/>
        <v>43983</v>
      </c>
      <c r="Z53" s="14">
        <f t="shared" si="170"/>
        <v>44013</v>
      </c>
      <c r="AA53" s="14">
        <f t="shared" si="170"/>
        <v>44044</v>
      </c>
      <c r="AB53" s="14">
        <f t="shared" si="170"/>
        <v>44075</v>
      </c>
      <c r="AC53" s="14">
        <f t="shared" si="170"/>
        <v>44105</v>
      </c>
      <c r="AD53" s="14">
        <f t="shared" si="170"/>
        <v>44136</v>
      </c>
      <c r="AE53" s="14">
        <f t="shared" si="170"/>
        <v>44166</v>
      </c>
      <c r="AF53" s="14">
        <f t="shared" si="170"/>
        <v>44197</v>
      </c>
      <c r="AG53" s="14">
        <f t="shared" si="170"/>
        <v>44228</v>
      </c>
      <c r="AH53" s="14">
        <f>EDATE(AG53,1)</f>
        <v>44256</v>
      </c>
      <c r="AI53" s="14">
        <f t="shared" si="170"/>
        <v>44287</v>
      </c>
      <c r="AJ53" s="14">
        <f t="shared" si="170"/>
        <v>44317</v>
      </c>
      <c r="AK53" s="14">
        <f t="shared" si="170"/>
        <v>44348</v>
      </c>
      <c r="AL53" s="14">
        <f t="shared" si="170"/>
        <v>44378</v>
      </c>
      <c r="AM53" s="14">
        <f t="shared" si="170"/>
        <v>44409</v>
      </c>
      <c r="AN53" s="14">
        <f t="shared" si="170"/>
        <v>44440</v>
      </c>
      <c r="AO53" s="14">
        <f t="shared" si="170"/>
        <v>44470</v>
      </c>
      <c r="AP53" s="14">
        <f t="shared" si="170"/>
        <v>44501</v>
      </c>
      <c r="AQ53" s="14">
        <f t="shared" ref="AQ53" si="171">EDATE(AP53,1)</f>
        <v>44531</v>
      </c>
      <c r="AR53" s="14">
        <f t="shared" ref="AR53" si="172">EDATE(AQ53,1)</f>
        <v>44562</v>
      </c>
      <c r="AS53" s="14">
        <f t="shared" ref="AS53" si="173">EDATE(AR53,1)</f>
        <v>44593</v>
      </c>
      <c r="AT53" s="14">
        <f t="shared" ref="AT53" si="174">EDATE(AS53,1)</f>
        <v>44621</v>
      </c>
      <c r="AU53" s="14">
        <f t="shared" ref="AU53" si="175">EDATE(AT53,1)</f>
        <v>44652</v>
      </c>
      <c r="AV53" s="14">
        <f t="shared" ref="AV53" si="176">EDATE(AU53,1)</f>
        <v>44682</v>
      </c>
      <c r="AW53" s="14">
        <f t="shared" ref="AW53" si="177">EDATE(AV53,1)</f>
        <v>44713</v>
      </c>
      <c r="AX53" s="14">
        <f t="shared" ref="AX53" si="178">EDATE(AW53,1)</f>
        <v>44743</v>
      </c>
      <c r="AY53" s="14">
        <f t="shared" ref="AY53" si="179">EDATE(AX53,1)</f>
        <v>44774</v>
      </c>
      <c r="AZ53" s="14">
        <f t="shared" ref="AZ53" si="180">EDATE(AY53,1)</f>
        <v>44805</v>
      </c>
      <c r="BA53" s="14">
        <f t="shared" ref="BA53" si="181">EDATE(AZ53,1)</f>
        <v>44835</v>
      </c>
      <c r="BB53" s="14">
        <f t="shared" ref="BB53" si="182">EDATE(BA53,1)</f>
        <v>44866</v>
      </c>
      <c r="BC53" s="14">
        <f t="shared" ref="BC53" si="183">EDATE(BB53,1)</f>
        <v>44896</v>
      </c>
      <c r="BD53" s="14">
        <f t="shared" ref="BD53" si="184">EDATE(BC53,1)</f>
        <v>44927</v>
      </c>
      <c r="BE53" s="14">
        <f t="shared" ref="BE53" si="185">EDATE(BD53,1)</f>
        <v>44958</v>
      </c>
      <c r="BF53" s="14">
        <f t="shared" ref="BF53" si="186">EDATE(BE53,1)</f>
        <v>44986</v>
      </c>
      <c r="BG53" s="14">
        <f t="shared" ref="BG53" si="187">EDATE(BF53,1)</f>
        <v>45017</v>
      </c>
      <c r="BH53" s="14">
        <f t="shared" ref="BH53" si="188">EDATE(BG53,1)</f>
        <v>45047</v>
      </c>
      <c r="BI53" s="14">
        <f t="shared" ref="BI53" si="189">EDATE(BH53,1)</f>
        <v>45078</v>
      </c>
      <c r="BJ53" s="14">
        <f t="shared" ref="BJ53" si="190">EDATE(BI53,1)</f>
        <v>45108</v>
      </c>
      <c r="BK53" s="14">
        <f t="shared" ref="BK53" si="191">EDATE(BJ53,1)</f>
        <v>45139</v>
      </c>
      <c r="BL53" s="14">
        <f t="shared" ref="BL53" si="192">EDATE(BK53,1)</f>
        <v>45170</v>
      </c>
      <c r="BM53" s="14">
        <f t="shared" ref="BM53" si="193">EDATE(BL53,1)</f>
        <v>45200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151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41" t="s">
        <v>181</v>
      </c>
      <c r="B57" s="24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182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151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43" t="s">
        <v>183</v>
      </c>
      <c r="B64" s="244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154</v>
      </c>
      <c r="B65" s="10">
        <f>B51+B37</f>
        <v>257000</v>
      </c>
    </row>
    <row r="66" spans="1:65" hidden="1" x14ac:dyDescent="0.25"/>
    <row r="67" spans="1:65" hidden="1" x14ac:dyDescent="0.25">
      <c r="B67" s="14">
        <f>B39</f>
        <v>43282</v>
      </c>
      <c r="C67" s="14">
        <f>EDATE(B67,1)</f>
        <v>43313</v>
      </c>
      <c r="D67" s="14">
        <f t="shared" ref="D67:AC67" si="268">EDATE(C67,1)</f>
        <v>43344</v>
      </c>
      <c r="E67" s="14">
        <f t="shared" si="268"/>
        <v>43374</v>
      </c>
      <c r="F67" s="14">
        <f t="shared" si="268"/>
        <v>43405</v>
      </c>
      <c r="G67" s="14">
        <f t="shared" si="268"/>
        <v>43435</v>
      </c>
      <c r="H67" s="14">
        <f t="shared" si="268"/>
        <v>43466</v>
      </c>
      <c r="I67" s="14">
        <f t="shared" si="268"/>
        <v>43497</v>
      </c>
      <c r="J67" s="14">
        <f t="shared" si="268"/>
        <v>43525</v>
      </c>
      <c r="K67" s="14">
        <f t="shared" si="268"/>
        <v>43556</v>
      </c>
      <c r="L67" s="14">
        <f t="shared" si="268"/>
        <v>43586</v>
      </c>
      <c r="M67" s="14">
        <f t="shared" si="268"/>
        <v>43617</v>
      </c>
      <c r="N67" s="14">
        <f t="shared" si="268"/>
        <v>43647</v>
      </c>
      <c r="O67" s="14">
        <f t="shared" si="268"/>
        <v>43678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43709</v>
      </c>
      <c r="Y67" s="14">
        <f t="shared" si="268"/>
        <v>43739</v>
      </c>
      <c r="Z67" s="14">
        <f t="shared" si="268"/>
        <v>43770</v>
      </c>
      <c r="AA67" s="14">
        <f t="shared" si="268"/>
        <v>43800</v>
      </c>
      <c r="AB67" s="14">
        <f t="shared" si="268"/>
        <v>43831</v>
      </c>
      <c r="AC67" s="72">
        <f t="shared" si="268"/>
        <v>43862</v>
      </c>
      <c r="AD67" s="72">
        <f>EDATE(AC67,1)</f>
        <v>43891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151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38" t="s">
        <v>146</v>
      </c>
      <c r="B71" s="238"/>
      <c r="C71" s="247" t="s">
        <v>147</v>
      </c>
      <c r="D71" s="248">
        <v>24</v>
      </c>
      <c r="AE71" s="5"/>
      <c r="AF71" s="5"/>
      <c r="AG71" s="5"/>
      <c r="AH71" s="5"/>
    </row>
    <row r="72" spans="1:65" hidden="1" x14ac:dyDescent="0.25">
      <c r="A72" s="238"/>
      <c r="B72" s="238"/>
      <c r="C72" s="247"/>
      <c r="D72" s="248"/>
      <c r="AE72" s="5"/>
      <c r="AF72" s="5"/>
      <c r="AG72" s="5"/>
      <c r="AH72" s="5"/>
    </row>
    <row r="73" spans="1:65" ht="47.25" hidden="1" x14ac:dyDescent="0.25">
      <c r="A73" s="238"/>
      <c r="B73" s="238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38"/>
      <c r="B74" s="238"/>
      <c r="C74" s="108" t="s">
        <v>148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41" t="s">
        <v>149</v>
      </c>
      <c r="B76" s="242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150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184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43282</v>
      </c>
      <c r="C79" s="80">
        <f t="shared" ref="C79:AP79" si="270">EDATE(B79,1)</f>
        <v>43313</v>
      </c>
      <c r="D79" s="80">
        <f t="shared" si="270"/>
        <v>43344</v>
      </c>
      <c r="E79" s="80">
        <f t="shared" si="270"/>
        <v>43374</v>
      </c>
      <c r="F79" s="80">
        <f t="shared" si="270"/>
        <v>43405</v>
      </c>
      <c r="G79" s="80">
        <f t="shared" si="270"/>
        <v>43435</v>
      </c>
      <c r="H79" s="80">
        <f t="shared" si="270"/>
        <v>43466</v>
      </c>
      <c r="I79" s="80">
        <f t="shared" si="270"/>
        <v>43497</v>
      </c>
      <c r="J79" s="80">
        <f t="shared" si="270"/>
        <v>43525</v>
      </c>
      <c r="K79" s="80">
        <f t="shared" si="270"/>
        <v>43556</v>
      </c>
      <c r="L79" s="80">
        <f t="shared" si="270"/>
        <v>43586</v>
      </c>
      <c r="M79" s="80">
        <f t="shared" si="270"/>
        <v>43617</v>
      </c>
      <c r="N79" s="80">
        <f t="shared" si="270"/>
        <v>43647</v>
      </c>
      <c r="O79" s="80">
        <f t="shared" si="270"/>
        <v>43678</v>
      </c>
      <c r="P79" s="80">
        <f t="shared" si="270"/>
        <v>43709</v>
      </c>
      <c r="Q79" s="80">
        <f t="shared" si="270"/>
        <v>43739</v>
      </c>
      <c r="R79" s="80">
        <f t="shared" si="270"/>
        <v>43770</v>
      </c>
      <c r="S79" s="80">
        <f t="shared" si="270"/>
        <v>43800</v>
      </c>
      <c r="T79" s="80">
        <f t="shared" si="270"/>
        <v>43831</v>
      </c>
      <c r="U79" s="80">
        <f t="shared" si="270"/>
        <v>43862</v>
      </c>
      <c r="V79" s="80">
        <f t="shared" si="270"/>
        <v>43891</v>
      </c>
      <c r="W79" s="80">
        <f t="shared" si="270"/>
        <v>43922</v>
      </c>
      <c r="X79" s="80">
        <f t="shared" si="270"/>
        <v>43952</v>
      </c>
      <c r="Y79" s="80">
        <f t="shared" si="270"/>
        <v>43983</v>
      </c>
      <c r="Z79" s="80">
        <f t="shared" si="270"/>
        <v>44013</v>
      </c>
      <c r="AA79" s="80">
        <f t="shared" si="270"/>
        <v>44044</v>
      </c>
      <c r="AB79" s="80">
        <f t="shared" si="270"/>
        <v>44075</v>
      </c>
      <c r="AC79" s="80">
        <f t="shared" si="270"/>
        <v>44105</v>
      </c>
      <c r="AD79" s="80">
        <f t="shared" si="270"/>
        <v>44136</v>
      </c>
      <c r="AE79" s="80">
        <f t="shared" si="270"/>
        <v>44166</v>
      </c>
      <c r="AF79" s="80">
        <f t="shared" si="270"/>
        <v>44197</v>
      </c>
      <c r="AG79" s="80">
        <f t="shared" si="270"/>
        <v>44228</v>
      </c>
      <c r="AH79" s="80">
        <f t="shared" si="270"/>
        <v>44256</v>
      </c>
      <c r="AI79" s="80">
        <f t="shared" si="270"/>
        <v>44287</v>
      </c>
      <c r="AJ79" s="80">
        <f t="shared" si="270"/>
        <v>44317</v>
      </c>
      <c r="AK79" s="80">
        <f t="shared" si="270"/>
        <v>44348</v>
      </c>
      <c r="AL79" s="80">
        <f t="shared" si="270"/>
        <v>44378</v>
      </c>
      <c r="AM79" s="80">
        <f t="shared" si="270"/>
        <v>44409</v>
      </c>
      <c r="AN79" s="80">
        <f t="shared" si="270"/>
        <v>44440</v>
      </c>
      <c r="AO79" s="80">
        <f t="shared" si="270"/>
        <v>44470</v>
      </c>
      <c r="AP79" s="80">
        <f t="shared" si="270"/>
        <v>44501</v>
      </c>
      <c r="AQ79" s="80">
        <f t="shared" ref="AQ79" si="271">EDATE(AP79,1)</f>
        <v>44531</v>
      </c>
      <c r="AR79" s="80">
        <f t="shared" ref="AR79" si="272">EDATE(AQ79,1)</f>
        <v>44562</v>
      </c>
      <c r="AS79" s="80">
        <f t="shared" ref="AS79" si="273">EDATE(AR79,1)</f>
        <v>44593</v>
      </c>
      <c r="AT79" s="80">
        <f t="shared" ref="AT79" si="274">EDATE(AS79,1)</f>
        <v>44621</v>
      </c>
      <c r="AU79" s="80">
        <f t="shared" ref="AU79" si="275">EDATE(AT79,1)</f>
        <v>44652</v>
      </c>
      <c r="AV79" s="80">
        <f t="shared" ref="AV79" si="276">EDATE(AU79,1)</f>
        <v>44682</v>
      </c>
      <c r="AW79" s="80">
        <f t="shared" ref="AW79" si="277">EDATE(AV79,1)</f>
        <v>44713</v>
      </c>
      <c r="AX79" s="80">
        <f t="shared" ref="AX79" si="278">EDATE(AW79,1)</f>
        <v>44743</v>
      </c>
      <c r="AY79" s="80">
        <f t="shared" ref="AY79" si="279">EDATE(AX79,1)</f>
        <v>44774</v>
      </c>
      <c r="AZ79" s="80">
        <f t="shared" ref="AZ79" si="280">EDATE(AY79,1)</f>
        <v>44805</v>
      </c>
      <c r="BA79" s="80">
        <f t="shared" ref="BA79" si="281">EDATE(AZ79,1)</f>
        <v>44835</v>
      </c>
      <c r="BB79" s="80">
        <f t="shared" ref="BB79" si="282">EDATE(BA79,1)</f>
        <v>44866</v>
      </c>
      <c r="BC79" s="80">
        <f t="shared" ref="BC79" si="283">EDATE(BB79,1)</f>
        <v>44896</v>
      </c>
      <c r="BD79" s="80">
        <f t="shared" ref="BD79" si="284">EDATE(BC79,1)</f>
        <v>44927</v>
      </c>
      <c r="BE79" s="80">
        <f t="shared" ref="BE79" si="285">EDATE(BD79,1)</f>
        <v>44958</v>
      </c>
      <c r="BF79" s="80">
        <f t="shared" ref="BF79" si="286">EDATE(BE79,1)</f>
        <v>44986</v>
      </c>
      <c r="BG79" s="80">
        <f t="shared" ref="BG79" si="287">EDATE(BF79,1)</f>
        <v>45017</v>
      </c>
      <c r="BH79" s="80">
        <f t="shared" ref="BH79" si="288">EDATE(BG79,1)</f>
        <v>45047</v>
      </c>
      <c r="BI79" s="80">
        <f t="shared" ref="BI79" si="289">EDATE(BH79,1)</f>
        <v>45078</v>
      </c>
      <c r="BJ79" s="80">
        <f t="shared" ref="BJ79" si="290">EDATE(BI79,1)</f>
        <v>45108</v>
      </c>
      <c r="BK79" s="80">
        <f t="shared" ref="BK79" si="291">EDATE(BJ79,1)</f>
        <v>45139</v>
      </c>
      <c r="BL79" s="80">
        <f t="shared" ref="BL79" si="292">EDATE(BK79,1)</f>
        <v>45170</v>
      </c>
      <c r="BM79" s="80">
        <f t="shared" ref="BM79" si="293">EDATE(BL79,1)</f>
        <v>45200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151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43" t="s">
        <v>185</v>
      </c>
      <c r="B83" s="244"/>
      <c r="E83" s="4"/>
      <c r="I83" s="4"/>
      <c r="J83" s="4"/>
      <c r="K83" s="6"/>
    </row>
    <row r="84" spans="1:65" ht="16.5" thickBot="1" x14ac:dyDescent="0.3">
      <c r="A84" s="9" t="s">
        <v>186</v>
      </c>
      <c r="B84" s="10">
        <f>B28+B29</f>
        <v>257000</v>
      </c>
    </row>
    <row r="86" spans="1:65" x14ac:dyDescent="0.25">
      <c r="B86" s="173">
        <f>Cashflow!H7</f>
        <v>43282</v>
      </c>
      <c r="C86" s="173">
        <f>EDATE(B86,1)</f>
        <v>43313</v>
      </c>
      <c r="D86" s="173">
        <f t="shared" ref="D86:AP86" si="318">EDATE(C86,1)</f>
        <v>43344</v>
      </c>
      <c r="E86" s="173">
        <f t="shared" si="318"/>
        <v>43374</v>
      </c>
      <c r="F86" s="173">
        <f t="shared" si="318"/>
        <v>43405</v>
      </c>
      <c r="G86" s="173">
        <f t="shared" si="318"/>
        <v>43435</v>
      </c>
      <c r="H86" s="173">
        <f t="shared" si="318"/>
        <v>43466</v>
      </c>
      <c r="I86" s="173">
        <f t="shared" si="318"/>
        <v>43497</v>
      </c>
      <c r="J86" s="173">
        <f t="shared" si="318"/>
        <v>43525</v>
      </c>
      <c r="K86" s="173">
        <f t="shared" si="318"/>
        <v>43556</v>
      </c>
      <c r="L86" s="173">
        <f t="shared" si="318"/>
        <v>43586</v>
      </c>
      <c r="M86" s="173">
        <f t="shared" si="318"/>
        <v>43617</v>
      </c>
      <c r="N86" s="173">
        <f t="shared" si="318"/>
        <v>43647</v>
      </c>
      <c r="O86" s="173">
        <f t="shared" si="318"/>
        <v>43678</v>
      </c>
      <c r="P86" s="173">
        <f t="shared" si="318"/>
        <v>43709</v>
      </c>
      <c r="Q86" s="173">
        <f t="shared" si="318"/>
        <v>43739</v>
      </c>
      <c r="R86" s="173">
        <f t="shared" si="318"/>
        <v>43770</v>
      </c>
      <c r="S86" s="173">
        <f t="shared" si="318"/>
        <v>43800</v>
      </c>
      <c r="T86" s="173">
        <f t="shared" si="318"/>
        <v>43831</v>
      </c>
      <c r="U86" s="173">
        <f t="shared" si="318"/>
        <v>43862</v>
      </c>
      <c r="V86" s="173">
        <f t="shared" si="318"/>
        <v>43891</v>
      </c>
      <c r="W86" s="173">
        <f t="shared" si="318"/>
        <v>43922</v>
      </c>
      <c r="X86" s="173">
        <f t="shared" si="318"/>
        <v>43952</v>
      </c>
      <c r="Y86" s="173">
        <f t="shared" si="318"/>
        <v>43983</v>
      </c>
      <c r="Z86" s="173">
        <f t="shared" si="318"/>
        <v>44013</v>
      </c>
      <c r="AA86" s="173">
        <f t="shared" si="318"/>
        <v>44044</v>
      </c>
      <c r="AB86" s="173">
        <f t="shared" si="318"/>
        <v>44075</v>
      </c>
      <c r="AC86" s="173">
        <f t="shared" si="318"/>
        <v>44105</v>
      </c>
      <c r="AD86" s="173">
        <f t="shared" si="318"/>
        <v>44136</v>
      </c>
      <c r="AE86" s="173">
        <f t="shared" si="318"/>
        <v>44166</v>
      </c>
      <c r="AF86" s="173">
        <f t="shared" si="318"/>
        <v>44197</v>
      </c>
      <c r="AG86" s="173">
        <f t="shared" si="318"/>
        <v>44228</v>
      </c>
      <c r="AH86" s="173">
        <f>EDATE(AG86,1)</f>
        <v>44256</v>
      </c>
      <c r="AI86" s="173">
        <f t="shared" si="318"/>
        <v>44287</v>
      </c>
      <c r="AJ86" s="173">
        <f t="shared" si="318"/>
        <v>44317</v>
      </c>
      <c r="AK86" s="173">
        <f t="shared" si="318"/>
        <v>44348</v>
      </c>
      <c r="AL86" s="173">
        <f t="shared" si="318"/>
        <v>44378</v>
      </c>
      <c r="AM86" s="173">
        <f t="shared" si="318"/>
        <v>44409</v>
      </c>
      <c r="AN86" s="173">
        <f t="shared" si="318"/>
        <v>44440</v>
      </c>
      <c r="AO86" s="173">
        <f t="shared" si="318"/>
        <v>44470</v>
      </c>
      <c r="AP86" s="173">
        <f t="shared" si="318"/>
        <v>44501</v>
      </c>
      <c r="AQ86" s="173">
        <f t="shared" ref="AQ86" si="319">EDATE(AP86,1)</f>
        <v>44531</v>
      </c>
      <c r="AR86" s="173">
        <f t="shared" ref="AR86" si="320">EDATE(AQ86,1)</f>
        <v>44562</v>
      </c>
      <c r="AS86" s="173">
        <f t="shared" ref="AS86" si="321">EDATE(AR86,1)</f>
        <v>44593</v>
      </c>
      <c r="AT86" s="173">
        <f t="shared" ref="AT86" si="322">EDATE(AS86,1)</f>
        <v>44621</v>
      </c>
      <c r="AU86" s="173">
        <f t="shared" ref="AU86" si="323">EDATE(AT86,1)</f>
        <v>44652</v>
      </c>
      <c r="AV86" s="173">
        <f t="shared" ref="AV86" si="324">EDATE(AU86,1)</f>
        <v>44682</v>
      </c>
      <c r="AW86" s="173">
        <f t="shared" ref="AW86" si="325">EDATE(AV86,1)</f>
        <v>44713</v>
      </c>
      <c r="AX86" s="173">
        <f t="shared" ref="AX86" si="326">EDATE(AW86,1)</f>
        <v>44743</v>
      </c>
      <c r="AY86" s="173">
        <f t="shared" ref="AY86" si="327">EDATE(AX86,1)</f>
        <v>44774</v>
      </c>
      <c r="AZ86" s="173">
        <f t="shared" ref="AZ86" si="328">EDATE(AY86,1)</f>
        <v>44805</v>
      </c>
      <c r="BA86" s="173">
        <f t="shared" ref="BA86" si="329">EDATE(AZ86,1)</f>
        <v>44835</v>
      </c>
      <c r="BB86" s="173">
        <f t="shared" ref="BB86" si="330">EDATE(BA86,1)</f>
        <v>44866</v>
      </c>
      <c r="BC86" s="173">
        <f t="shared" ref="BC86" si="331">EDATE(BB86,1)</f>
        <v>44896</v>
      </c>
      <c r="BD86" s="173">
        <f t="shared" ref="BD86" si="332">EDATE(BC86,1)</f>
        <v>44927</v>
      </c>
      <c r="BE86" s="173">
        <f t="shared" ref="BE86" si="333">EDATE(BD86,1)</f>
        <v>44958</v>
      </c>
      <c r="BF86" s="173">
        <f t="shared" ref="BF86" si="334">EDATE(BE86,1)</f>
        <v>44986</v>
      </c>
      <c r="BG86" s="173">
        <f t="shared" ref="BG86" si="335">EDATE(BF86,1)</f>
        <v>45017</v>
      </c>
      <c r="BH86" s="173">
        <f t="shared" ref="BH86" si="336">EDATE(BG86,1)</f>
        <v>45047</v>
      </c>
      <c r="BI86" s="173">
        <f t="shared" ref="BI86" si="337">EDATE(BH86,1)</f>
        <v>45078</v>
      </c>
      <c r="BJ86" s="173">
        <f t="shared" ref="BJ86" si="338">EDATE(BI86,1)</f>
        <v>45108</v>
      </c>
      <c r="BK86" s="173">
        <f t="shared" ref="BK86" si="339">EDATE(BJ86,1)</f>
        <v>45139</v>
      </c>
      <c r="BL86" s="173">
        <f t="shared" ref="BL86" si="340">EDATE(BK86,1)</f>
        <v>45170</v>
      </c>
      <c r="BM86" s="173">
        <f t="shared" ref="BM86" si="341">EDATE(BL86,1)</f>
        <v>45200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151</v>
      </c>
      <c r="B88" s="13">
        <f>B81+B55+B48+B41</f>
        <v>0</v>
      </c>
      <c r="C88" s="13">
        <f t="shared" ref="C88:BM88" si="366">C81+C55+C48+C41</f>
        <v>5732.4197297201054</v>
      </c>
      <c r="D88" s="13">
        <f t="shared" si="366"/>
        <v>5732.4197297201054</v>
      </c>
      <c r="E88" s="13">
        <f t="shared" si="366"/>
        <v>5732.4197297201054</v>
      </c>
      <c r="F88" s="13">
        <f t="shared" si="366"/>
        <v>5732.4197297201054</v>
      </c>
      <c r="G88" s="13">
        <f t="shared" si="366"/>
        <v>5732.4197297201054</v>
      </c>
      <c r="H88" s="13">
        <f t="shared" si="366"/>
        <v>5732.4197297201054</v>
      </c>
      <c r="I88" s="13">
        <f t="shared" si="366"/>
        <v>5732.4197297201054</v>
      </c>
      <c r="J88" s="13">
        <f t="shared" si="366"/>
        <v>5732.4197297201054</v>
      </c>
      <c r="K88" s="13">
        <f t="shared" si="366"/>
        <v>5732.4197297201054</v>
      </c>
      <c r="L88" s="13">
        <f t="shared" si="366"/>
        <v>5732.4197297201054</v>
      </c>
      <c r="M88" s="13">
        <f t="shared" si="366"/>
        <v>5732.4197297201054</v>
      </c>
      <c r="N88" s="13">
        <f t="shared" si="366"/>
        <v>5732.4197297201054</v>
      </c>
      <c r="O88" s="13">
        <f t="shared" si="366"/>
        <v>5732.4197297201054</v>
      </c>
      <c r="P88" s="13">
        <f t="shared" si="366"/>
        <v>5732.4197297201054</v>
      </c>
      <c r="Q88" s="13">
        <f t="shared" si="366"/>
        <v>5732.4197297201054</v>
      </c>
      <c r="R88" s="13">
        <f t="shared" si="366"/>
        <v>5732.4197297201054</v>
      </c>
      <c r="S88" s="13">
        <f t="shared" si="366"/>
        <v>5732.4197297201054</v>
      </c>
      <c r="T88" s="13">
        <f t="shared" si="366"/>
        <v>5732.4197297201054</v>
      </c>
      <c r="U88" s="13">
        <f t="shared" si="366"/>
        <v>5732.4197297201054</v>
      </c>
      <c r="V88" s="13">
        <f t="shared" si="366"/>
        <v>5732.4197297201054</v>
      </c>
      <c r="W88" s="13">
        <f t="shared" si="366"/>
        <v>5732.4197297201054</v>
      </c>
      <c r="X88" s="13">
        <f t="shared" si="366"/>
        <v>5732.4197297201054</v>
      </c>
      <c r="Y88" s="13">
        <f t="shared" si="366"/>
        <v>5732.4197297201054</v>
      </c>
      <c r="Z88" s="13">
        <f t="shared" si="366"/>
        <v>5732.4197297201054</v>
      </c>
      <c r="AA88" s="13">
        <f t="shared" si="366"/>
        <v>5732.4197297201054</v>
      </c>
      <c r="AB88" s="13">
        <f t="shared" si="366"/>
        <v>5732.4197297201054</v>
      </c>
      <c r="AC88" s="13">
        <f t="shared" si="366"/>
        <v>5732.4197297201054</v>
      </c>
      <c r="AD88" s="13">
        <f t="shared" si="366"/>
        <v>5732.4197297201054</v>
      </c>
      <c r="AE88" s="13">
        <f t="shared" si="366"/>
        <v>5732.4197297201054</v>
      </c>
      <c r="AF88" s="13">
        <f t="shared" si="366"/>
        <v>5732.4197297201054</v>
      </c>
      <c r="AG88" s="13">
        <f t="shared" si="366"/>
        <v>5732.4197297201054</v>
      </c>
      <c r="AH88" s="13">
        <f t="shared" si="366"/>
        <v>5732.4197297201054</v>
      </c>
      <c r="AI88" s="13">
        <f t="shared" si="366"/>
        <v>5732.4197297201054</v>
      </c>
      <c r="AJ88" s="13">
        <f t="shared" si="366"/>
        <v>5732.4197297201054</v>
      </c>
      <c r="AK88" s="13">
        <f t="shared" si="366"/>
        <v>5732.4197297201054</v>
      </c>
      <c r="AL88" s="13">
        <f t="shared" si="366"/>
        <v>5732.4197297201054</v>
      </c>
      <c r="AM88" s="13">
        <f t="shared" si="366"/>
        <v>5732.4197297201054</v>
      </c>
      <c r="AN88" s="13">
        <f t="shared" si="366"/>
        <v>5732.4197297201054</v>
      </c>
      <c r="AO88" s="13">
        <f t="shared" si="366"/>
        <v>5732.4197297201054</v>
      </c>
      <c r="AP88" s="13">
        <f t="shared" si="366"/>
        <v>5732.4197297201054</v>
      </c>
      <c r="AQ88" s="13">
        <f t="shared" si="366"/>
        <v>5732.4197297201054</v>
      </c>
      <c r="AR88" s="13">
        <f t="shared" si="366"/>
        <v>5732.4197297201054</v>
      </c>
      <c r="AS88" s="13">
        <f t="shared" si="366"/>
        <v>5732.4197297201054</v>
      </c>
      <c r="AT88" s="13">
        <f t="shared" si="366"/>
        <v>5732.4197297201054</v>
      </c>
      <c r="AU88" s="13">
        <f t="shared" si="366"/>
        <v>5732.4197297201054</v>
      </c>
      <c r="AV88" s="13">
        <f t="shared" si="366"/>
        <v>5732.4197297201054</v>
      </c>
      <c r="AW88" s="13">
        <f t="shared" si="366"/>
        <v>5732.4197297201054</v>
      </c>
      <c r="AX88" s="13">
        <f t="shared" si="366"/>
        <v>5732.4197297201054</v>
      </c>
      <c r="AY88" s="13">
        <f t="shared" si="366"/>
        <v>5732.4197297201054</v>
      </c>
      <c r="AZ88" s="13">
        <f t="shared" si="366"/>
        <v>5732.4197297201054</v>
      </c>
      <c r="BA88" s="13">
        <f t="shared" si="366"/>
        <v>5732.4197297201054</v>
      </c>
      <c r="BB88" s="13">
        <f t="shared" si="366"/>
        <v>5732.4197297201054</v>
      </c>
      <c r="BC88" s="13">
        <f t="shared" si="366"/>
        <v>5732.4197297201054</v>
      </c>
      <c r="BD88" s="13">
        <f t="shared" si="366"/>
        <v>5732.4197297201054</v>
      </c>
      <c r="BE88" s="13">
        <f t="shared" si="366"/>
        <v>5732.4197297201054</v>
      </c>
      <c r="BF88" s="13">
        <f t="shared" si="366"/>
        <v>5732.4197297201054</v>
      </c>
      <c r="BG88" s="13">
        <f t="shared" si="366"/>
        <v>5732.4197297201054</v>
      </c>
      <c r="BH88" s="13">
        <f t="shared" si="366"/>
        <v>5732.4197297201054</v>
      </c>
      <c r="BI88" s="13">
        <f t="shared" si="366"/>
        <v>5732.4197297201054</v>
      </c>
      <c r="BJ88" s="13">
        <f t="shared" si="366"/>
        <v>5732.4197297201054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72" t="s">
        <v>187</v>
      </c>
      <c r="C1" s="272"/>
      <c r="D1" s="272"/>
      <c r="E1" s="272"/>
      <c r="F1" s="272"/>
    </row>
    <row r="2" spans="1:8" ht="15" customHeight="1" x14ac:dyDescent="0.25">
      <c r="B2" s="272"/>
      <c r="C2" s="272"/>
      <c r="D2" s="272"/>
      <c r="E2" s="272"/>
      <c r="F2" s="272"/>
    </row>
    <row r="3" spans="1:8" ht="15" customHeight="1" x14ac:dyDescent="0.25">
      <c r="A3" s="278" t="s">
        <v>188</v>
      </c>
      <c r="B3" s="56" t="s">
        <v>189</v>
      </c>
      <c r="C3" s="56"/>
      <c r="D3" s="56"/>
      <c r="E3" s="56"/>
      <c r="F3" s="55"/>
      <c r="H3" s="233" t="s">
        <v>190</v>
      </c>
    </row>
    <row r="4" spans="1:8" x14ac:dyDescent="0.25">
      <c r="A4" s="278"/>
      <c r="B4" s="21" t="s">
        <v>191</v>
      </c>
      <c r="C4" s="22" t="s">
        <v>192</v>
      </c>
      <c r="D4" t="s">
        <v>193</v>
      </c>
      <c r="E4" t="s">
        <v>186</v>
      </c>
      <c r="H4" s="58" t="s">
        <v>194</v>
      </c>
    </row>
    <row r="5" spans="1:8" x14ac:dyDescent="0.25">
      <c r="A5" s="278"/>
      <c r="B5" t="s">
        <v>195</v>
      </c>
      <c r="C5" s="45">
        <v>1</v>
      </c>
      <c r="D5" s="4">
        <v>9600</v>
      </c>
      <c r="E5" s="4">
        <f t="shared" ref="E5:E10" si="0">C5*D5</f>
        <v>9600</v>
      </c>
      <c r="H5" s="59" t="s">
        <v>196</v>
      </c>
    </row>
    <row r="6" spans="1:8" x14ac:dyDescent="0.25">
      <c r="A6" s="278"/>
      <c r="B6" t="s">
        <v>197</v>
      </c>
      <c r="C6" s="45">
        <v>1</v>
      </c>
      <c r="D6" s="4">
        <v>10000</v>
      </c>
      <c r="E6" s="4">
        <f t="shared" si="0"/>
        <v>10000</v>
      </c>
      <c r="H6" s="61" t="s">
        <v>198</v>
      </c>
    </row>
    <row r="7" spans="1:8" x14ac:dyDescent="0.25">
      <c r="A7" s="278"/>
      <c r="B7" t="s">
        <v>199</v>
      </c>
      <c r="C7" s="45">
        <v>1</v>
      </c>
      <c r="D7" s="4">
        <v>10250</v>
      </c>
      <c r="E7" s="4">
        <f t="shared" si="0"/>
        <v>10250</v>
      </c>
      <c r="H7" s="66" t="s">
        <v>200</v>
      </c>
    </row>
    <row r="8" spans="1:8" x14ac:dyDescent="0.25">
      <c r="A8" s="278"/>
      <c r="B8" t="s">
        <v>201</v>
      </c>
      <c r="C8" s="45"/>
      <c r="D8" s="4"/>
      <c r="E8" s="4">
        <f t="shared" si="0"/>
        <v>0</v>
      </c>
    </row>
    <row r="9" spans="1:8" x14ac:dyDescent="0.25">
      <c r="A9" s="278"/>
      <c r="C9" s="45"/>
      <c r="D9" s="52"/>
      <c r="E9" s="4">
        <f t="shared" si="0"/>
        <v>0</v>
      </c>
    </row>
    <row r="10" spans="1:8" x14ac:dyDescent="0.25">
      <c r="A10" s="278"/>
      <c r="C10" s="45"/>
      <c r="D10" s="4"/>
      <c r="E10" s="4">
        <f t="shared" si="0"/>
        <v>0</v>
      </c>
    </row>
    <row r="11" spans="1:8" x14ac:dyDescent="0.25">
      <c r="B11" s="67" t="s">
        <v>202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203</v>
      </c>
      <c r="C13" s="57"/>
      <c r="D13" s="57"/>
      <c r="E13" s="57"/>
      <c r="F13" s="57"/>
    </row>
    <row r="14" spans="1:8" x14ac:dyDescent="0.25">
      <c r="A14" s="281" t="s">
        <v>204</v>
      </c>
      <c r="B14" s="21" t="s">
        <v>191</v>
      </c>
      <c r="C14" s="22" t="s">
        <v>192</v>
      </c>
      <c r="D14" s="59" t="s">
        <v>205</v>
      </c>
      <c r="E14" t="s">
        <v>193</v>
      </c>
      <c r="F14" t="s">
        <v>186</v>
      </c>
    </row>
    <row r="15" spans="1:8" x14ac:dyDescent="0.25">
      <c r="A15" s="281"/>
      <c r="B15" t="s">
        <v>195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81"/>
      <c r="B16" t="s">
        <v>206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81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81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81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81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202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79" t="s">
        <v>207</v>
      </c>
      <c r="C23" s="280"/>
      <c r="D23" s="276">
        <f>(F21/E11)-1</f>
        <v>3.5516750418760346E-2</v>
      </c>
      <c r="E23" s="277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73" t="s">
        <v>208</v>
      </c>
      <c r="B25" s="56" t="s">
        <v>209</v>
      </c>
      <c r="C25" s="56"/>
      <c r="D25" s="56"/>
      <c r="E25" s="56"/>
      <c r="F25" s="55"/>
    </row>
    <row r="26" spans="1:7" x14ac:dyDescent="0.25">
      <c r="A26" s="273"/>
      <c r="B26" s="21" t="s">
        <v>191</v>
      </c>
      <c r="C26" s="22" t="s">
        <v>192</v>
      </c>
      <c r="D26" t="s">
        <v>193</v>
      </c>
      <c r="E26" t="s">
        <v>186</v>
      </c>
    </row>
    <row r="27" spans="1:7" x14ac:dyDescent="0.25">
      <c r="A27" s="273"/>
      <c r="B27" t="s">
        <v>210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73"/>
      <c r="B28" t="s">
        <v>206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73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73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73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73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202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74" t="s">
        <v>211</v>
      </c>
      <c r="C35" s="275"/>
      <c r="D35" s="276">
        <f>(E33/E11)-1</f>
        <v>-0.27303182579564489</v>
      </c>
      <c r="E35" s="277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51" t="s">
        <v>212</v>
      </c>
      <c r="B1" s="251"/>
      <c r="C1" s="251"/>
    </row>
    <row r="2" spans="1:3" x14ac:dyDescent="0.25">
      <c r="B2" s="235" t="s">
        <v>67</v>
      </c>
      <c r="C2" s="235" t="s">
        <v>213</v>
      </c>
    </row>
    <row r="3" spans="1:3" x14ac:dyDescent="0.25">
      <c r="A3" s="37" t="s">
        <v>68</v>
      </c>
      <c r="B3" s="39">
        <v>6.4999999999999997E-3</v>
      </c>
      <c r="C3" s="39">
        <v>1.6500000000000001E-2</v>
      </c>
    </row>
    <row r="4" spans="1:3" x14ac:dyDescent="0.25">
      <c r="A4" s="235" t="s">
        <v>69</v>
      </c>
      <c r="B4" s="40">
        <v>0.03</v>
      </c>
      <c r="C4" s="40">
        <v>7.5999999999999998E-2</v>
      </c>
    </row>
    <row r="5" spans="1:3" x14ac:dyDescent="0.25">
      <c r="A5" s="37" t="s">
        <v>70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51" t="s">
        <v>214</v>
      </c>
      <c r="B7" s="251"/>
    </row>
    <row r="8" spans="1:3" x14ac:dyDescent="0.25">
      <c r="A8" t="s">
        <v>215</v>
      </c>
      <c r="B8" s="42">
        <v>0.15</v>
      </c>
    </row>
    <row r="9" spans="1:3" x14ac:dyDescent="0.25">
      <c r="A9" s="38" t="s">
        <v>216</v>
      </c>
      <c r="B9" s="43">
        <v>0.09</v>
      </c>
    </row>
    <row r="10" spans="1:3" x14ac:dyDescent="0.25">
      <c r="A10" t="s">
        <v>217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82" t="s">
        <v>218</v>
      </c>
      <c r="B1" s="282"/>
      <c r="C1" s="282"/>
      <c r="D1" s="282"/>
      <c r="E1" s="282"/>
    </row>
    <row r="2" spans="1:9" ht="15" customHeight="1" x14ac:dyDescent="0.25">
      <c r="A2" s="282"/>
      <c r="B2" s="282"/>
      <c r="C2" s="282"/>
      <c r="D2" s="282"/>
      <c r="E2" s="282"/>
    </row>
    <row r="3" spans="1:9" x14ac:dyDescent="0.25">
      <c r="A3" s="62" t="s">
        <v>219</v>
      </c>
      <c r="B3" s="54" t="s">
        <v>220</v>
      </c>
      <c r="C3" s="54" t="s">
        <v>36</v>
      </c>
      <c r="D3" s="54" t="s">
        <v>221</v>
      </c>
      <c r="E3" s="54" t="s">
        <v>222</v>
      </c>
    </row>
    <row r="4" spans="1:9" ht="16.5" thickBot="1" x14ac:dyDescent="0.3">
      <c r="A4" t="s">
        <v>223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224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82" t="s">
        <v>225</v>
      </c>
      <c r="B9" s="282"/>
      <c r="C9" s="282"/>
      <c r="D9" s="282"/>
      <c r="E9" s="282"/>
      <c r="F9" s="282"/>
      <c r="G9" s="282"/>
    </row>
    <row r="10" spans="1:9" ht="15" customHeight="1" x14ac:dyDescent="0.25">
      <c r="A10" s="282"/>
      <c r="B10" s="282"/>
      <c r="C10" s="282"/>
      <c r="D10" s="282"/>
      <c r="E10" s="282"/>
      <c r="F10" s="282"/>
      <c r="G10" s="282"/>
    </row>
    <row r="11" spans="1:9" x14ac:dyDescent="0.25">
      <c r="A11" s="62" t="s">
        <v>226</v>
      </c>
      <c r="B11" s="62" t="s">
        <v>227</v>
      </c>
      <c r="C11" s="62" t="s">
        <v>36</v>
      </c>
      <c r="D11" s="62" t="s">
        <v>228</v>
      </c>
      <c r="E11" s="62" t="s">
        <v>229</v>
      </c>
      <c r="F11" s="62" t="s">
        <v>230</v>
      </c>
      <c r="G11" s="62" t="s">
        <v>231</v>
      </c>
    </row>
    <row r="12" spans="1:9" x14ac:dyDescent="0.25">
      <c r="A12" s="166" t="s">
        <v>232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92" t="s">
        <v>233</v>
      </c>
      <c r="B1" s="292"/>
      <c r="C1" s="292"/>
      <c r="D1" s="292"/>
    </row>
    <row r="2" spans="1:4" ht="16.5" thickBot="1" x14ac:dyDescent="0.3">
      <c r="A2" s="292"/>
      <c r="B2" s="292"/>
      <c r="C2" s="292"/>
      <c r="D2" s="292"/>
    </row>
    <row r="3" spans="1:4" ht="16.5" hidden="1" thickBot="1" x14ac:dyDescent="0.3">
      <c r="A3" s="88" t="s">
        <v>74</v>
      </c>
      <c r="B3" s="88">
        <v>4000</v>
      </c>
    </row>
    <row r="4" spans="1:4" ht="15" hidden="1" customHeight="1" x14ac:dyDescent="0.25">
      <c r="C4" s="83" t="s">
        <v>234</v>
      </c>
      <c r="D4" s="290" t="s">
        <v>235</v>
      </c>
    </row>
    <row r="5" spans="1:4" ht="59.1" hidden="1" customHeight="1" x14ac:dyDescent="0.25">
      <c r="A5" s="48" t="s">
        <v>227</v>
      </c>
      <c r="B5" s="50" t="s">
        <v>221</v>
      </c>
      <c r="C5" s="99" t="s">
        <v>236</v>
      </c>
      <c r="D5" s="290"/>
    </row>
    <row r="6" spans="1:4" ht="16.5" hidden="1" thickBot="1" x14ac:dyDescent="0.3">
      <c r="A6" s="49" t="s">
        <v>146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237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70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238</v>
      </c>
    </row>
    <row r="12" spans="1:4" ht="16.5" hidden="1" thickBot="1" x14ac:dyDescent="0.3">
      <c r="A12" t="s">
        <v>239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74</v>
      </c>
      <c r="B15" s="51">
        <v>6000</v>
      </c>
    </row>
    <row r="16" spans="1:4" ht="15" hidden="1" customHeight="1" x14ac:dyDescent="0.25">
      <c r="C16" s="83" t="s">
        <v>234</v>
      </c>
      <c r="D16" s="290" t="s">
        <v>235</v>
      </c>
    </row>
    <row r="17" spans="1:10" ht="56.1" hidden="1" customHeight="1" x14ac:dyDescent="0.25">
      <c r="A17" s="48" t="s">
        <v>227</v>
      </c>
      <c r="B17" s="50" t="s">
        <v>221</v>
      </c>
      <c r="C17" s="99" t="s">
        <v>236</v>
      </c>
      <c r="D17" s="290"/>
    </row>
    <row r="18" spans="1:10" ht="16.5" hidden="1" thickBot="1" x14ac:dyDescent="0.3">
      <c r="A18" s="49" t="s">
        <v>146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237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70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74</v>
      </c>
      <c r="B24" s="89">
        <v>8000</v>
      </c>
    </row>
    <row r="25" spans="1:10" ht="15" hidden="1" customHeight="1" x14ac:dyDescent="0.25">
      <c r="C25" s="83" t="s">
        <v>234</v>
      </c>
      <c r="D25" s="290" t="s">
        <v>235</v>
      </c>
    </row>
    <row r="26" spans="1:10" ht="56.1" hidden="1" customHeight="1" x14ac:dyDescent="0.25">
      <c r="A26" s="48" t="s">
        <v>227</v>
      </c>
      <c r="B26" s="50" t="s">
        <v>221</v>
      </c>
      <c r="C26" s="99" t="s">
        <v>236</v>
      </c>
      <c r="D26" s="290"/>
    </row>
    <row r="27" spans="1:10" ht="16.5" hidden="1" thickBot="1" x14ac:dyDescent="0.3">
      <c r="A27" s="49" t="s">
        <v>146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237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70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93" t="s">
        <v>74</v>
      </c>
      <c r="B32" s="295">
        <f>Dados!C14</f>
        <v>0</v>
      </c>
      <c r="C32" s="257" t="s">
        <v>240</v>
      </c>
      <c r="D32" s="254"/>
      <c r="E32" s="257" t="s">
        <v>241</v>
      </c>
      <c r="F32" s="254"/>
      <c r="G32" s="257" t="s">
        <v>242</v>
      </c>
      <c r="H32" s="285"/>
      <c r="I32" s="257" t="s">
        <v>243</v>
      </c>
      <c r="J32" s="285"/>
    </row>
    <row r="33" spans="1:10" ht="16.5" thickBot="1" x14ac:dyDescent="0.3">
      <c r="A33" s="294"/>
      <c r="B33" s="296"/>
      <c r="C33" s="286"/>
      <c r="D33" s="291"/>
      <c r="E33" s="286"/>
      <c r="F33" s="291"/>
      <c r="G33" s="286"/>
      <c r="H33" s="287"/>
      <c r="I33" s="286"/>
      <c r="J33" s="287"/>
    </row>
    <row r="34" spans="1:10" ht="15" customHeight="1" x14ac:dyDescent="0.25">
      <c r="A34" s="297" t="s">
        <v>227</v>
      </c>
      <c r="B34" s="298"/>
      <c r="C34" s="288" t="s">
        <v>234</v>
      </c>
      <c r="D34" s="290" t="s">
        <v>244</v>
      </c>
      <c r="E34" s="288" t="s">
        <v>234</v>
      </c>
      <c r="F34" s="290" t="s">
        <v>244</v>
      </c>
      <c r="G34" s="288" t="s">
        <v>234</v>
      </c>
      <c r="H34" s="289" t="s">
        <v>244</v>
      </c>
      <c r="I34" s="288" t="s">
        <v>234</v>
      </c>
      <c r="J34" s="289" t="s">
        <v>244</v>
      </c>
    </row>
    <row r="35" spans="1:10" x14ac:dyDescent="0.25">
      <c r="A35" s="299"/>
      <c r="B35" s="300"/>
      <c r="C35" s="288"/>
      <c r="D35" s="290"/>
      <c r="E35" s="288"/>
      <c r="F35" s="290"/>
      <c r="G35" s="288"/>
      <c r="H35" s="289"/>
      <c r="I35" s="288"/>
      <c r="J35" s="289"/>
    </row>
    <row r="36" spans="1:10" ht="16.5" thickBot="1" x14ac:dyDescent="0.3">
      <c r="A36" s="283" t="str">
        <f>Dados!A29</f>
        <v>express</v>
      </c>
      <c r="B36" s="284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9"/>
  <sheetViews>
    <sheetView showGridLines="0" topLeftCell="O1" workbookViewId="0">
      <selection activeCell="Z8" sqref="Z8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9.625" bestFit="1" customWidth="1"/>
    <col min="11" max="11" width="13.875" bestFit="1" customWidth="1"/>
  </cols>
  <sheetData>
    <row r="1" spans="1:26" ht="41.1" customHeight="1" x14ac:dyDescent="0.25">
      <c r="A1" s="304" t="s">
        <v>245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</row>
    <row r="2" spans="1:26" x14ac:dyDescent="0.25">
      <c r="A2" s="251" t="s">
        <v>246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</row>
    <row r="3" spans="1:26" x14ac:dyDescent="0.25">
      <c r="A3" s="251" t="s">
        <v>247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</row>
    <row r="4" spans="1:26" x14ac:dyDescent="0.25">
      <c r="A4" s="251">
        <v>1000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</row>
    <row r="5" spans="1:26" x14ac:dyDescent="0.25">
      <c r="A5" s="305" t="s">
        <v>248</v>
      </c>
      <c r="B5" s="305"/>
      <c r="C5" s="305"/>
      <c r="D5" s="305"/>
      <c r="E5" s="305"/>
      <c r="F5" s="305"/>
      <c r="G5" s="305"/>
      <c r="H5" s="305"/>
      <c r="I5" s="305"/>
      <c r="J5" s="305"/>
      <c r="K5" s="305"/>
    </row>
    <row r="6" spans="1:26" ht="30" customHeight="1" x14ac:dyDescent="0.25">
      <c r="A6" s="47"/>
      <c r="B6" s="47"/>
      <c r="C6" s="301" t="s">
        <v>249</v>
      </c>
      <c r="D6" s="302"/>
      <c r="E6" s="303"/>
      <c r="F6" s="302" t="s">
        <v>250</v>
      </c>
      <c r="G6" s="302"/>
      <c r="H6" s="303"/>
      <c r="I6" s="301" t="s">
        <v>251</v>
      </c>
      <c r="J6" s="302"/>
      <c r="K6" s="303"/>
      <c r="L6" s="301" t="s">
        <v>252</v>
      </c>
      <c r="M6" s="302"/>
      <c r="N6" s="303"/>
      <c r="O6" s="301" t="s">
        <v>253</v>
      </c>
      <c r="P6" s="302"/>
      <c r="Q6" s="303"/>
      <c r="R6" s="301" t="s">
        <v>254</v>
      </c>
      <c r="S6" s="302"/>
      <c r="T6" s="303"/>
      <c r="U6" s="301" t="s">
        <v>255</v>
      </c>
      <c r="V6" s="302"/>
      <c r="W6" s="303"/>
      <c r="X6" s="301" t="s">
        <v>255</v>
      </c>
      <c r="Y6" s="302"/>
      <c r="Z6" s="303"/>
    </row>
    <row r="7" spans="1:26" x14ac:dyDescent="0.25">
      <c r="A7" s="21" t="s">
        <v>227</v>
      </c>
      <c r="B7" s="21" t="s">
        <v>256</v>
      </c>
      <c r="C7" s="22" t="s">
        <v>87</v>
      </c>
      <c r="D7" s="23" t="s">
        <v>257</v>
      </c>
      <c r="E7" s="23" t="s">
        <v>258</v>
      </c>
      <c r="F7" s="21" t="s">
        <v>87</v>
      </c>
      <c r="G7" s="21" t="s">
        <v>257</v>
      </c>
      <c r="H7" s="21" t="s">
        <v>258</v>
      </c>
      <c r="I7" s="22" t="s">
        <v>87</v>
      </c>
      <c r="J7" s="23" t="s">
        <v>257</v>
      </c>
      <c r="K7" s="23" t="s">
        <v>259</v>
      </c>
      <c r="L7" s="22" t="s">
        <v>87</v>
      </c>
      <c r="M7" s="23" t="s">
        <v>257</v>
      </c>
      <c r="N7" s="23" t="s">
        <v>259</v>
      </c>
      <c r="O7" s="22" t="s">
        <v>87</v>
      </c>
      <c r="P7" s="23" t="s">
        <v>257</v>
      </c>
      <c r="Q7" s="23" t="s">
        <v>259</v>
      </c>
      <c r="R7" s="22" t="s">
        <v>87</v>
      </c>
      <c r="S7" s="23" t="s">
        <v>257</v>
      </c>
      <c r="T7" s="23" t="s">
        <v>259</v>
      </c>
      <c r="U7" s="22" t="s">
        <v>87</v>
      </c>
      <c r="V7" s="23" t="s">
        <v>257</v>
      </c>
      <c r="W7" s="23" t="s">
        <v>259</v>
      </c>
      <c r="X7" s="22" t="s">
        <v>87</v>
      </c>
      <c r="Y7" s="23" t="s">
        <v>257</v>
      </c>
      <c r="Z7" s="23" t="s">
        <v>259</v>
      </c>
    </row>
    <row r="8" spans="1:26" x14ac:dyDescent="0.25">
      <c r="A8" t="str">
        <f>Dados!A29</f>
        <v>express</v>
      </c>
      <c r="B8" s="90">
        <f>Dados!C32</f>
        <v>257000</v>
      </c>
      <c r="C8" s="18">
        <f>((B8*0.015)*0.97)</f>
        <v>3739.35</v>
      </c>
      <c r="D8" s="19">
        <f>A4</f>
        <v>1000</v>
      </c>
      <c r="E8" s="19">
        <f>C8+D8</f>
        <v>4739.3500000000004</v>
      </c>
      <c r="F8" s="2">
        <f>(B8*0.015)*0.97</f>
        <v>3739.35</v>
      </c>
      <c r="G8" s="1">
        <f>A4</f>
        <v>1000</v>
      </c>
      <c r="H8" s="1">
        <f>F8+G8</f>
        <v>4739.3500000000004</v>
      </c>
      <c r="I8" s="18">
        <f>((B8*0.85)*0.015)*0.97</f>
        <v>3178.4474999999998</v>
      </c>
      <c r="J8" s="19">
        <f>A4</f>
        <v>1000</v>
      </c>
      <c r="K8" s="19">
        <f>I8+J8</f>
        <v>4178.4475000000002</v>
      </c>
      <c r="L8" s="18">
        <f>(((B8*0.85)*0.85)*0.015)*0.97</f>
        <v>2701.6803749999995</v>
      </c>
      <c r="M8" s="19">
        <f>A4</f>
        <v>1000</v>
      </c>
      <c r="N8" s="19">
        <f>L8+M8</f>
        <v>3701.6803749999995</v>
      </c>
      <c r="O8" s="18">
        <f>((((B8*0.85)*0.85)*0.85)*0.015)*0.97</f>
        <v>2296.4283187499996</v>
      </c>
      <c r="P8" s="19">
        <f>A4</f>
        <v>1000</v>
      </c>
      <c r="Q8" s="19">
        <f>O8+P8</f>
        <v>3296.4283187499996</v>
      </c>
      <c r="R8" s="18">
        <f>(((((B8*0.85)*0.85)*0.85)*0.85)*0.015)*0.97</f>
        <v>1951.9640709374996</v>
      </c>
      <c r="S8" s="19">
        <f>A4</f>
        <v>1000</v>
      </c>
      <c r="T8" s="19">
        <f>R8+S8</f>
        <v>2951.9640709374999</v>
      </c>
      <c r="U8" s="18">
        <f>((((((B8*0.85)*0.85)*0.85)*0.85)*0.85)*0.015)*0.97</f>
        <v>1659.1694602968746</v>
      </c>
      <c r="V8" s="19">
        <f>A4</f>
        <v>1000</v>
      </c>
      <c r="W8" s="19">
        <f>U8+V8</f>
        <v>2659.1694602968746</v>
      </c>
      <c r="X8" s="18">
        <f>(((((((B8*0.85)*0.85)*0.85)*0.85)*0.85)*0.85)*0.015)*0.97</f>
        <v>1410.2940412523435</v>
      </c>
      <c r="Y8" s="19">
        <f>A4</f>
        <v>1000</v>
      </c>
      <c r="Z8" s="19">
        <f>X8+Y8</f>
        <v>2410.2940412523435</v>
      </c>
    </row>
    <row r="9" spans="1:26" x14ac:dyDescent="0.25">
      <c r="B9" s="84"/>
    </row>
  </sheetData>
  <mergeCells count="13">
    <mergeCell ref="A1:K1"/>
    <mergeCell ref="I6:K6"/>
    <mergeCell ref="C6:E6"/>
    <mergeCell ref="A3:K3"/>
    <mergeCell ref="A5:K5"/>
    <mergeCell ref="A2:K2"/>
    <mergeCell ref="F6:H6"/>
    <mergeCell ref="A4:K4"/>
    <mergeCell ref="X6:Z6"/>
    <mergeCell ref="R6:T6"/>
    <mergeCell ref="U6:W6"/>
    <mergeCell ref="O6:Q6"/>
    <mergeCell ref="L6:N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260</v>
      </c>
      <c r="E9">
        <f>E8*(1-4.3%)</f>
        <v>2.1570780000000001E-2</v>
      </c>
    </row>
    <row r="10" spans="4:9" x14ac:dyDescent="0.25">
      <c r="E10">
        <v>179700</v>
      </c>
      <c r="G10" s="252" t="s">
        <v>261</v>
      </c>
      <c r="H10" s="252"/>
      <c r="I10" s="252"/>
    </row>
    <row r="11" spans="4:9" x14ac:dyDescent="0.25">
      <c r="E11">
        <f>E9*E10</f>
        <v>3876.269166</v>
      </c>
      <c r="I11" t="s">
        <v>262</v>
      </c>
    </row>
    <row r="12" spans="4:9" x14ac:dyDescent="0.25">
      <c r="G12" t="s">
        <v>263</v>
      </c>
      <c r="H12">
        <v>30</v>
      </c>
      <c r="I12" s="182">
        <v>8.0000000000000002E-3</v>
      </c>
    </row>
    <row r="13" spans="4:9" x14ac:dyDescent="0.25">
      <c r="G13" t="s">
        <v>264</v>
      </c>
      <c r="H13">
        <v>1</v>
      </c>
      <c r="I13" s="216">
        <f>I12/30</f>
        <v>2.6666666666666668E-4</v>
      </c>
    </row>
    <row r="15" spans="4:9" x14ac:dyDescent="0.25">
      <c r="G15" t="s">
        <v>265</v>
      </c>
      <c r="H15">
        <v>10</v>
      </c>
      <c r="I15" s="195">
        <v>0</v>
      </c>
    </row>
    <row r="16" spans="4:9" x14ac:dyDescent="0.25">
      <c r="G16" t="s">
        <v>266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267</v>
      </c>
      <c r="H20">
        <f>H16-H15</f>
        <v>80</v>
      </c>
    </row>
    <row r="25" spans="3:11" x14ac:dyDescent="0.25">
      <c r="C25" t="s">
        <v>268</v>
      </c>
      <c r="D25" t="s">
        <v>269</v>
      </c>
      <c r="E25" s="220">
        <v>1</v>
      </c>
      <c r="F25" s="4">
        <v>79700</v>
      </c>
    </row>
    <row r="26" spans="3:11" x14ac:dyDescent="0.25">
      <c r="C26" t="s">
        <v>270</v>
      </c>
      <c r="D26" t="s">
        <v>271</v>
      </c>
      <c r="E26" t="s">
        <v>272</v>
      </c>
      <c r="F26" t="s">
        <v>273</v>
      </c>
      <c r="G26" t="s">
        <v>274</v>
      </c>
      <c r="H26" t="s">
        <v>275</v>
      </c>
      <c r="I26" t="s">
        <v>276</v>
      </c>
      <c r="J26" t="s">
        <v>277</v>
      </c>
      <c r="K26" t="s">
        <v>278</v>
      </c>
    </row>
    <row r="27" spans="3:11" x14ac:dyDescent="0.25">
      <c r="C27">
        <v>0</v>
      </c>
      <c r="D27" t="s">
        <v>279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280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281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282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283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284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285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286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287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288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281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289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290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291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292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283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293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286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294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295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280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282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290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296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297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283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284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286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294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288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280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298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282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299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297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283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284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300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287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288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301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302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282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290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297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303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284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300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304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287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305</v>
      </c>
      <c r="D77" t="s">
        <v>306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279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280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281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282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283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284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285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286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287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288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281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289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290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291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292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283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293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286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294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295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280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282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290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296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297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283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284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286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294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288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280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298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282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299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297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283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284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300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287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288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301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302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282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290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297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303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284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300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304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287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2026-07-17T01:01:01Z</dcterms:modified>
  <cp:category/>
  <cp:contentStatus/>
</cp:coreProperties>
</file>