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edropelosini_1/Desktop/TOPE Part./LOCAÇÃO/CLIENTES/LOGA/2024_04_33a oportunidade_diversos/Proposta/SPIN OFF_apenas RSS/"/>
    </mc:Choice>
  </mc:AlternateContent>
  <xr:revisionPtr revIDLastSave="0" documentId="13_ncr:1_{1E293C42-EB13-B041-A742-917B5640DDCD}" xr6:coauthVersionLast="47" xr6:coauthVersionMax="47" xr10:uidLastSave="{00000000-0000-0000-0000-000000000000}"/>
  <bookViews>
    <workbookView xWindow="1080" yWindow="500" windowWidth="18260" windowHeight="19580" tabRatio="50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Sheet1!$A$1:$L$56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9" i="1" l="1"/>
  <c r="I19" i="1"/>
  <c r="J18" i="1"/>
  <c r="I18" i="1"/>
  <c r="J17" i="1"/>
  <c r="I17" i="1"/>
  <c r="K18" i="1" l="1"/>
  <c r="K19" i="1"/>
  <c r="K17" i="1"/>
  <c r="J24" i="1"/>
  <c r="I24" i="1"/>
  <c r="K24" i="1" l="1"/>
  <c r="J23" i="1"/>
  <c r="I23" i="1"/>
  <c r="J22" i="1"/>
  <c r="I22" i="1"/>
  <c r="K23" i="1" l="1"/>
  <c r="K22" i="1"/>
</calcChain>
</file>

<file path=xl/sharedStrings.xml><?xml version="1.0" encoding="utf-8"?>
<sst xmlns="http://schemas.openxmlformats.org/spreadsheetml/2006/main" count="56" uniqueCount="37">
  <si>
    <t>Emplacamento / IPVA / Licenciamento</t>
  </si>
  <si>
    <t>Prazo (meses)</t>
  </si>
  <si>
    <t>VW SERVICE GUARD GPRS</t>
  </si>
  <si>
    <t>SIM</t>
  </si>
  <si>
    <t>NÃO</t>
  </si>
  <si>
    <t>CONDIÇÕES GERAIS DA PROPOSTA</t>
  </si>
  <si>
    <t>IPVA E DOCUMENTAÇÃO INCLUSOS</t>
  </si>
  <si>
    <t>IMPOSTOS INCLUSOS</t>
  </si>
  <si>
    <t>LOCAL DE RETIRADA GRANDE/SP</t>
  </si>
  <si>
    <t>Rescisão antecipada: devolução do bem e incidência de multa de 50% sobre as parcelas vincendas</t>
  </si>
  <si>
    <t>FORMA DE PAGAMENTO LOCAÇÃO: 30 (trinta) dias do envio da fatura</t>
  </si>
  <si>
    <t>TOPE PARTICIPAÇÕES LTDA</t>
  </si>
  <si>
    <t>Uma empresa do GRUPO DIBRACAM</t>
  </si>
  <si>
    <t xml:space="preserve">SERVIÇOS </t>
  </si>
  <si>
    <t>LOCATÁRIA</t>
  </si>
  <si>
    <t>PRAZO CONTRATO</t>
  </si>
  <si>
    <t>Índice de Reajuste Locação e Gestão de Operação: IPCA/IBGE – aplicável a cada 12 (doze) meses</t>
  </si>
  <si>
    <t>Pneus, Manutenção, Seguro e Combustível</t>
  </si>
  <si>
    <t>*Ilustração de Dedução POSSIVELMENTE aplicáveis a despesa de locação para empresas enquadradas no Regime de Lucro Real - valide com sua área contábil/fiscal</t>
  </si>
  <si>
    <t>DISPONIBILIDADE: CHASSIS DE IMEDIATO / PENDENTE IMPLEMENTAÇÃO</t>
  </si>
  <si>
    <t>**Sujeito à análise de crédito</t>
  </si>
  <si>
    <t>Crédito PIS/COFINS (9,25%)*</t>
  </si>
  <si>
    <t>Dedução IRPJ/CSLL (34%)*</t>
  </si>
  <si>
    <t>Valor Líquido Locação Após aproveitamentos (valor mensal - deduções/créditos)*</t>
  </si>
  <si>
    <t>Limite Rodagem***</t>
  </si>
  <si>
    <t xml:space="preserve">***Caso o véiculo ultrapasse o limite de quilometragem, ocorre a rescisão antecipada do contrato. </t>
  </si>
  <si>
    <t>VALOR MENSAL LOCAÇÃO + VOLKSTOTAL MAX (A SOMAR)****</t>
  </si>
  <si>
    <t>****MANUTENÇÃO PREVENTIVA/CORRETIVA: OS VEÍCULOS DEVERÃO SER INCLUÍDOS NO VOLKSTOTAL MAX - CUSTO KM/HORAS A SER COBRADO PELA LOCADORA AO LOCATÁRIO MEDIANTE NOTA DE DÉBITO PARA REEMBOLSO DE DESPESAS</t>
  </si>
  <si>
    <t xml:space="preserve">PROPOSTA COMERCIAL - LOCAÇÃO DE EQUIPAMENTOS </t>
  </si>
  <si>
    <t>36 MESES</t>
  </si>
  <si>
    <t>60 MESES</t>
  </si>
  <si>
    <t>VALIDADE DA PROPOSTA:10 DIAS</t>
  </si>
  <si>
    <t>Cliente: Loga – Logística Ambiental de São Paulo</t>
  </si>
  <si>
    <t>84 MESES</t>
  </si>
  <si>
    <t>NOVO VOLKSWAGEN DELIVERY EXPRESS (EURO VI) 0KM 24/25 EQUIPADO COM BAÚ SEMI-TÉRMICO COM 4300MM COMPRIMENTO E QUADRO TRASEIRO EM INOX PARA RSS (34 UNIDADES)</t>
  </si>
  <si>
    <t>09 de Maio de 2024</t>
  </si>
  <si>
    <r>
      <t xml:space="preserve">NOVO VOLKSWAGEN DELIVERY EXPRESS </t>
    </r>
    <r>
      <rPr>
        <b/>
        <u/>
        <sz val="18"/>
        <color rgb="FF000000"/>
        <rFont val="\"/>
      </rPr>
      <t>MOVIDO À GNV (CONVERSÃO MWM CUSTO 250K)</t>
    </r>
    <r>
      <rPr>
        <b/>
        <sz val="18"/>
        <color rgb="FF000000"/>
        <rFont val="Calibri"/>
        <family val="2"/>
        <scheme val="minor"/>
      </rPr>
      <t xml:space="preserve"> 0KM 24/25 EQUIPADO COM BAÚ SEMI-TÉRMICO COM 4300MM COMPRIMENTO E QUADRO TRASEIRO EM INOX PARA RSS (34 UNIDADES)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</si>
</sst>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R$&quot;* #,##0.00_);_(&quot;R$&quot;* \(#,##0.00\);_(&quot;R$&quot;* &quot;-&quot;??_);_(@_)"/>
    <numFmt numFmtId="165" formatCode="&quot;R$&quot;#,##0.00"/>
    <numFmt numFmtId="166" formatCode="&quot;R$&quot;#,##0"/>
  </numFmts>
  <fonts count="2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u/>
      <sz val="11"/>
      <color theme="1"/>
      <name val="Cambria"/>
      <family val="1"/>
    </font>
    <font>
      <sz val="16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4"/>
      <color rgb="FF000000"/>
      <name val="Cambria"/>
      <family val="1"/>
    </font>
    <font>
      <b/>
      <u/>
      <sz val="18"/>
      <color rgb="FF000000"/>
      <name val="\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</borders>
  <cellStyleXfs count="240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4" fillId="0" borderId="0" xfId="0" applyFont="1" applyAlignment="1">
      <alignment vertical="center"/>
    </xf>
    <xf numFmtId="0" fontId="16" fillId="3" borderId="1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166" fontId="8" fillId="4" borderId="5" xfId="1" applyNumberFormat="1" applyFont="1" applyFill="1" applyBorder="1" applyAlignment="1">
      <alignment horizontal="center" vertical="center"/>
    </xf>
    <xf numFmtId="165" fontId="9" fillId="7" borderId="5" xfId="1" applyNumberFormat="1" applyFont="1" applyFill="1" applyBorder="1" applyAlignment="1">
      <alignment horizontal="center" vertical="center"/>
    </xf>
    <xf numFmtId="165" fontId="8" fillId="4" borderId="5" xfId="1" applyNumberFormat="1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3" fontId="10" fillId="0" borderId="5" xfId="0" applyNumberFormat="1" applyFont="1" applyBorder="1" applyAlignment="1">
      <alignment horizontal="center" vertical="center"/>
    </xf>
    <xf numFmtId="14" fontId="0" fillId="0" borderId="0" xfId="0" applyNumberForma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3" fontId="10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66" fontId="8" fillId="0" borderId="0" xfId="1" applyNumberFormat="1" applyFont="1" applyFill="1" applyBorder="1" applyAlignment="1">
      <alignment horizontal="center" vertical="center"/>
    </xf>
    <xf numFmtId="165" fontId="9" fillId="0" borderId="0" xfId="1" applyNumberFormat="1" applyFont="1" applyFill="1" applyBorder="1" applyAlignment="1">
      <alignment horizontal="center" vertical="center"/>
    </xf>
    <xf numFmtId="165" fontId="8" fillId="0" borderId="0" xfId="1" applyNumberFormat="1" applyFont="1" applyFill="1" applyBorder="1" applyAlignment="1">
      <alignment horizontal="center" vertical="center"/>
    </xf>
    <xf numFmtId="0" fontId="17" fillId="6" borderId="6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</cellXfs>
  <cellStyles count="240">
    <cellStyle name="Hiperlink" xfId="2" builtinId="8" hidden="1"/>
    <cellStyle name="Hiperlink" xfId="4" builtinId="8" hidden="1"/>
    <cellStyle name="Hiperlink" xfId="6" builtinId="8" hidden="1"/>
    <cellStyle name="Hiperlink" xfId="8" builtinId="8" hidden="1"/>
    <cellStyle name="Hiperlink" xfId="10" builtinId="8" hidden="1"/>
    <cellStyle name="Hiperlink" xfId="12" builtinId="8" hidden="1"/>
    <cellStyle name="Hiperlink" xfId="14" builtinId="8" hidden="1"/>
    <cellStyle name="Hiperlink" xfId="16" builtinId="8" hidden="1"/>
    <cellStyle name="Hiperlink" xfId="18" builtinId="8" hidden="1"/>
    <cellStyle name="Hiperlink" xfId="20" builtinId="8" hidden="1"/>
    <cellStyle name="Hiperlink" xfId="22" builtinId="8" hidden="1"/>
    <cellStyle name="Hiperlink" xfId="24" builtinId="8" hidden="1"/>
    <cellStyle name="Hiperlink" xfId="26" builtinId="8" hidden="1"/>
    <cellStyle name="Hiperlink" xfId="28" builtinId="8" hidden="1"/>
    <cellStyle name="Hiperlink" xfId="30" builtinId="8" hidden="1"/>
    <cellStyle name="Hiperlink" xfId="32" builtinId="8" hidden="1"/>
    <cellStyle name="Hiperlink" xfId="34" builtinId="8" hidden="1"/>
    <cellStyle name="Hiperlink" xfId="36" builtinId="8" hidden="1"/>
    <cellStyle name="Hiperlink" xfId="38" builtinId="8" hidden="1"/>
    <cellStyle name="Hiperlink" xfId="40" builtinId="8" hidden="1"/>
    <cellStyle name="Hiperlink" xfId="42" builtinId="8" hidden="1"/>
    <cellStyle name="Hiperlink" xfId="44" builtinId="8" hidden="1"/>
    <cellStyle name="Hiperlink" xfId="46" builtinId="8" hidden="1"/>
    <cellStyle name="Hiperlink" xfId="48" builtinId="8" hidden="1"/>
    <cellStyle name="Hiperlink" xfId="50" builtinId="8" hidden="1"/>
    <cellStyle name="Hiperlink" xfId="52" builtinId="8" hidden="1"/>
    <cellStyle name="Hiperlink" xfId="54" builtinId="8" hidden="1"/>
    <cellStyle name="Hiperlink" xfId="56" builtinId="8" hidden="1"/>
    <cellStyle name="Hiperlink" xfId="58" builtinId="8" hidden="1"/>
    <cellStyle name="Hiperlink" xfId="60" builtinId="8" hidden="1"/>
    <cellStyle name="Hiperlink" xfId="62" builtinId="8" hidden="1"/>
    <cellStyle name="Hiperlink" xfId="64" builtinId="8" hidden="1"/>
    <cellStyle name="Hiperlink" xfId="66" builtinId="8" hidden="1"/>
    <cellStyle name="Hiperlink" xfId="68" builtinId="8" hidden="1"/>
    <cellStyle name="Hiperlink" xfId="70" builtinId="8" hidden="1"/>
    <cellStyle name="Hiperlink" xfId="72" builtinId="8" hidden="1"/>
    <cellStyle name="Hiperlink" xfId="74" builtinId="8" hidden="1"/>
    <cellStyle name="Hiperlink" xfId="76" builtinId="8" hidden="1"/>
    <cellStyle name="Hiperlink" xfId="78" builtinId="8" hidden="1"/>
    <cellStyle name="Hiperlink" xfId="80" builtinId="8" hidden="1"/>
    <cellStyle name="Hiperlink" xfId="82" builtinId="8" hidden="1"/>
    <cellStyle name="Hiperlink" xfId="84" builtinId="8" hidden="1"/>
    <cellStyle name="Hiperlink" xfId="86" builtinId="8" hidden="1"/>
    <cellStyle name="Hiperlink" xfId="88" builtinId="8" hidden="1"/>
    <cellStyle name="Hiperlink" xfId="90" builtinId="8" hidden="1"/>
    <cellStyle name="Hiperlink" xfId="92" builtinId="8" hidden="1"/>
    <cellStyle name="Hiperlink" xfId="94" builtinId="8" hidden="1"/>
    <cellStyle name="Hiperlink" xfId="96" builtinId="8" hidden="1"/>
    <cellStyle name="Hiperlink" xfId="98" builtinId="8" hidden="1"/>
    <cellStyle name="Hiperlink" xfId="100" builtinId="8" hidden="1"/>
    <cellStyle name="Hiperlink" xfId="102" builtinId="8" hidden="1"/>
    <cellStyle name="Hiperlink" xfId="104" builtinId="8" hidden="1"/>
    <cellStyle name="Hiperlink" xfId="106" builtinId="8" hidden="1"/>
    <cellStyle name="Hiperlink" xfId="108" builtinId="8" hidden="1"/>
    <cellStyle name="Hiperlink" xfId="110" builtinId="8" hidden="1"/>
    <cellStyle name="Hiperlink" xfId="112" builtinId="8" hidden="1"/>
    <cellStyle name="Hiperlink" xfId="114" builtinId="8" hidden="1"/>
    <cellStyle name="Hiperlink" xfId="116" builtinId="8" hidden="1"/>
    <cellStyle name="Hiperlink" xfId="118" builtinId="8" hidden="1"/>
    <cellStyle name="Hiperlink" xfId="120" builtinId="8" hidden="1"/>
    <cellStyle name="Hiperlink" xfId="122" builtinId="8" hidden="1"/>
    <cellStyle name="Hiperlink" xfId="124" builtinId="8" hidden="1"/>
    <cellStyle name="Hiperlink" xfId="126" builtinId="8" hidden="1"/>
    <cellStyle name="Hiperlink" xfId="128" builtinId="8" hidden="1"/>
    <cellStyle name="Hiperlink" xfId="130" builtinId="8" hidden="1"/>
    <cellStyle name="Hiperlink" xfId="132" builtinId="8" hidden="1"/>
    <cellStyle name="Hiperlink" xfId="134" builtinId="8" hidden="1"/>
    <cellStyle name="Hiperlink" xfId="136" builtinId="8" hidden="1"/>
    <cellStyle name="Hiperlink" xfId="138" builtinId="8" hidden="1"/>
    <cellStyle name="Hiperlink" xfId="140" builtinId="8" hidden="1"/>
    <cellStyle name="Hiperlink" xfId="142" builtinId="8" hidden="1"/>
    <cellStyle name="Hiperlink" xfId="144" builtinId="8" hidden="1"/>
    <cellStyle name="Hiperlink" xfId="146" builtinId="8" hidden="1"/>
    <cellStyle name="Hiperlink" xfId="148" builtinId="8" hidden="1"/>
    <cellStyle name="Hiperlink" xfId="150" builtinId="8" hidden="1"/>
    <cellStyle name="Hiperlink" xfId="152" builtinId="8" hidden="1"/>
    <cellStyle name="Hiperlink" xfId="154" builtinId="8" hidden="1"/>
    <cellStyle name="Hiperlink" xfId="156" builtinId="8" hidden="1"/>
    <cellStyle name="Hiperlink" xfId="158" builtinId="8" hidden="1"/>
    <cellStyle name="Hiperlink" xfId="160" builtinId="8" hidden="1"/>
    <cellStyle name="Hiperlink" xfId="162" builtinId="8" hidden="1"/>
    <cellStyle name="Hiperlink" xfId="164" builtinId="8" hidden="1"/>
    <cellStyle name="Hiperlink" xfId="166" builtinId="8" hidden="1"/>
    <cellStyle name="Hiperlink" xfId="168" builtinId="8" hidden="1"/>
    <cellStyle name="Hiperlink" xfId="170" builtinId="8" hidden="1"/>
    <cellStyle name="Hiperlink" xfId="172" builtinId="8" hidden="1"/>
    <cellStyle name="Hiperlink" xfId="174" builtinId="8" hidden="1"/>
    <cellStyle name="Hiperlink" xfId="176" builtinId="8" hidden="1"/>
    <cellStyle name="Hiperlink" xfId="178" builtinId="8" hidden="1"/>
    <cellStyle name="Hiperlink" xfId="180" builtinId="8" hidden="1"/>
    <cellStyle name="Hiperlink" xfId="182" builtinId="8" hidden="1"/>
    <cellStyle name="Hiperlink" xfId="184" builtinId="8" hidden="1"/>
    <cellStyle name="Hiperlink" xfId="186" builtinId="8" hidden="1"/>
    <cellStyle name="Hiperlink" xfId="188" builtinId="8" hidden="1"/>
    <cellStyle name="Hiperlink" xfId="190" builtinId="8" hidden="1"/>
    <cellStyle name="Hiperlink" xfId="192" builtinId="8" hidden="1"/>
    <cellStyle name="Hiperlink" xfId="194" builtinId="8" hidden="1"/>
    <cellStyle name="Hiperlink" xfId="196" builtinId="8" hidden="1"/>
    <cellStyle name="Hiperlink" xfId="198" builtinId="8" hidden="1"/>
    <cellStyle name="Hiperlink" xfId="200" builtinId="8" hidden="1"/>
    <cellStyle name="Hiperlink" xfId="202" builtinId="8" hidden="1"/>
    <cellStyle name="Hiperlink" xfId="204" builtinId="8" hidden="1"/>
    <cellStyle name="Hiperlink" xfId="206" builtinId="8" hidden="1"/>
    <cellStyle name="Hiperlink" xfId="208" builtinId="8" hidden="1"/>
    <cellStyle name="Hiperlink" xfId="210" builtinId="8" hidden="1"/>
    <cellStyle name="Hiperlink" xfId="212" builtinId="8" hidden="1"/>
    <cellStyle name="Hiperlink" xfId="214" builtinId="8" hidden="1"/>
    <cellStyle name="Hiperlink" xfId="216" builtinId="8" hidden="1"/>
    <cellStyle name="Hiperlink" xfId="218" builtinId="8" hidden="1"/>
    <cellStyle name="Hiperlink" xfId="220" builtinId="8" hidden="1"/>
    <cellStyle name="Hiperlink" xfId="222" builtinId="8" hidden="1"/>
    <cellStyle name="Hiperlink" xfId="224" builtinId="8" hidden="1"/>
    <cellStyle name="Hiperlink" xfId="226" builtinId="8" hidden="1"/>
    <cellStyle name="Hiperlink" xfId="228" builtinId="8" hidden="1"/>
    <cellStyle name="Hiperlink" xfId="230" builtinId="8" hidden="1"/>
    <cellStyle name="Hiperlink" xfId="232" builtinId="8" hidden="1"/>
    <cellStyle name="Hiperlink" xfId="234" builtinId="8" hidden="1"/>
    <cellStyle name="Hiperlink" xfId="236" builtinId="8" hidden="1"/>
    <cellStyle name="Hiperlink" xfId="238" builtinId="8" hidden="1"/>
    <cellStyle name="Hiperlink Visitado" xfId="3" builtinId="9" hidden="1"/>
    <cellStyle name="Hiperlink Visitado" xfId="5" builtinId="9" hidden="1"/>
    <cellStyle name="Hiperlink Visitado" xfId="7" builtinId="9" hidden="1"/>
    <cellStyle name="Hiperlink Visitado" xfId="9" builtinId="9" hidden="1"/>
    <cellStyle name="Hiperlink Visitado" xfId="11" builtinId="9" hidden="1"/>
    <cellStyle name="Hiperlink Visitado" xfId="13" builtinId="9" hidden="1"/>
    <cellStyle name="Hiperlink Visitado" xfId="15" builtinId="9" hidden="1"/>
    <cellStyle name="Hiperlink Visitado" xfId="17" builtinId="9" hidden="1"/>
    <cellStyle name="Hiperlink Visitado" xfId="19" builtinId="9" hidden="1"/>
    <cellStyle name="Hiperlink Visitado" xfId="21" builtinId="9" hidden="1"/>
    <cellStyle name="Hiperlink Visitado" xfId="23" builtinId="9" hidden="1"/>
    <cellStyle name="Hiperlink Visitado" xfId="25" builtinId="9" hidden="1"/>
    <cellStyle name="Hiperlink Visitado" xfId="27" builtinId="9" hidden="1"/>
    <cellStyle name="Hiperlink Visitado" xfId="29" builtinId="9" hidden="1"/>
    <cellStyle name="Hiperlink Visitado" xfId="31" builtinId="9" hidden="1"/>
    <cellStyle name="Hiperlink Visitado" xfId="33" builtinId="9" hidden="1"/>
    <cellStyle name="Hiperlink Visitado" xfId="35" builtinId="9" hidden="1"/>
    <cellStyle name="Hiperlink Visitado" xfId="37" builtinId="9" hidden="1"/>
    <cellStyle name="Hiperlink Visitado" xfId="39" builtinId="9" hidden="1"/>
    <cellStyle name="Hiperlink Visitado" xfId="41" builtinId="9" hidden="1"/>
    <cellStyle name="Hiperlink Visitado" xfId="43" builtinId="9" hidden="1"/>
    <cellStyle name="Hiperlink Visitado" xfId="45" builtinId="9" hidden="1"/>
    <cellStyle name="Hiperlink Visitado" xfId="47" builtinId="9" hidden="1"/>
    <cellStyle name="Hiperlink Visitado" xfId="49" builtinId="9" hidden="1"/>
    <cellStyle name="Hiperlink Visitado" xfId="51" builtinId="9" hidden="1"/>
    <cellStyle name="Hiperlink Visitado" xfId="53" builtinId="9" hidden="1"/>
    <cellStyle name="Hiperlink Visitado" xfId="55" builtinId="9" hidden="1"/>
    <cellStyle name="Hiperlink Visitado" xfId="57" builtinId="9" hidden="1"/>
    <cellStyle name="Hiperlink Visitado" xfId="59" builtinId="9" hidden="1"/>
    <cellStyle name="Hiperlink Visitado" xfId="61" builtinId="9" hidden="1"/>
    <cellStyle name="Hiperlink Visitado" xfId="63" builtinId="9" hidden="1"/>
    <cellStyle name="Hiperlink Visitado" xfId="65" builtinId="9" hidden="1"/>
    <cellStyle name="Hiperlink Visitado" xfId="67" builtinId="9" hidden="1"/>
    <cellStyle name="Hiperlink Visitado" xfId="69" builtinId="9" hidden="1"/>
    <cellStyle name="Hiperlink Visitado" xfId="71" builtinId="9" hidden="1"/>
    <cellStyle name="Hiperlink Visitado" xfId="73" builtinId="9" hidden="1"/>
    <cellStyle name="Hiperlink Visitado" xfId="75" builtinId="9" hidden="1"/>
    <cellStyle name="Hiperlink Visitado" xfId="77" builtinId="9" hidden="1"/>
    <cellStyle name="Hiperlink Visitado" xfId="79" builtinId="9" hidden="1"/>
    <cellStyle name="Hiperlink Visitado" xfId="81" builtinId="9" hidden="1"/>
    <cellStyle name="Hiperlink Visitado" xfId="83" builtinId="9" hidden="1"/>
    <cellStyle name="Hiperlink Visitado" xfId="85" builtinId="9" hidden="1"/>
    <cellStyle name="Hiperlink Visitado" xfId="87" builtinId="9" hidden="1"/>
    <cellStyle name="Hiperlink Visitado" xfId="89" builtinId="9" hidden="1"/>
    <cellStyle name="Hiperlink Visitado" xfId="91" builtinId="9" hidden="1"/>
    <cellStyle name="Hiperlink Visitado" xfId="93" builtinId="9" hidden="1"/>
    <cellStyle name="Hiperlink Visitado" xfId="95" builtinId="9" hidden="1"/>
    <cellStyle name="Hiperlink Visitado" xfId="97" builtinId="9" hidden="1"/>
    <cellStyle name="Hiperlink Visitado" xfId="99" builtinId="9" hidden="1"/>
    <cellStyle name="Hiperlink Visitado" xfId="101" builtinId="9" hidden="1"/>
    <cellStyle name="Hiperlink Visitado" xfId="103" builtinId="9" hidden="1"/>
    <cellStyle name="Hiperlink Visitado" xfId="105" builtinId="9" hidden="1"/>
    <cellStyle name="Hiperlink Visitado" xfId="107" builtinId="9" hidden="1"/>
    <cellStyle name="Hiperlink Visitado" xfId="109" builtinId="9" hidden="1"/>
    <cellStyle name="Hiperlink Visitado" xfId="111" builtinId="9" hidden="1"/>
    <cellStyle name="Hiperlink Visitado" xfId="113" builtinId="9" hidden="1"/>
    <cellStyle name="Hiperlink Visitado" xfId="115" builtinId="9" hidden="1"/>
    <cellStyle name="Hiperlink Visitado" xfId="117" builtinId="9" hidden="1"/>
    <cellStyle name="Hiperlink Visitado" xfId="119" builtinId="9" hidden="1"/>
    <cellStyle name="Hiperlink Visitado" xfId="121" builtinId="9" hidden="1"/>
    <cellStyle name="Hiperlink Visitado" xfId="123" builtinId="9" hidden="1"/>
    <cellStyle name="Hiperlink Visitado" xfId="125" builtinId="9" hidden="1"/>
    <cellStyle name="Hiperlink Visitado" xfId="127" builtinId="9" hidden="1"/>
    <cellStyle name="Hiperlink Visitado" xfId="129" builtinId="9" hidden="1"/>
    <cellStyle name="Hiperlink Visitado" xfId="131" builtinId="9" hidden="1"/>
    <cellStyle name="Hiperlink Visitado" xfId="133" builtinId="9" hidden="1"/>
    <cellStyle name="Hiperlink Visitado" xfId="135" builtinId="9" hidden="1"/>
    <cellStyle name="Hiperlink Visitado" xfId="137" builtinId="9" hidden="1"/>
    <cellStyle name="Hiperlink Visitado" xfId="139" builtinId="9" hidden="1"/>
    <cellStyle name="Hiperlink Visitado" xfId="141" builtinId="9" hidden="1"/>
    <cellStyle name="Hiperlink Visitado" xfId="143" builtinId="9" hidden="1"/>
    <cellStyle name="Hiperlink Visitado" xfId="145" builtinId="9" hidden="1"/>
    <cellStyle name="Hiperlink Visitado" xfId="147" builtinId="9" hidden="1"/>
    <cellStyle name="Hiperlink Visitado" xfId="149" builtinId="9" hidden="1"/>
    <cellStyle name="Hiperlink Visitado" xfId="151" builtinId="9" hidden="1"/>
    <cellStyle name="Hiperlink Visitado" xfId="153" builtinId="9" hidden="1"/>
    <cellStyle name="Hiperlink Visitado" xfId="155" builtinId="9" hidden="1"/>
    <cellStyle name="Hiperlink Visitado" xfId="157" builtinId="9" hidden="1"/>
    <cellStyle name="Hiperlink Visitado" xfId="159" builtinId="9" hidden="1"/>
    <cellStyle name="Hiperlink Visitado" xfId="161" builtinId="9" hidden="1"/>
    <cellStyle name="Hiperlink Visitado" xfId="163" builtinId="9" hidden="1"/>
    <cellStyle name="Hiperlink Visitado" xfId="165" builtinId="9" hidden="1"/>
    <cellStyle name="Hiperlink Visitado" xfId="167" builtinId="9" hidden="1"/>
    <cellStyle name="Hiperlink Visitado" xfId="169" builtinId="9" hidden="1"/>
    <cellStyle name="Hiperlink Visitado" xfId="171" builtinId="9" hidden="1"/>
    <cellStyle name="Hiperlink Visitado" xfId="173" builtinId="9" hidden="1"/>
    <cellStyle name="Hiperlink Visitado" xfId="175" builtinId="9" hidden="1"/>
    <cellStyle name="Hiperlink Visitado" xfId="177" builtinId="9" hidden="1"/>
    <cellStyle name="Hiperlink Visitado" xfId="179" builtinId="9" hidden="1"/>
    <cellStyle name="Hiperlink Visitado" xfId="181" builtinId="9" hidden="1"/>
    <cellStyle name="Hiperlink Visitado" xfId="183" builtinId="9" hidden="1"/>
    <cellStyle name="Hiperlink Visitado" xfId="185" builtinId="9" hidden="1"/>
    <cellStyle name="Hiperlink Visitado" xfId="187" builtinId="9" hidden="1"/>
    <cellStyle name="Hiperlink Visitado" xfId="189" builtinId="9" hidden="1"/>
    <cellStyle name="Hiperlink Visitado" xfId="191" builtinId="9" hidden="1"/>
    <cellStyle name="Hiperlink Visitado" xfId="193" builtinId="9" hidden="1"/>
    <cellStyle name="Hiperlink Visitado" xfId="195" builtinId="9" hidden="1"/>
    <cellStyle name="Hiperlink Visitado" xfId="197" builtinId="9" hidden="1"/>
    <cellStyle name="Hiperlink Visitado" xfId="199" builtinId="9" hidden="1"/>
    <cellStyle name="Hiperlink Visitado" xfId="201" builtinId="9" hidden="1"/>
    <cellStyle name="Hiperlink Visitado" xfId="203" builtinId="9" hidden="1"/>
    <cellStyle name="Hiperlink Visitado" xfId="205" builtinId="9" hidden="1"/>
    <cellStyle name="Hiperlink Visitado" xfId="207" builtinId="9" hidden="1"/>
    <cellStyle name="Hiperlink Visitado" xfId="209" builtinId="9" hidden="1"/>
    <cellStyle name="Hiperlink Visitado" xfId="211" builtinId="9" hidden="1"/>
    <cellStyle name="Hiperlink Visitado" xfId="213" builtinId="9" hidden="1"/>
    <cellStyle name="Hiperlink Visitado" xfId="215" builtinId="9" hidden="1"/>
    <cellStyle name="Hiperlink Visitado" xfId="217" builtinId="9" hidden="1"/>
    <cellStyle name="Hiperlink Visitado" xfId="219" builtinId="9" hidden="1"/>
    <cellStyle name="Hiperlink Visitado" xfId="221" builtinId="9" hidden="1"/>
    <cellStyle name="Hiperlink Visitado" xfId="223" builtinId="9" hidden="1"/>
    <cellStyle name="Hiperlink Visitado" xfId="225" builtinId="9" hidden="1"/>
    <cellStyle name="Hiperlink Visitado" xfId="227" builtinId="9" hidden="1"/>
    <cellStyle name="Hiperlink Visitado" xfId="229" builtinId="9" hidden="1"/>
    <cellStyle name="Hiperlink Visitado" xfId="231" builtinId="9" hidden="1"/>
    <cellStyle name="Hiperlink Visitado" xfId="233" builtinId="9" hidden="1"/>
    <cellStyle name="Hiperlink Visitado" xfId="235" builtinId="9" hidden="1"/>
    <cellStyle name="Hiperlink Visitado" xfId="237" builtinId="9" hidden="1"/>
    <cellStyle name="Hiperlink Visitado" xfId="239" builtinId="9" hidden="1"/>
    <cellStyle name="Moeda" xfId="1" builtinId="4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25399</xdr:colOff>
      <xdr:row>0</xdr:row>
      <xdr:rowOff>0</xdr:rowOff>
    </xdr:from>
    <xdr:to>
      <xdr:col>0</xdr:col>
      <xdr:colOff>4086469</xdr:colOff>
      <xdr:row>6</xdr:row>
      <xdr:rowOff>179873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99" y="0"/>
          <a:ext cx="4051301" cy="1322873"/>
        </a:xfrm>
        <a:prstGeom prst="rect">
          <a:avLst/>
        </a:prstGeom>
      </xdr:spPr>
    </xdr:pic>
    <xdr:clientData/>
  </xdr:twoCellAnchor>
  <xdr:twoCellAnchor editAs="oneCell">
    <xdr:from>
      <xdr:col>1</xdr:col>
      <xdr:colOff>688735</xdr:colOff>
      <xdr:row>47</xdr:row>
      <xdr:rowOff>37746</xdr:rowOff>
    </xdr:from>
    <xdr:to>
      <xdr:col>7</xdr:col>
      <xdr:colOff>668565</xdr:colOff>
      <xdr:row>55</xdr:row>
      <xdr:rowOff>113945</xdr:rowOff>
    </xdr:to>
    <xdr:pic>
      <xdr:nvPicPr>
        <xdr:cNvPr id="7" name="Picture 6" descr="Macintosh HD:Users:pedropelosini:Downloads:concessionaria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1568" y="15044913"/>
          <a:ext cx="5292664" cy="176953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561733</xdr:colOff>
      <xdr:row>11</xdr:row>
      <xdr:rowOff>194732</xdr:rowOff>
    </xdr:from>
    <xdr:to>
      <xdr:col>11</xdr:col>
      <xdr:colOff>31589</xdr:colOff>
      <xdr:row>14</xdr:row>
      <xdr:rowOff>25398</xdr:rowOff>
    </xdr:to>
    <xdr:pic>
      <xdr:nvPicPr>
        <xdr:cNvPr id="9" name="Picture 8" descr="Macintosh HD:Users:pedropelosini:.Trash:Captura de Tela 2016-11-08 às 15.56.51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76502" y="2422117"/>
          <a:ext cx="3102382" cy="5340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571500</xdr:colOff>
      <xdr:row>42</xdr:row>
      <xdr:rowOff>72319</xdr:rowOff>
    </xdr:from>
    <xdr:to>
      <xdr:col>6</xdr:col>
      <xdr:colOff>681126</xdr:colOff>
      <xdr:row>46</xdr:row>
      <xdr:rowOff>48581</xdr:rowOff>
    </xdr:to>
    <xdr:pic>
      <xdr:nvPicPr>
        <xdr:cNvPr id="1027" name="Picture 3" descr="escription: Macintosh HD:Users:pedropelosini:Desktop:Dibracam:LOGO(s):Dibracam:Cópia de Logo Dibracam (fundo transparente).png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4021152"/>
          <a:ext cx="2586126" cy="822928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1556314</xdr:colOff>
      <xdr:row>21</xdr:row>
      <xdr:rowOff>16067</xdr:rowOff>
    </xdr:from>
    <xdr:ext cx="1895475" cy="618930"/>
    <xdr:pic>
      <xdr:nvPicPr>
        <xdr:cNvPr id="5" name="Picture 9">
          <a:extLst>
            <a:ext uri="{FF2B5EF4-FFF2-40B4-BE49-F238E27FC236}">
              <a16:creationId xmlns:a16="http://schemas.microsoft.com/office/drawing/2014/main" id="{6793093F-CEA2-6F4C-B5AE-4771D819D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6314" y="6154400"/>
          <a:ext cx="1895475" cy="618930"/>
        </a:xfrm>
        <a:prstGeom prst="rect">
          <a:avLst/>
        </a:prstGeom>
      </xdr:spPr>
    </xdr:pic>
    <xdr:clientData/>
  </xdr:oneCellAnchor>
  <xdr:oneCellAnchor>
    <xdr:from>
      <xdr:col>0</xdr:col>
      <xdr:colOff>1556314</xdr:colOff>
      <xdr:row>16</xdr:row>
      <xdr:rowOff>16067</xdr:rowOff>
    </xdr:from>
    <xdr:ext cx="1895475" cy="618930"/>
    <xdr:pic>
      <xdr:nvPicPr>
        <xdr:cNvPr id="4" name="Picture 9">
          <a:extLst>
            <a:ext uri="{FF2B5EF4-FFF2-40B4-BE49-F238E27FC236}">
              <a16:creationId xmlns:a16="http://schemas.microsoft.com/office/drawing/2014/main" id="{09BBF253-98CB-FF49-9E37-223B9597A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6314" y="6387234"/>
          <a:ext cx="1895475" cy="61893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showGridLines="0" tabSelected="1" view="pageBreakPreview" zoomScale="60" zoomScaleNormal="60" zoomScalePageLayoutView="65" workbookViewId="0">
      <selection activeCell="A22" sqref="A22"/>
    </sheetView>
  </sheetViews>
  <sheetFormatPr baseColWidth="10" defaultColWidth="11" defaultRowHeight="16"/>
  <cols>
    <col min="1" max="1" width="69.83203125" customWidth="1"/>
    <col min="2" max="2" width="20.33203125" customWidth="1"/>
    <col min="3" max="3" width="19.83203125" customWidth="1"/>
    <col min="4" max="4" width="11.33203125" hidden="1" customWidth="1"/>
    <col min="5" max="5" width="1.1640625" hidden="1" customWidth="1"/>
    <col min="6" max="6" width="12.6640625" bestFit="1" customWidth="1"/>
    <col min="7" max="7" width="17" customWidth="1"/>
    <col min="8" max="8" width="22.1640625" customWidth="1"/>
    <col min="9" max="9" width="18.6640625" customWidth="1"/>
    <col min="10" max="10" width="18.33203125" customWidth="1"/>
    <col min="11" max="11" width="29.1640625" customWidth="1"/>
    <col min="13" max="13" width="11" customWidth="1"/>
  </cols>
  <sheetData>
    <row r="1" spans="1:11">
      <c r="A1" s="1"/>
    </row>
    <row r="10" spans="1:11" ht="19">
      <c r="A10" s="8" t="s">
        <v>28</v>
      </c>
      <c r="I10" s="29"/>
    </row>
    <row r="11" spans="1:11" ht="19">
      <c r="A11" s="9" t="s">
        <v>32</v>
      </c>
    </row>
    <row r="12" spans="1:11" ht="19">
      <c r="A12" s="9" t="s">
        <v>35</v>
      </c>
      <c r="C12" s="29"/>
    </row>
    <row r="13" spans="1:11" ht="19">
      <c r="A13" s="9"/>
    </row>
    <row r="14" spans="1:11" ht="19">
      <c r="A14" s="9"/>
    </row>
    <row r="15" spans="1:11" ht="51" customHeight="1">
      <c r="A15" s="40" t="s">
        <v>34</v>
      </c>
      <c r="B15" s="41" t="s">
        <v>13</v>
      </c>
      <c r="C15" s="42"/>
      <c r="D15" s="43" t="s">
        <v>1</v>
      </c>
      <c r="E15" s="12"/>
      <c r="F15" s="13"/>
      <c r="G15" s="16"/>
      <c r="H15" s="26"/>
      <c r="I15" s="27"/>
      <c r="J15" s="44"/>
      <c r="K15" s="45"/>
    </row>
    <row r="16" spans="1:11" ht="116" customHeight="1">
      <c r="A16" s="40"/>
      <c r="B16" s="4" t="s">
        <v>0</v>
      </c>
      <c r="C16" s="4" t="s">
        <v>17</v>
      </c>
      <c r="D16" s="43"/>
      <c r="E16" s="11" t="s">
        <v>2</v>
      </c>
      <c r="F16" s="11" t="s">
        <v>24</v>
      </c>
      <c r="G16" s="18" t="s">
        <v>15</v>
      </c>
      <c r="H16" s="15" t="s">
        <v>26</v>
      </c>
      <c r="I16" s="14" t="s">
        <v>21</v>
      </c>
      <c r="J16" s="14" t="s">
        <v>22</v>
      </c>
      <c r="K16" s="15" t="s">
        <v>23</v>
      </c>
    </row>
    <row r="17" spans="1:11" ht="55" customHeight="1" thickBot="1">
      <c r="A17" s="5"/>
      <c r="B17" s="22" t="s">
        <v>3</v>
      </c>
      <c r="C17" s="23" t="s">
        <v>14</v>
      </c>
      <c r="D17" s="7">
        <v>60</v>
      </c>
      <c r="E17" s="6" t="s">
        <v>4</v>
      </c>
      <c r="F17" s="28">
        <v>500000</v>
      </c>
      <c r="G17" s="17" t="s">
        <v>33</v>
      </c>
      <c r="H17" s="19">
        <v>6260</v>
      </c>
      <c r="I17" s="20">
        <f>H17*9.25%</f>
        <v>579.04999999999995</v>
      </c>
      <c r="J17" s="20">
        <f>H17*34%</f>
        <v>2128.4</v>
      </c>
      <c r="K17" s="21">
        <f>H17-I17-J17</f>
        <v>3552.5499999999997</v>
      </c>
    </row>
    <row r="18" spans="1:11" ht="55" customHeight="1" thickTop="1" thickBot="1">
      <c r="A18" s="30"/>
      <c r="B18" s="31"/>
      <c r="C18" s="32"/>
      <c r="D18" s="33"/>
      <c r="E18" s="34"/>
      <c r="F18" s="35"/>
      <c r="G18" s="17" t="s">
        <v>30</v>
      </c>
      <c r="H18" s="19">
        <v>6695</v>
      </c>
      <c r="I18" s="20">
        <f>H18*9.25%</f>
        <v>619.28750000000002</v>
      </c>
      <c r="J18" s="20">
        <f>H18*34%</f>
        <v>2276.3000000000002</v>
      </c>
      <c r="K18" s="21">
        <f>H18-I18-J18</f>
        <v>3799.4124999999995</v>
      </c>
    </row>
    <row r="19" spans="1:11" ht="55" customHeight="1" thickTop="1" thickBot="1">
      <c r="A19" s="30"/>
      <c r="B19" s="31"/>
      <c r="C19" s="32"/>
      <c r="D19" s="33"/>
      <c r="E19" s="34"/>
      <c r="F19" s="35"/>
      <c r="G19" s="17" t="s">
        <v>29</v>
      </c>
      <c r="H19" s="19">
        <v>8590</v>
      </c>
      <c r="I19" s="20">
        <f>H19*9.25%</f>
        <v>794.57500000000005</v>
      </c>
      <c r="J19" s="20">
        <f>H19*34%</f>
        <v>2920.6000000000004</v>
      </c>
      <c r="K19" s="21">
        <f>H19-I19-J19</f>
        <v>4874.8249999999998</v>
      </c>
    </row>
    <row r="20" spans="1:11" ht="51" customHeight="1" thickTop="1">
      <c r="A20" s="40" t="s">
        <v>36</v>
      </c>
      <c r="B20" s="41" t="s">
        <v>13</v>
      </c>
      <c r="C20" s="42"/>
      <c r="D20" s="43" t="s">
        <v>1</v>
      </c>
      <c r="E20" s="12"/>
      <c r="F20" s="13"/>
      <c r="G20" s="16"/>
      <c r="H20" s="26"/>
      <c r="I20" s="27"/>
      <c r="J20" s="44"/>
      <c r="K20" s="45"/>
    </row>
    <row r="21" spans="1:11" ht="116" customHeight="1">
      <c r="A21" s="40"/>
      <c r="B21" s="4" t="s">
        <v>0</v>
      </c>
      <c r="C21" s="4" t="s">
        <v>17</v>
      </c>
      <c r="D21" s="43"/>
      <c r="E21" s="11" t="s">
        <v>2</v>
      </c>
      <c r="F21" s="11" t="s">
        <v>24</v>
      </c>
      <c r="G21" s="18" t="s">
        <v>15</v>
      </c>
      <c r="H21" s="15" t="s">
        <v>26</v>
      </c>
      <c r="I21" s="14" t="s">
        <v>21</v>
      </c>
      <c r="J21" s="14" t="s">
        <v>22</v>
      </c>
      <c r="K21" s="15" t="s">
        <v>23</v>
      </c>
    </row>
    <row r="22" spans="1:11" ht="55" customHeight="1" thickBot="1">
      <c r="A22" s="5"/>
      <c r="B22" s="22" t="s">
        <v>3</v>
      </c>
      <c r="C22" s="23" t="s">
        <v>14</v>
      </c>
      <c r="D22" s="7">
        <v>60</v>
      </c>
      <c r="E22" s="6" t="s">
        <v>4</v>
      </c>
      <c r="F22" s="28">
        <v>500000</v>
      </c>
      <c r="G22" s="17" t="s">
        <v>33</v>
      </c>
      <c r="H22" s="19">
        <v>11440</v>
      </c>
      <c r="I22" s="20">
        <f>H22*9.25%</f>
        <v>1058.2</v>
      </c>
      <c r="J22" s="20">
        <f>H22*34%</f>
        <v>3889.6000000000004</v>
      </c>
      <c r="K22" s="21">
        <f>H22-I22-J22</f>
        <v>6492.1999999999989</v>
      </c>
    </row>
    <row r="23" spans="1:11" ht="55" customHeight="1" thickTop="1" thickBot="1">
      <c r="A23" s="30"/>
      <c r="B23" s="31"/>
      <c r="C23" s="32"/>
      <c r="D23" s="33"/>
      <c r="E23" s="34"/>
      <c r="F23" s="35"/>
      <c r="G23" s="17" t="s">
        <v>30</v>
      </c>
      <c r="H23" s="19">
        <v>12730</v>
      </c>
      <c r="I23" s="20">
        <f>H23*9.25%</f>
        <v>1177.5250000000001</v>
      </c>
      <c r="J23" s="20">
        <f>H23*34%</f>
        <v>4328.2000000000007</v>
      </c>
      <c r="K23" s="21">
        <f>H23-I23-J23</f>
        <v>7224.2749999999996</v>
      </c>
    </row>
    <row r="24" spans="1:11" ht="55" customHeight="1" thickTop="1" thickBot="1">
      <c r="A24" s="30"/>
      <c r="B24" s="31"/>
      <c r="C24" s="32"/>
      <c r="D24" s="33"/>
      <c r="E24" s="34"/>
      <c r="F24" s="35"/>
      <c r="G24" s="17" t="s">
        <v>29</v>
      </c>
      <c r="H24" s="19">
        <v>17895</v>
      </c>
      <c r="I24" s="20">
        <f>H24*9.25%</f>
        <v>1655.2874999999999</v>
      </c>
      <c r="J24" s="20">
        <f>H24*34%</f>
        <v>6084.3</v>
      </c>
      <c r="K24" s="21">
        <f>H24-I24-J24</f>
        <v>10155.412499999999</v>
      </c>
    </row>
    <row r="25" spans="1:11" ht="55" customHeight="1" thickTop="1">
      <c r="A25" s="30"/>
      <c r="B25" s="31"/>
      <c r="C25" s="32"/>
      <c r="D25" s="33"/>
      <c r="E25" s="34"/>
      <c r="F25" s="35"/>
      <c r="G25" s="36"/>
      <c r="H25" s="37"/>
      <c r="I25" s="38"/>
      <c r="J25" s="38"/>
      <c r="K25" s="39"/>
    </row>
    <row r="26" spans="1:11">
      <c r="A26" s="25" t="s">
        <v>5</v>
      </c>
    </row>
    <row r="27" spans="1:11">
      <c r="A27" s="10" t="s">
        <v>6</v>
      </c>
    </row>
    <row r="28" spans="1:11">
      <c r="A28" s="10" t="s">
        <v>7</v>
      </c>
    </row>
    <row r="29" spans="1:11">
      <c r="A29" s="10" t="s">
        <v>10</v>
      </c>
    </row>
    <row r="30" spans="1:11">
      <c r="A30" s="10" t="s">
        <v>8</v>
      </c>
    </row>
    <row r="31" spans="1:11">
      <c r="A31" s="10" t="s">
        <v>31</v>
      </c>
      <c r="E31" s="2" t="s">
        <v>11</v>
      </c>
    </row>
    <row r="32" spans="1:11">
      <c r="A32" s="10" t="s">
        <v>19</v>
      </c>
      <c r="E32" s="2" t="s">
        <v>11</v>
      </c>
    </row>
    <row r="33" spans="1:5">
      <c r="A33" s="10" t="s">
        <v>16</v>
      </c>
      <c r="E33" s="3" t="s">
        <v>12</v>
      </c>
    </row>
    <row r="34" spans="1:5">
      <c r="A34" s="10" t="s">
        <v>9</v>
      </c>
    </row>
    <row r="35" spans="1:5">
      <c r="A35" s="10" t="s">
        <v>18</v>
      </c>
    </row>
    <row r="36" spans="1:5">
      <c r="A36" s="10" t="s">
        <v>20</v>
      </c>
    </row>
    <row r="37" spans="1:5">
      <c r="A37" s="10" t="s">
        <v>25</v>
      </c>
    </row>
    <row r="38" spans="1:5">
      <c r="A38" s="10" t="s">
        <v>27</v>
      </c>
      <c r="E38" s="2" t="s">
        <v>11</v>
      </c>
    </row>
  </sheetData>
  <mergeCells count="8">
    <mergeCell ref="A15:A16"/>
    <mergeCell ref="B15:C15"/>
    <mergeCell ref="D15:D16"/>
    <mergeCell ref="J15:K15"/>
    <mergeCell ref="A20:A21"/>
    <mergeCell ref="B20:C20"/>
    <mergeCell ref="D20:D21"/>
    <mergeCell ref="J20:K20"/>
  </mergeCells>
  <phoneticPr fontId="5" type="noConversion"/>
  <pageMargins left="0.25" right="0.25" top="0.75" bottom="0.75" header="0.3" footer="0.3"/>
  <pageSetup paperSize="9" scale="38" fitToHeight="2" orientation="portrait" horizontalDpi="4294967292" verticalDpi="4294967292"/>
  <drawing r:id="rId1"/>
  <extLst>
    <ext xmlns:mx="http://schemas.microsoft.com/office/mac/excel/2008/main" uri="{64002731-A6B0-56B0-2670-7721B7C09600}">
      <mx:PLV Mode="1" OnePage="0" WScale="75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8:L16"/>
  <sheetViews>
    <sheetView workbookViewId="0">
      <selection activeCell="C7" sqref="C7:I14"/>
    </sheetView>
  </sheetViews>
  <sheetFormatPr baseColWidth="10" defaultRowHeight="16"/>
  <sheetData>
    <row r="8" spans="3:12" ht="15" customHeight="1">
      <c r="J8" s="24"/>
      <c r="K8" s="24"/>
      <c r="L8" s="24"/>
    </row>
    <row r="9" spans="3:12" ht="15" customHeight="1">
      <c r="J9" s="24"/>
      <c r="K9" s="24"/>
      <c r="L9" s="24"/>
    </row>
    <row r="10" spans="3:12" ht="15" customHeight="1">
      <c r="J10" s="24"/>
      <c r="K10" s="24"/>
      <c r="L10" s="24"/>
    </row>
    <row r="11" spans="3:12" ht="15" customHeight="1">
      <c r="J11" s="24"/>
      <c r="K11" s="24"/>
      <c r="L11" s="24"/>
    </row>
    <row r="12" spans="3:12" ht="15" customHeight="1">
      <c r="J12" s="24"/>
      <c r="K12" s="24"/>
      <c r="L12" s="24"/>
    </row>
    <row r="13" spans="3:12" ht="15" customHeight="1">
      <c r="J13" s="24"/>
      <c r="K13" s="24"/>
      <c r="L13" s="24"/>
    </row>
    <row r="14" spans="3:12" ht="15" customHeight="1">
      <c r="J14" s="24"/>
      <c r="K14" s="24"/>
      <c r="L14" s="24"/>
    </row>
    <row r="15" spans="3:12" ht="15" customHeight="1">
      <c r="C15" s="24"/>
      <c r="D15" s="24"/>
      <c r="E15" s="24"/>
      <c r="F15" s="24"/>
      <c r="G15" s="24"/>
      <c r="H15" s="24"/>
      <c r="I15" s="24"/>
      <c r="J15" s="24"/>
      <c r="K15" s="24"/>
      <c r="L15" s="24"/>
    </row>
    <row r="16" spans="3:12" ht="15" customHeight="1">
      <c r="C16" s="24"/>
      <c r="D16" s="24"/>
      <c r="E16" s="24"/>
      <c r="F16" s="24"/>
      <c r="G16" s="24"/>
      <c r="H16" s="24"/>
      <c r="I16" s="24"/>
      <c r="J16" s="24"/>
      <c r="K16" s="24"/>
      <c r="L16" s="24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Sheet1!Area_de_impressao</vt:lpstr>
    </vt:vector>
  </TitlesOfParts>
  <Company>VSI Transportes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Augusto Roso Pelosini</dc:creator>
  <cp:lastModifiedBy>Pedro Augusto R. Pelosini</cp:lastModifiedBy>
  <cp:lastPrinted>2024-05-09T18:51:37Z</cp:lastPrinted>
  <dcterms:created xsi:type="dcterms:W3CDTF">2017-03-24T15:09:18Z</dcterms:created>
  <dcterms:modified xsi:type="dcterms:W3CDTF">2024-05-09T18:51:38Z</dcterms:modified>
</cp:coreProperties>
</file>